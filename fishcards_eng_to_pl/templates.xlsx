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<sst xmlns="http://schemas.openxmlformats.org/spreadsheetml/2006/main" count="5981" uniqueCount="5978">
  <si>
    <t>English</t>
  </si>
  <si>
    <t>Polish</t>
  </si>
  <si>
    <t>artie</t>
  </si>
  <si>
    <t>harriet</t>
  </si>
  <si>
    <t>generator</t>
  </si>
  <si>
    <t>federation</t>
  </si>
  <si>
    <t>mulder</t>
  </si>
  <si>
    <t>arresting</t>
  </si>
  <si>
    <t>techniques</t>
  </si>
  <si>
    <t>feather</t>
  </si>
  <si>
    <t>printed</t>
  </si>
  <si>
    <t>untie</t>
  </si>
  <si>
    <t>jupiter</t>
  </si>
  <si>
    <t>hay</t>
  </si>
  <si>
    <t>stalking</t>
  </si>
  <si>
    <t>conrad</t>
  </si>
  <si>
    <t>phony</t>
  </si>
  <si>
    <t>brett</t>
  </si>
  <si>
    <t>whack</t>
  </si>
  <si>
    <t>scored</t>
  </si>
  <si>
    <t>continent</t>
  </si>
  <si>
    <t>articles</t>
  </si>
  <si>
    <t>oxford</t>
  </si>
  <si>
    <t>z</t>
  </si>
  <si>
    <t>organize</t>
  </si>
  <si>
    <t>sensors</t>
  </si>
  <si>
    <t>shanghai</t>
  </si>
  <si>
    <t>wh</t>
  </si>
  <si>
    <t>sniper</t>
  </si>
  <si>
    <t>noisy</t>
  </si>
  <si>
    <t>framed</t>
  </si>
  <si>
    <t>horizon</t>
  </si>
  <si>
    <t>twilight</t>
  </si>
  <si>
    <t>reflection</t>
  </si>
  <si>
    <t>masks</t>
  </si>
  <si>
    <t>godfather</t>
  </si>
  <si>
    <t>merchant</t>
  </si>
  <si>
    <t>wages</t>
  </si>
  <si>
    <t>robe</t>
  </si>
  <si>
    <t>waist</t>
  </si>
  <si>
    <t>stinking</t>
  </si>
  <si>
    <t>disappointment</t>
  </si>
  <si>
    <t>venture</t>
  </si>
  <si>
    <t>voyage</t>
  </si>
  <si>
    <t>curry</t>
  </si>
  <si>
    <t>ominous</t>
  </si>
  <si>
    <t>sunlight</t>
  </si>
  <si>
    <t>oui</t>
  </si>
  <si>
    <t>overseas</t>
  </si>
  <si>
    <t>casualties</t>
  </si>
  <si>
    <t>aaah</t>
  </si>
  <si>
    <t>mattress</t>
  </si>
  <si>
    <t>grill</t>
  </si>
  <si>
    <t>marketing</t>
  </si>
  <si>
    <t>accepting</t>
  </si>
  <si>
    <t>occupation</t>
  </si>
  <si>
    <t>deadline</t>
  </si>
  <si>
    <t>freed</t>
  </si>
  <si>
    <t>exhibit</t>
  </si>
  <si>
    <t>poems</t>
  </si>
  <si>
    <t>echoing</t>
  </si>
  <si>
    <t>shin</t>
  </si>
  <si>
    <t>compliments</t>
  </si>
  <si>
    <t>til</t>
  </si>
  <si>
    <t>define</t>
  </si>
  <si>
    <t>urine</t>
  </si>
  <si>
    <t>foreman</t>
  </si>
  <si>
    <t>facial</t>
  </si>
  <si>
    <t>p.a.</t>
  </si>
  <si>
    <t>combined</t>
  </si>
  <si>
    <t>brody</t>
  </si>
  <si>
    <t>probation</t>
  </si>
  <si>
    <t>reject</t>
  </si>
  <si>
    <t>catches</t>
  </si>
  <si>
    <t>dances</t>
  </si>
  <si>
    <t>gemma</t>
  </si>
  <si>
    <t>pinch</t>
  </si>
  <si>
    <t>ingredients</t>
  </si>
  <si>
    <t>ra</t>
  </si>
  <si>
    <t>hurricane</t>
  </si>
  <si>
    <t>chatting</t>
  </si>
  <si>
    <t>mini</t>
  </si>
  <si>
    <t>heel</t>
  </si>
  <si>
    <t>adding</t>
  </si>
  <si>
    <t>bandit</t>
  </si>
  <si>
    <t>destined</t>
  </si>
  <si>
    <t>limo</t>
  </si>
  <si>
    <t>spa</t>
  </si>
  <si>
    <t>graves</t>
  </si>
  <si>
    <t>turkish</t>
  </si>
  <si>
    <t>listed</t>
  </si>
  <si>
    <t>corpses</t>
  </si>
  <si>
    <t>matty</t>
  </si>
  <si>
    <t>evacuate</t>
  </si>
  <si>
    <t>publish</t>
  </si>
  <si>
    <t>judith</t>
  </si>
  <si>
    <t>banned</t>
  </si>
  <si>
    <t>snaps</t>
  </si>
  <si>
    <t>cheeks</t>
  </si>
  <si>
    <t>predict</t>
  </si>
  <si>
    <t>ohio</t>
  </si>
  <si>
    <t>holland</t>
  </si>
  <si>
    <t>confront</t>
  </si>
  <si>
    <t>utterly</t>
  </si>
  <si>
    <t>pals</t>
  </si>
  <si>
    <t>pilots</t>
  </si>
  <si>
    <t>umm</t>
  </si>
  <si>
    <t>jonah</t>
  </si>
  <si>
    <t>ironic</t>
  </si>
  <si>
    <t>improved</t>
  </si>
  <si>
    <t>popping</t>
  </si>
  <si>
    <t>mills</t>
  </si>
  <si>
    <t>farther</t>
  </si>
  <si>
    <t>delivering</t>
  </si>
  <si>
    <t>skipper</t>
  </si>
  <si>
    <t>flattered</t>
  </si>
  <si>
    <t>coconut</t>
  </si>
  <si>
    <t>acknowledge</t>
  </si>
  <si>
    <t>shuts</t>
  </si>
  <si>
    <t>sweden</t>
  </si>
  <si>
    <t>hooray</t>
  </si>
  <si>
    <t>sip</t>
  </si>
  <si>
    <t>blessings</t>
  </si>
  <si>
    <t>grocery</t>
  </si>
  <si>
    <t>terminal</t>
  </si>
  <si>
    <t>parks</t>
  </si>
  <si>
    <t>meaningless</t>
  </si>
  <si>
    <t>awards</t>
  </si>
  <si>
    <t>fade</t>
  </si>
  <si>
    <t>hiring</t>
  </si>
  <si>
    <t>burton</t>
  </si>
  <si>
    <t>fees</t>
  </si>
  <si>
    <t>wretched</t>
  </si>
  <si>
    <t>krishna</t>
  </si>
  <si>
    <t>thoroughly</t>
  </si>
  <si>
    <t>exhibition</t>
  </si>
  <si>
    <t>spends</t>
  </si>
  <si>
    <t>denver</t>
  </si>
  <si>
    <t>80s</t>
  </si>
  <si>
    <t>winners</t>
  </si>
  <si>
    <t>doris</t>
  </si>
  <si>
    <t>luther</t>
  </si>
  <si>
    <t>disappearance</t>
  </si>
  <si>
    <t>madrid</t>
  </si>
  <si>
    <t>supported</t>
  </si>
  <si>
    <t>advised</t>
  </si>
  <si>
    <t>regina</t>
  </si>
  <si>
    <t>supermarket</t>
  </si>
  <si>
    <t>hereby</t>
  </si>
  <si>
    <t>pier</t>
  </si>
  <si>
    <t>shorter</t>
  </si>
  <si>
    <t>betrayal</t>
  </si>
  <si>
    <t>philadelphia</t>
  </si>
  <si>
    <t>christians</t>
  </si>
  <si>
    <t>psychology</t>
  </si>
  <si>
    <t>danielle</t>
  </si>
  <si>
    <t>trent</t>
  </si>
  <si>
    <t>keeper</t>
  </si>
  <si>
    <t>detroit</t>
  </si>
  <si>
    <t>canadian</t>
  </si>
  <si>
    <t>su</t>
  </si>
  <si>
    <t>associates</t>
  </si>
  <si>
    <t>gerry</t>
  </si>
  <si>
    <t>restless</t>
  </si>
  <si>
    <t>collector</t>
  </si>
  <si>
    <t>marvellous</t>
  </si>
  <si>
    <t>physician</t>
  </si>
  <si>
    <t>exposure</t>
  </si>
  <si>
    <t>grudge</t>
  </si>
  <si>
    <t>lid</t>
  </si>
  <si>
    <t>followers</t>
  </si>
  <si>
    <t>glow</t>
  </si>
  <si>
    <t>submarine</t>
  </si>
  <si>
    <t>towns</t>
  </si>
  <si>
    <t>pawn</t>
  </si>
  <si>
    <t>edith</t>
  </si>
  <si>
    <t>includes</t>
  </si>
  <si>
    <t>lu</t>
  </si>
  <si>
    <t>proposition</t>
  </si>
  <si>
    <t>joker</t>
  </si>
  <si>
    <t>spilled</t>
  </si>
  <si>
    <t>opposition</t>
  </si>
  <si>
    <t>jang</t>
  </si>
  <si>
    <t>haley</t>
  </si>
  <si>
    <t>hose</t>
  </si>
  <si>
    <t>partnership</t>
  </si>
  <si>
    <t>usa</t>
  </si>
  <si>
    <t>timmy</t>
  </si>
  <si>
    <t>breathes</t>
  </si>
  <si>
    <t>whoops</t>
  </si>
  <si>
    <t>astronaut</t>
  </si>
  <si>
    <t>porch</t>
  </si>
  <si>
    <t>leonardo</t>
  </si>
  <si>
    <t>responding</t>
  </si>
  <si>
    <t>wishing</t>
  </si>
  <si>
    <t>boil</t>
  </si>
  <si>
    <t>kneel</t>
  </si>
  <si>
    <t>tammy</t>
  </si>
  <si>
    <t>clumsy</t>
  </si>
  <si>
    <t>rapid</t>
  </si>
  <si>
    <t>xiao</t>
  </si>
  <si>
    <t>stevens</t>
  </si>
  <si>
    <t>invested</t>
  </si>
  <si>
    <t>janice</t>
  </si>
  <si>
    <t>roller</t>
  </si>
  <si>
    <t>thai</t>
  </si>
  <si>
    <t>justify</t>
  </si>
  <si>
    <t>garlic</t>
  </si>
  <si>
    <t>yelled</t>
  </si>
  <si>
    <t>simone</t>
  </si>
  <si>
    <t>ammunition</t>
  </si>
  <si>
    <t>sushi</t>
  </si>
  <si>
    <t>shaft</t>
  </si>
  <si>
    <t>definition</t>
  </si>
  <si>
    <t>gardens</t>
  </si>
  <si>
    <t>chandler</t>
  </si>
  <si>
    <t>ne</t>
  </si>
  <si>
    <t>notify</t>
  </si>
  <si>
    <t>brady</t>
  </si>
  <si>
    <t>beasts</t>
  </si>
  <si>
    <t>setup</t>
  </si>
  <si>
    <t>greed</t>
  </si>
  <si>
    <t>dared</t>
  </si>
  <si>
    <t>unlucky</t>
  </si>
  <si>
    <t>classroom</t>
  </si>
  <si>
    <t>treaty</t>
  </si>
  <si>
    <t>hike</t>
  </si>
  <si>
    <t>dagger</t>
  </si>
  <si>
    <t>spine</t>
  </si>
  <si>
    <t>detect</t>
  </si>
  <si>
    <t>chow</t>
  </si>
  <si>
    <t>des</t>
  </si>
  <si>
    <t>teenagers</t>
  </si>
  <si>
    <t>handwriting</t>
  </si>
  <si>
    <t>mock</t>
  </si>
  <si>
    <t>challenging</t>
  </si>
  <si>
    <t>salon</t>
  </si>
  <si>
    <t>virtue</t>
  </si>
  <si>
    <t>lawsuit</t>
  </si>
  <si>
    <t>shelly</t>
  </si>
  <si>
    <t>clap</t>
  </si>
  <si>
    <t>mustache</t>
  </si>
  <si>
    <t>offence</t>
  </si>
  <si>
    <t>med</t>
  </si>
  <si>
    <t>sultan</t>
  </si>
  <si>
    <t>attraction</t>
  </si>
  <si>
    <t>franco</t>
  </si>
  <si>
    <t>courts</t>
  </si>
  <si>
    <t>fortress</t>
  </si>
  <si>
    <t>café</t>
  </si>
  <si>
    <t>peel</t>
  </si>
  <si>
    <t>petrol</t>
  </si>
  <si>
    <t>disappears</t>
  </si>
  <si>
    <t>asset</t>
  </si>
  <si>
    <t>warp</t>
  </si>
  <si>
    <t>workshop</t>
  </si>
  <si>
    <t>traps</t>
  </si>
  <si>
    <t>jeannie</t>
  </si>
  <si>
    <t>appreciated</t>
  </si>
  <si>
    <t>condemned</t>
  </si>
  <si>
    <t>garrett</t>
  </si>
  <si>
    <t>muttering</t>
  </si>
  <si>
    <t>shook</t>
  </si>
  <si>
    <t>naval</t>
  </si>
  <si>
    <t>egyptian</t>
  </si>
  <si>
    <t>expand</t>
  </si>
  <si>
    <t>sunrise</t>
  </si>
  <si>
    <t>swine</t>
  </si>
  <si>
    <t>jingle</t>
  </si>
  <si>
    <t>lordship</t>
  </si>
  <si>
    <t>peach</t>
  </si>
  <si>
    <t>filmed</t>
  </si>
  <si>
    <t>pakistan</t>
  </si>
  <si>
    <t>oughta</t>
  </si>
  <si>
    <t>selection</t>
  </si>
  <si>
    <t>squeaking</t>
  </si>
  <si>
    <t>condom</t>
  </si>
  <si>
    <t>sadie</t>
  </si>
  <si>
    <t>barbie</t>
  </si>
  <si>
    <t>alongside</t>
  </si>
  <si>
    <t>risking</t>
  </si>
  <si>
    <t>democratic</t>
  </si>
  <si>
    <t>nerd</t>
  </si>
  <si>
    <t>dancers</t>
  </si>
  <si>
    <t>crook</t>
  </si>
  <si>
    <t>mack</t>
  </si>
  <si>
    <t>grasp</t>
  </si>
  <si>
    <t>translate</t>
  </si>
  <si>
    <t>behaving</t>
  </si>
  <si>
    <t>humiliating</t>
  </si>
  <si>
    <t>quarrel</t>
  </si>
  <si>
    <t>lively</t>
  </si>
  <si>
    <t>fury</t>
  </si>
  <si>
    <t>policemen</t>
  </si>
  <si>
    <t>sensei</t>
  </si>
  <si>
    <t>elders</t>
  </si>
  <si>
    <t>battlefield</t>
  </si>
  <si>
    <t>sticky</t>
  </si>
  <si>
    <t>glen</t>
  </si>
  <si>
    <t>liu</t>
  </si>
  <si>
    <t>primitive</t>
  </si>
  <si>
    <t>reign</t>
  </si>
  <si>
    <t>eugene</t>
  </si>
  <si>
    <t>stash</t>
  </si>
  <si>
    <t>evolved</t>
  </si>
  <si>
    <t>shifts</t>
  </si>
  <si>
    <t>unlock</t>
  </si>
  <si>
    <t>devices</t>
  </si>
  <si>
    <t>peculiar</t>
  </si>
  <si>
    <t>talents</t>
  </si>
  <si>
    <t>anita</t>
  </si>
  <si>
    <t>foreigners</t>
  </si>
  <si>
    <t>snacks</t>
  </si>
  <si>
    <t>mint</t>
  </si>
  <si>
    <t>pissing</t>
  </si>
  <si>
    <t>fuse</t>
  </si>
  <si>
    <t>manuel</t>
  </si>
  <si>
    <t>towers</t>
  </si>
  <si>
    <t>freezer</t>
  </si>
  <si>
    <t>inheritance</t>
  </si>
  <si>
    <t>villages</t>
  </si>
  <si>
    <t>beckett</t>
  </si>
  <si>
    <t>jewel</t>
  </si>
  <si>
    <t>bollocks</t>
  </si>
  <si>
    <t>shells</t>
  </si>
  <si>
    <t>swept</t>
  </si>
  <si>
    <t>recognition</t>
  </si>
  <si>
    <t>shovel</t>
  </si>
  <si>
    <t>artistic</t>
  </si>
  <si>
    <t>qualities</t>
  </si>
  <si>
    <t>ferry</t>
  </si>
  <si>
    <t>darren</t>
  </si>
  <si>
    <t>misunderstood</t>
  </si>
  <si>
    <t>portal</t>
  </si>
  <si>
    <t>atomic</t>
  </si>
  <si>
    <t>javier</t>
  </si>
  <si>
    <t>ava</t>
  </si>
  <si>
    <t>claiming</t>
  </si>
  <si>
    <t>examined</t>
  </si>
  <si>
    <t>defensive</t>
  </si>
  <si>
    <t>kenneth</t>
  </si>
  <si>
    <t>kat</t>
  </si>
  <si>
    <t>sensation</t>
  </si>
  <si>
    <t>ahhh</t>
  </si>
  <si>
    <t>5th</t>
  </si>
  <si>
    <t>increasing</t>
  </si>
  <si>
    <t>fugitive</t>
  </si>
  <si>
    <t>urban</t>
  </si>
  <si>
    <t>visions</t>
  </si>
  <si>
    <t>bathing</t>
  </si>
  <si>
    <t>gregory</t>
  </si>
  <si>
    <t>delight</t>
  </si>
  <si>
    <t>iot</t>
  </si>
  <si>
    <t>genes</t>
  </si>
  <si>
    <t>boundaries</t>
  </si>
  <si>
    <t>caution</t>
  </si>
  <si>
    <t>ellis</t>
  </si>
  <si>
    <t>strangled</t>
  </si>
  <si>
    <t>thorough</t>
  </si>
  <si>
    <t>ike</t>
  </si>
  <si>
    <t>bites</t>
  </si>
  <si>
    <t>nude</t>
  </si>
  <si>
    <t>tidy</t>
  </si>
  <si>
    <t>patricia</t>
  </si>
  <si>
    <t>tate</t>
  </si>
  <si>
    <t>obligation</t>
  </si>
  <si>
    <t>ari</t>
  </si>
  <si>
    <t>clearance</t>
  </si>
  <si>
    <t>reserved</t>
  </si>
  <si>
    <t>nasa</t>
  </si>
  <si>
    <t>spock</t>
  </si>
  <si>
    <t>marion</t>
  </si>
  <si>
    <t>this-</t>
  </si>
  <si>
    <t>reflect</t>
  </si>
  <si>
    <t>jammed</t>
  </si>
  <si>
    <t>sleeve</t>
  </si>
  <si>
    <t>classy</t>
  </si>
  <si>
    <t>fag</t>
  </si>
  <si>
    <t>angelo</t>
  </si>
  <si>
    <t>bradley</t>
  </si>
  <si>
    <t>bananas</t>
  </si>
  <si>
    <t>ex-husband</t>
  </si>
  <si>
    <t>saints</t>
  </si>
  <si>
    <t>longest</t>
  </si>
  <si>
    <t>confirmation</t>
  </si>
  <si>
    <t>mushrooms</t>
  </si>
  <si>
    <t>cyrus</t>
  </si>
  <si>
    <t>toni</t>
  </si>
  <si>
    <t>p.</t>
  </si>
  <si>
    <t>finals</t>
  </si>
  <si>
    <t>millionaire</t>
  </si>
  <si>
    <t>adoption</t>
  </si>
  <si>
    <t>wired</t>
  </si>
  <si>
    <t>comet</t>
  </si>
  <si>
    <t>handing</t>
  </si>
  <si>
    <t>cheerful</t>
  </si>
  <si>
    <t>deb</t>
  </si>
  <si>
    <t>acceptable</t>
  </si>
  <si>
    <t>realistic</t>
  </si>
  <si>
    <t>waits</t>
  </si>
  <si>
    <t>sufficient</t>
  </si>
  <si>
    <t>cosmic</t>
  </si>
  <si>
    <t>nolan</t>
  </si>
  <si>
    <t>gabe</t>
  </si>
  <si>
    <t>intellectual</t>
  </si>
  <si>
    <t>we</t>
  </si>
  <si>
    <t>vomit</t>
  </si>
  <si>
    <t>warmth</t>
  </si>
  <si>
    <t>magnum</t>
  </si>
  <si>
    <t>associated</t>
  </si>
  <si>
    <t>alas</t>
  </si>
  <si>
    <t>engineers</t>
  </si>
  <si>
    <t>offend</t>
  </si>
  <si>
    <t>overwhelming</t>
  </si>
  <si>
    <t>sherry</t>
  </si>
  <si>
    <t>inherited</t>
  </si>
  <si>
    <t>antoine</t>
  </si>
  <si>
    <t>whooping</t>
  </si>
  <si>
    <t>scars</t>
  </si>
  <si>
    <t>sheldon</t>
  </si>
  <si>
    <t>purposes</t>
  </si>
  <si>
    <t>robbing</t>
  </si>
  <si>
    <t>refrigerator</t>
  </si>
  <si>
    <t>instructor</t>
  </si>
  <si>
    <t>darrin</t>
  </si>
  <si>
    <t>moms</t>
  </si>
  <si>
    <t>overtime</t>
  </si>
  <si>
    <t>percy</t>
  </si>
  <si>
    <t>laurel</t>
  </si>
  <si>
    <t>females</t>
  </si>
  <si>
    <t>sacrifices</t>
  </si>
  <si>
    <t>representing</t>
  </si>
  <si>
    <t>drift</t>
  </si>
  <si>
    <t>ruthless</t>
  </si>
  <si>
    <t>a</t>
  </si>
  <si>
    <t>po</t>
  </si>
  <si>
    <t>arguments</t>
  </si>
  <si>
    <t>crappy</t>
  </si>
  <si>
    <t>musicians</t>
  </si>
  <si>
    <t>sidney</t>
  </si>
  <si>
    <t>depressing</t>
  </si>
  <si>
    <t>lasts</t>
  </si>
  <si>
    <t>doom</t>
  </si>
  <si>
    <t>milo</t>
  </si>
  <si>
    <t>cant</t>
  </si>
  <si>
    <t>backpack</t>
  </si>
  <si>
    <t>aisle</t>
  </si>
  <si>
    <t>insulting</t>
  </si>
  <si>
    <t>edition</t>
  </si>
  <si>
    <t>losses</t>
  </si>
  <si>
    <t>sh</t>
  </si>
  <si>
    <t>preacher</t>
  </si>
  <si>
    <t>schmidt</t>
  </si>
  <si>
    <t>swinging</t>
  </si>
  <si>
    <t>managing</t>
  </si>
  <si>
    <t>sinking</t>
  </si>
  <si>
    <t>lacey</t>
  </si>
  <si>
    <t>casting</t>
  </si>
  <si>
    <t>trials</t>
  </si>
  <si>
    <t>demonstrate</t>
  </si>
  <si>
    <t>diseases</t>
  </si>
  <si>
    <t>beggar</t>
  </si>
  <si>
    <t>amounts</t>
  </si>
  <si>
    <t>traced</t>
  </si>
  <si>
    <t>raven</t>
  </si>
  <si>
    <t>activate</t>
  </si>
  <si>
    <t>slapped</t>
  </si>
  <si>
    <t>heroic</t>
  </si>
  <si>
    <t>roar</t>
  </si>
  <si>
    <t>queer</t>
  </si>
  <si>
    <t>uk</t>
  </si>
  <si>
    <t>matching</t>
  </si>
  <si>
    <t>trump</t>
  </si>
  <si>
    <t>resignation</t>
  </si>
  <si>
    <t>newton</t>
  </si>
  <si>
    <t>sincerely</t>
  </si>
  <si>
    <t>stacy</t>
  </si>
  <si>
    <t>saul</t>
  </si>
  <si>
    <t>madman</t>
  </si>
  <si>
    <t>jenkins</t>
  </si>
  <si>
    <t>poke</t>
  </si>
  <si>
    <t>spicy</t>
  </si>
  <si>
    <t>swap</t>
  </si>
  <si>
    <t>programs</t>
  </si>
  <si>
    <t>sheer</t>
  </si>
  <si>
    <t>spaceship</t>
  </si>
  <si>
    <t>schultz</t>
  </si>
  <si>
    <t>blink</t>
  </si>
  <si>
    <t>steer</t>
  </si>
  <si>
    <t>males</t>
  </si>
  <si>
    <t>injection</t>
  </si>
  <si>
    <t>know-</t>
  </si>
  <si>
    <t>ant</t>
  </si>
  <si>
    <t>reform</t>
  </si>
  <si>
    <t>mother-in-law</t>
  </si>
  <si>
    <t>properties</t>
  </si>
  <si>
    <t>virtually</t>
  </si>
  <si>
    <t>camps</t>
  </si>
  <si>
    <t>tapping</t>
  </si>
  <si>
    <t>tequila</t>
  </si>
  <si>
    <t>inquiry</t>
  </si>
  <si>
    <t>fainted</t>
  </si>
  <si>
    <t>formation</t>
  </si>
  <si>
    <t>shields</t>
  </si>
  <si>
    <t>escaping</t>
  </si>
  <si>
    <t>unemployed</t>
  </si>
  <si>
    <t>murdering</t>
  </si>
  <si>
    <t>interviewed</t>
  </si>
  <si>
    <t>striking</t>
  </si>
  <si>
    <t>vows</t>
  </si>
  <si>
    <t>donovan</t>
  </si>
  <si>
    <t>antique</t>
  </si>
  <si>
    <t>il</t>
  </si>
  <si>
    <t>sherlock</t>
  </si>
  <si>
    <t>puke</t>
  </si>
  <si>
    <t>hysterical</t>
  </si>
  <si>
    <t>taller</t>
  </si>
  <si>
    <t>employment</t>
  </si>
  <si>
    <t>thats</t>
  </si>
  <si>
    <t>agrees</t>
  </si>
  <si>
    <t>dodge</t>
  </si>
  <si>
    <t>unite</t>
  </si>
  <si>
    <t>mumbling</t>
  </si>
  <si>
    <t>rabbits</t>
  </si>
  <si>
    <t>repeating</t>
  </si>
  <si>
    <t>mule</t>
  </si>
  <si>
    <t>locals</t>
  </si>
  <si>
    <t>v.</t>
  </si>
  <si>
    <t>neighbourhood</t>
  </si>
  <si>
    <t>hayes</t>
  </si>
  <si>
    <t>bats</t>
  </si>
  <si>
    <t>beliefs</t>
  </si>
  <si>
    <t>spared</t>
  </si>
  <si>
    <t>vegetable</t>
  </si>
  <si>
    <t>ch00ffff</t>
  </si>
  <si>
    <t>liv</t>
  </si>
  <si>
    <t>bunker</t>
  </si>
  <si>
    <t>channels</t>
  </si>
  <si>
    <t>phenomenon</t>
  </si>
  <si>
    <t>hips</t>
  </si>
  <si>
    <t>grayson</t>
  </si>
  <si>
    <t>expelled</t>
  </si>
  <si>
    <t>camille</t>
  </si>
  <si>
    <t>languages</t>
  </si>
  <si>
    <t>iv</t>
  </si>
  <si>
    <t>premises</t>
  </si>
  <si>
    <t>pronounce</t>
  </si>
  <si>
    <t>ng</t>
  </si>
  <si>
    <t>bridges</t>
  </si>
  <si>
    <t>ape</t>
  </si>
  <si>
    <t>julius</t>
  </si>
  <si>
    <t>bruises</t>
  </si>
  <si>
    <t>convict</t>
  </si>
  <si>
    <t>prettier</t>
  </si>
  <si>
    <t>elections</t>
  </si>
  <si>
    <t>18th</t>
  </si>
  <si>
    <t>annoyed</t>
  </si>
  <si>
    <t>hometown</t>
  </si>
  <si>
    <t>earrings</t>
  </si>
  <si>
    <t>discreet</t>
  </si>
  <si>
    <t>poured</t>
  </si>
  <si>
    <t>morphine</t>
  </si>
  <si>
    <t>henderson</t>
  </si>
  <si>
    <t>jun</t>
  </si>
  <si>
    <t>narrating</t>
  </si>
  <si>
    <t>rookie</t>
  </si>
  <si>
    <t>peanuts</t>
  </si>
  <si>
    <t>camel</t>
  </si>
  <si>
    <t>abe</t>
  </si>
  <si>
    <t>chewing</t>
  </si>
  <si>
    <t>imagining</t>
  </si>
  <si>
    <t>runner</t>
  </si>
  <si>
    <t>hyun</t>
  </si>
  <si>
    <t>tomatoes</t>
  </si>
  <si>
    <t>sponsor</t>
  </si>
  <si>
    <t>fulfilled</t>
  </si>
  <si>
    <t>probe</t>
  </si>
  <si>
    <t>karate</t>
  </si>
  <si>
    <t>grease</t>
  </si>
  <si>
    <t>dinosaurs</t>
  </si>
  <si>
    <t>rebellion</t>
  </si>
  <si>
    <t>marta</t>
  </si>
  <si>
    <t>lone</t>
  </si>
  <si>
    <t>nan</t>
  </si>
  <si>
    <t>underestimate</t>
  </si>
  <si>
    <t>acres</t>
  </si>
  <si>
    <t>carlton</t>
  </si>
  <si>
    <t>hacked</t>
  </si>
  <si>
    <t>barber</t>
  </si>
  <si>
    <t>mining</t>
  </si>
  <si>
    <t>aged</t>
  </si>
  <si>
    <t>designs</t>
  </si>
  <si>
    <t>preferred</t>
  </si>
  <si>
    <t>19th</t>
  </si>
  <si>
    <t>onions</t>
  </si>
  <si>
    <t>stray</t>
  </si>
  <si>
    <t>void</t>
  </si>
  <si>
    <t>sixteen</t>
  </si>
  <si>
    <t>slower</t>
  </si>
  <si>
    <t>hannibal</t>
  </si>
  <si>
    <t>sabotage</t>
  </si>
  <si>
    <t>rabbi</t>
  </si>
  <si>
    <t>concerning</t>
  </si>
  <si>
    <t>dixon</t>
  </si>
  <si>
    <t>holt</t>
  </si>
  <si>
    <t>mannix</t>
  </si>
  <si>
    <t>noted</t>
  </si>
  <si>
    <t>peterson</t>
  </si>
  <si>
    <t>dental</t>
  </si>
  <si>
    <t>obama</t>
  </si>
  <si>
    <t>squirrel</t>
  </si>
  <si>
    <t>committing</t>
  </si>
  <si>
    <t>werewolf</t>
  </si>
  <si>
    <t>slipping</t>
  </si>
  <si>
    <t>mm-mm</t>
  </si>
  <si>
    <t>matthews</t>
  </si>
  <si>
    <t>explosions</t>
  </si>
  <si>
    <t>seo</t>
  </si>
  <si>
    <t>russ</t>
  </si>
  <si>
    <t>whitney</t>
  </si>
  <si>
    <t>ignoring</t>
  </si>
  <si>
    <t>infinite</t>
  </si>
  <si>
    <t>cavalry</t>
  </si>
  <si>
    <t>lam</t>
  </si>
  <si>
    <t>suzanne</t>
  </si>
  <si>
    <t>bomber</t>
  </si>
  <si>
    <t>ruling</t>
  </si>
  <si>
    <t>boiling</t>
  </si>
  <si>
    <t>needles</t>
  </si>
  <si>
    <t>semester</t>
  </si>
  <si>
    <t>irrelevant</t>
  </si>
  <si>
    <t>savior</t>
  </si>
  <si>
    <t>veil</t>
  </si>
  <si>
    <t>tramp</t>
  </si>
  <si>
    <t>roberto</t>
  </si>
  <si>
    <t>deepest</t>
  </si>
  <si>
    <t>perfection</t>
  </si>
  <si>
    <t>shutting</t>
  </si>
  <si>
    <t>iii</t>
  </si>
  <si>
    <t>tiffany</t>
  </si>
  <si>
    <t>mentor</t>
  </si>
  <si>
    <t>branches</t>
  </si>
  <si>
    <t>enthusiasm</t>
  </si>
  <si>
    <t>arena</t>
  </si>
  <si>
    <t>listens</t>
  </si>
  <si>
    <t>hardware</t>
  </si>
  <si>
    <t>greatly</t>
  </si>
  <si>
    <t>battalion</t>
  </si>
  <si>
    <t>moustache</t>
  </si>
  <si>
    <t>irresponsible</t>
  </si>
  <si>
    <t>audio</t>
  </si>
  <si>
    <t>ga</t>
  </si>
  <si>
    <t>initiative</t>
  </si>
  <si>
    <t>sweaty</t>
  </si>
  <si>
    <t>noel</t>
  </si>
  <si>
    <t>requests</t>
  </si>
  <si>
    <t>distraction</t>
  </si>
  <si>
    <t>parrot</t>
  </si>
  <si>
    <t>steed</t>
  </si>
  <si>
    <t>entertaining</t>
  </si>
  <si>
    <t>whipped</t>
  </si>
  <si>
    <t>proving</t>
  </si>
  <si>
    <t>assaulted</t>
  </si>
  <si>
    <t>piggy</t>
  </si>
  <si>
    <t>pause</t>
  </si>
  <si>
    <t>surviving</t>
  </si>
  <si>
    <t>funding</t>
  </si>
  <si>
    <t>dinosaur</t>
  </si>
  <si>
    <t>acquaintance</t>
  </si>
  <si>
    <t>bedtime</t>
  </si>
  <si>
    <t>rail</t>
  </si>
  <si>
    <t>rooster</t>
  </si>
  <si>
    <t>cowards</t>
  </si>
  <si>
    <t>hastings</t>
  </si>
  <si>
    <t>container</t>
  </si>
  <si>
    <t>lori</t>
  </si>
  <si>
    <t>secured</t>
  </si>
  <si>
    <t>tossed</t>
  </si>
  <si>
    <t>stripper</t>
  </si>
  <si>
    <t>s.</t>
  </si>
  <si>
    <t>steele</t>
  </si>
  <si>
    <t>waving</t>
  </si>
  <si>
    <t>clamoring</t>
  </si>
  <si>
    <t>banker</t>
  </si>
  <si>
    <t>bacteria</t>
  </si>
  <si>
    <t>indicates</t>
  </si>
  <si>
    <t>assassination</t>
  </si>
  <si>
    <t>yeah.</t>
  </si>
  <si>
    <t>starring</t>
  </si>
  <si>
    <t>drawings</t>
  </si>
  <si>
    <t>cupboard</t>
  </si>
  <si>
    <t>sanctuary</t>
  </si>
  <si>
    <t>surgical</t>
  </si>
  <si>
    <t>pairs</t>
  </si>
  <si>
    <t>purely</t>
  </si>
  <si>
    <t>temptation</t>
  </si>
  <si>
    <t>elderly</t>
  </si>
  <si>
    <t>geoffrey</t>
  </si>
  <si>
    <t>vibe</t>
  </si>
  <si>
    <t>profound</t>
  </si>
  <si>
    <t>gong</t>
  </si>
  <si>
    <t>transformed</t>
  </si>
  <si>
    <t>crop</t>
  </si>
  <si>
    <t>21st</t>
  </si>
  <si>
    <t>detailed</t>
  </si>
  <si>
    <t>scrap</t>
  </si>
  <si>
    <t>abigail</t>
  </si>
  <si>
    <t>careless</t>
  </si>
  <si>
    <t>dove</t>
  </si>
  <si>
    <t>sloppy</t>
  </si>
  <si>
    <t>atlanta</t>
  </si>
  <si>
    <t>hideous</t>
  </si>
  <si>
    <t>10th</t>
  </si>
  <si>
    <t>lizard</t>
  </si>
  <si>
    <t>separation</t>
  </si>
  <si>
    <t>intern</t>
  </si>
  <si>
    <t>tab</t>
  </si>
  <si>
    <t>psych</t>
  </si>
  <si>
    <t>ranks</t>
  </si>
  <si>
    <t>parish</t>
  </si>
  <si>
    <t>booty</t>
  </si>
  <si>
    <t>peasant</t>
  </si>
  <si>
    <t>squeal</t>
  </si>
  <si>
    <t>oooh</t>
  </si>
  <si>
    <t>comb</t>
  </si>
  <si>
    <t>bash</t>
  </si>
  <si>
    <t>restored</t>
  </si>
  <si>
    <t>platoon</t>
  </si>
  <si>
    <t>junkie</t>
  </si>
  <si>
    <t>involves</t>
  </si>
  <si>
    <t>rupert</t>
  </si>
  <si>
    <t>norm</t>
  </si>
  <si>
    <t>carrier</t>
  </si>
  <si>
    <t>fatty</t>
  </si>
  <si>
    <t>difficulties</t>
  </si>
  <si>
    <t>producers</t>
  </si>
  <si>
    <t>superb</t>
  </si>
  <si>
    <t>tha</t>
  </si>
  <si>
    <t>candidates</t>
  </si>
  <si>
    <t>summoned</t>
  </si>
  <si>
    <t>15th</t>
  </si>
  <si>
    <t>refuge</t>
  </si>
  <si>
    <t>righteous</t>
  </si>
  <si>
    <t>carolina</t>
  </si>
  <si>
    <t>onion</t>
  </si>
  <si>
    <t>natasha</t>
  </si>
  <si>
    <t>pickup</t>
  </si>
  <si>
    <t>spells</t>
  </si>
  <si>
    <t>wesley</t>
  </si>
  <si>
    <t>carrington</t>
  </si>
  <si>
    <t>armies</t>
  </si>
  <si>
    <t>seasons</t>
  </si>
  <si>
    <t>senor</t>
  </si>
  <si>
    <t>billie</t>
  </si>
  <si>
    <t>specialty</t>
  </si>
  <si>
    <t>thirst</t>
  </si>
  <si>
    <t>select</t>
  </si>
  <si>
    <t>rendezvous</t>
  </si>
  <si>
    <t>smiled</t>
  </si>
  <si>
    <t>colorado</t>
  </si>
  <si>
    <t>visa</t>
  </si>
  <si>
    <t>spice</t>
  </si>
  <si>
    <t>caller</t>
  </si>
  <si>
    <t>foods</t>
  </si>
  <si>
    <t>rational</t>
  </si>
  <si>
    <t>scottish</t>
  </si>
  <si>
    <t>cunning</t>
  </si>
  <si>
    <t>grunt</t>
  </si>
  <si>
    <t>knot</t>
  </si>
  <si>
    <t>hairs</t>
  </si>
  <si>
    <t>payments</t>
  </si>
  <si>
    <t>granddad</t>
  </si>
  <si>
    <t>massacre</t>
  </si>
  <si>
    <t>competitive</t>
  </si>
  <si>
    <t>herb</t>
  </si>
  <si>
    <t>mae</t>
  </si>
  <si>
    <t>immune</t>
  </si>
  <si>
    <t>grenade</t>
  </si>
  <si>
    <t>regularly</t>
  </si>
  <si>
    <t>stakes</t>
  </si>
  <si>
    <t>kilos</t>
  </si>
  <si>
    <t>monks</t>
  </si>
  <si>
    <t>70s</t>
  </si>
  <si>
    <t>gail</t>
  </si>
  <si>
    <t>guinea</t>
  </si>
  <si>
    <t>invent</t>
  </si>
  <si>
    <t>nursery</t>
  </si>
  <si>
    <t>protein</t>
  </si>
  <si>
    <t>elbow</t>
  </si>
  <si>
    <t>keller</t>
  </si>
  <si>
    <t>clowns</t>
  </si>
  <si>
    <t>thirteen</t>
  </si>
  <si>
    <t>tattoos</t>
  </si>
  <si>
    <t>flown</t>
  </si>
  <si>
    <t>mustard</t>
  </si>
  <si>
    <t>7th</t>
  </si>
  <si>
    <t>terrace</t>
  </si>
  <si>
    <t>alter</t>
  </si>
  <si>
    <t>franz</t>
  </si>
  <si>
    <t>transportation</t>
  </si>
  <si>
    <t>what-</t>
  </si>
  <si>
    <t>lens</t>
  </si>
  <si>
    <t>alaska</t>
  </si>
  <si>
    <t>ha-ha-ha</t>
  </si>
  <si>
    <t>interference</t>
  </si>
  <si>
    <t>freakin</t>
  </si>
  <si>
    <t>wont</t>
  </si>
  <si>
    <t>weep</t>
  </si>
  <si>
    <t>clive</t>
  </si>
  <si>
    <t>mourning</t>
  </si>
  <si>
    <t>crooked</t>
  </si>
  <si>
    <t>trainer</t>
  </si>
  <si>
    <t>janitor</t>
  </si>
  <si>
    <t>gradually</t>
  </si>
  <si>
    <t>immigration</t>
  </si>
  <si>
    <t>filth</t>
  </si>
  <si>
    <t>momma</t>
  </si>
  <si>
    <t>father-in-law</t>
  </si>
  <si>
    <t>jackass</t>
  </si>
  <si>
    <t>cho</t>
  </si>
  <si>
    <t>reminder</t>
  </si>
  <si>
    <t>culprit</t>
  </si>
  <si>
    <t>gabrielle</t>
  </si>
  <si>
    <t>innit</t>
  </si>
  <si>
    <t>magistrate</t>
  </si>
  <si>
    <t>jasmine</t>
  </si>
  <si>
    <t>m-</t>
  </si>
  <si>
    <t>womb</t>
  </si>
  <si>
    <t>texting</t>
  </si>
  <si>
    <t>injustice</t>
  </si>
  <si>
    <t>figuring</t>
  </si>
  <si>
    <t>fracture</t>
  </si>
  <si>
    <t>insanity</t>
  </si>
  <si>
    <t>peasants</t>
  </si>
  <si>
    <t>blossom</t>
  </si>
  <si>
    <t>etc</t>
  </si>
  <si>
    <t>agony</t>
  </si>
  <si>
    <t>sounding</t>
  </si>
  <si>
    <t>oz</t>
  </si>
  <si>
    <t>elementary</t>
  </si>
  <si>
    <t>seized</t>
  </si>
  <si>
    <t>teaches</t>
  </si>
  <si>
    <t>lovejoy</t>
  </si>
  <si>
    <t>phillips</t>
  </si>
  <si>
    <t>eighteen</t>
  </si>
  <si>
    <t>shack</t>
  </si>
  <si>
    <t>teen</t>
  </si>
  <si>
    <t>definite</t>
  </si>
  <si>
    <t>scrub</t>
  </si>
  <si>
    <t>ruler</t>
  </si>
  <si>
    <t>mold</t>
  </si>
  <si>
    <t>contents</t>
  </si>
  <si>
    <t>bitten</t>
  </si>
  <si>
    <t>antidote</t>
  </si>
  <si>
    <t>was-</t>
  </si>
  <si>
    <t>saves</t>
  </si>
  <si>
    <t>bunk</t>
  </si>
  <si>
    <t>thor</t>
  </si>
  <si>
    <t>republican</t>
  </si>
  <si>
    <t>graveyard</t>
  </si>
  <si>
    <t>attempts</t>
  </si>
  <si>
    <t>poirot</t>
  </si>
  <si>
    <t>aspect</t>
  </si>
  <si>
    <t>relate</t>
  </si>
  <si>
    <t>lemonade</t>
  </si>
  <si>
    <t>flour</t>
  </si>
  <si>
    <t>nypd</t>
  </si>
  <si>
    <t>biology</t>
  </si>
  <si>
    <t>dusty</t>
  </si>
  <si>
    <t>felony</t>
  </si>
  <si>
    <t>jax</t>
  </si>
  <si>
    <t>fundamental</t>
  </si>
  <si>
    <t>jai</t>
  </si>
  <si>
    <t>successfully</t>
  </si>
  <si>
    <t>potentially</t>
  </si>
  <si>
    <t>donnie</t>
  </si>
  <si>
    <t>strangely</t>
  </si>
  <si>
    <t>condoms</t>
  </si>
  <si>
    <t>quantum</t>
  </si>
  <si>
    <t>utter</t>
  </si>
  <si>
    <t>activated</t>
  </si>
  <si>
    <t>installed</t>
  </si>
  <si>
    <t>interrupted</t>
  </si>
  <si>
    <t>er</t>
  </si>
  <si>
    <t>discharge</t>
  </si>
  <si>
    <t>devastated</t>
  </si>
  <si>
    <t>substitute</t>
  </si>
  <si>
    <t>splash</t>
  </si>
  <si>
    <t>julio</t>
  </si>
  <si>
    <t>exile</t>
  </si>
  <si>
    <t>aspirin</t>
  </si>
  <si>
    <t>authentic</t>
  </si>
  <si>
    <t>12th</t>
  </si>
  <si>
    <t>summit</t>
  </si>
  <si>
    <t>beck</t>
  </si>
  <si>
    <t>addiction</t>
  </si>
  <si>
    <t>lent</t>
  </si>
  <si>
    <t>drone</t>
  </si>
  <si>
    <t>involving</t>
  </si>
  <si>
    <t>boyfriends</t>
  </si>
  <si>
    <t>tango</t>
  </si>
  <si>
    <t>permanently</t>
  </si>
  <si>
    <t>province</t>
  </si>
  <si>
    <t>attempting</t>
  </si>
  <si>
    <t>deceived</t>
  </si>
  <si>
    <t>know</t>
  </si>
  <si>
    <t>triangle</t>
  </si>
  <si>
    <t>skipped</t>
  </si>
  <si>
    <t>strawberry</t>
  </si>
  <si>
    <t>mirrors</t>
  </si>
  <si>
    <t>self-defense</t>
  </si>
  <si>
    <t>preston</t>
  </si>
  <si>
    <t>overwhelmed</t>
  </si>
  <si>
    <t>swift</t>
  </si>
  <si>
    <t>creeps</t>
  </si>
  <si>
    <t>token</t>
  </si>
  <si>
    <t>temporarily</t>
  </si>
  <si>
    <t>poisonous</t>
  </si>
  <si>
    <t>heidi</t>
  </si>
  <si>
    <t>diagnosis</t>
  </si>
  <si>
    <t>ninth</t>
  </si>
  <si>
    <t>locations</t>
  </si>
  <si>
    <t>retrieve</t>
  </si>
  <si>
    <t>robbers</t>
  </si>
  <si>
    <t>conclusions</t>
  </si>
  <si>
    <t>joanna</t>
  </si>
  <si>
    <t>disabled</t>
  </si>
  <si>
    <t>ira</t>
  </si>
  <si>
    <t>extension</t>
  </si>
  <si>
    <t>lining</t>
  </si>
  <si>
    <t>yuri</t>
  </si>
  <si>
    <t>hip-hop</t>
  </si>
  <si>
    <t>freeman</t>
  </si>
  <si>
    <t>scoop</t>
  </si>
  <si>
    <t>merlin</t>
  </si>
  <si>
    <t>bridget</t>
  </si>
  <si>
    <t>revving</t>
  </si>
  <si>
    <t>transform</t>
  </si>
  <si>
    <t>shelby</t>
  </si>
  <si>
    <t>hospitality</t>
  </si>
  <si>
    <t>brooks</t>
  </si>
  <si>
    <t>survey</t>
  </si>
  <si>
    <t>hunted</t>
  </si>
  <si>
    <t>cozy</t>
  </si>
  <si>
    <t>g.</t>
  </si>
  <si>
    <t>recommendation</t>
  </si>
  <si>
    <t>providing</t>
  </si>
  <si>
    <t>microphone</t>
  </si>
  <si>
    <t>skeleton</t>
  </si>
  <si>
    <t>muslims</t>
  </si>
  <si>
    <t>toll</t>
  </si>
  <si>
    <t>reconsider</t>
  </si>
  <si>
    <t>creaks</t>
  </si>
  <si>
    <t>extended</t>
  </si>
  <si>
    <t>spear</t>
  </si>
  <si>
    <t>overboard</t>
  </si>
  <si>
    <t>ai</t>
  </si>
  <si>
    <t>clinton</t>
  </si>
  <si>
    <t>petition</t>
  </si>
  <si>
    <t>baggage</t>
  </si>
  <si>
    <t>scumbag</t>
  </si>
  <si>
    <t>tribute</t>
  </si>
  <si>
    <t>weddings</t>
  </si>
  <si>
    <t>facilities</t>
  </si>
  <si>
    <t>bangs</t>
  </si>
  <si>
    <t>claw</t>
  </si>
  <si>
    <t>donation</t>
  </si>
  <si>
    <t>isabelle</t>
  </si>
  <si>
    <t>traitors</t>
  </si>
  <si>
    <t>mei</t>
  </si>
  <si>
    <t>jasper</t>
  </si>
  <si>
    <t>borders</t>
  </si>
  <si>
    <t>australian</t>
  </si>
  <si>
    <t>colby</t>
  </si>
  <si>
    <t>boxer</t>
  </si>
  <si>
    <t>whilst</t>
  </si>
  <si>
    <t>misfortune</t>
  </si>
  <si>
    <t>elaborate</t>
  </si>
  <si>
    <t>sights</t>
  </si>
  <si>
    <t>maestro</t>
  </si>
  <si>
    <t>mysteries</t>
  </si>
  <si>
    <t>loosen</t>
  </si>
  <si>
    <t>gifted</t>
  </si>
  <si>
    <t>i--i</t>
  </si>
  <si>
    <t>involvement</t>
  </si>
  <si>
    <t>affects</t>
  </si>
  <si>
    <t>summon</t>
  </si>
  <si>
    <t>sherman</t>
  </si>
  <si>
    <t>churchill</t>
  </si>
  <si>
    <t>theresa</t>
  </si>
  <si>
    <t>solitary</t>
  </si>
  <si>
    <t>wilderness</t>
  </si>
  <si>
    <t>baltimore</t>
  </si>
  <si>
    <t>olympic</t>
  </si>
  <si>
    <t>undo</t>
  </si>
  <si>
    <t>mechanism</t>
  </si>
  <si>
    <t>vietnamese</t>
  </si>
  <si>
    <t>vanish</t>
  </si>
  <si>
    <t>dome</t>
  </si>
  <si>
    <t>biting</t>
  </si>
  <si>
    <t>ronald</t>
  </si>
  <si>
    <t>texted</t>
  </si>
  <si>
    <t>sage</t>
  </si>
  <si>
    <t>yummy</t>
  </si>
  <si>
    <t>tactics</t>
  </si>
  <si>
    <t>slack</t>
  </si>
  <si>
    <t>snapped</t>
  </si>
  <si>
    <t>weekly</t>
  </si>
  <si>
    <t>bushes</t>
  </si>
  <si>
    <t>grandparents</t>
  </si>
  <si>
    <t>like-</t>
  </si>
  <si>
    <t>henri</t>
  </si>
  <si>
    <t>obtain</t>
  </si>
  <si>
    <t>hart</t>
  </si>
  <si>
    <t>flights</t>
  </si>
  <si>
    <t>adventures</t>
  </si>
  <si>
    <t>hottest</t>
  </si>
  <si>
    <t>grown-up</t>
  </si>
  <si>
    <t>eden</t>
  </si>
  <si>
    <t>mild</t>
  </si>
  <si>
    <t>dom</t>
  </si>
  <si>
    <t>fourteen</t>
  </si>
  <si>
    <t>smuggling</t>
  </si>
  <si>
    <t>blend</t>
  </si>
  <si>
    <t>chancellor</t>
  </si>
  <si>
    <t>biscuits</t>
  </si>
  <si>
    <t>gorilla</t>
  </si>
  <si>
    <t>dynasty</t>
  </si>
  <si>
    <t>acquired</t>
  </si>
  <si>
    <t>businesses</t>
  </si>
  <si>
    <t>countless</t>
  </si>
  <si>
    <t>fritz</t>
  </si>
  <si>
    <t>brent</t>
  </si>
  <si>
    <t>gardener</t>
  </si>
  <si>
    <t>barracks</t>
  </si>
  <si>
    <t>flirt</t>
  </si>
  <si>
    <t>cooks</t>
  </si>
  <si>
    <t>distorted</t>
  </si>
  <si>
    <t>carved</t>
  </si>
  <si>
    <t>jumps</t>
  </si>
  <si>
    <t>superhero</t>
  </si>
  <si>
    <t>forests</t>
  </si>
  <si>
    <t>clapping</t>
  </si>
  <si>
    <t>psychiatric</t>
  </si>
  <si>
    <t>snuck</t>
  </si>
  <si>
    <t>roughly</t>
  </si>
  <si>
    <t>screamed</t>
  </si>
  <si>
    <t>raja</t>
  </si>
  <si>
    <t>disappearing</t>
  </si>
  <si>
    <t>establishment</t>
  </si>
  <si>
    <t>whales</t>
  </si>
  <si>
    <t>lump</t>
  </si>
  <si>
    <t>dwarf</t>
  </si>
  <si>
    <t>environmental</t>
  </si>
  <si>
    <t>mam</t>
  </si>
  <si>
    <t>pint</t>
  </si>
  <si>
    <t>loading</t>
  </si>
  <si>
    <t>diplomatic</t>
  </si>
  <si>
    <t>exclaims</t>
  </si>
  <si>
    <t>context</t>
  </si>
  <si>
    <t>volunteered</t>
  </si>
  <si>
    <t>risked</t>
  </si>
  <si>
    <t>gangs</t>
  </si>
  <si>
    <t>boost</t>
  </si>
  <si>
    <t>fax</t>
  </si>
  <si>
    <t>dante</t>
  </si>
  <si>
    <t>partial</t>
  </si>
  <si>
    <t>refusing</t>
  </si>
  <si>
    <t>gaze</t>
  </si>
  <si>
    <t>rene</t>
  </si>
  <si>
    <t>nuisance</t>
  </si>
  <si>
    <t>terrorism</t>
  </si>
  <si>
    <t>jerome</t>
  </si>
  <si>
    <t>ungrateful</t>
  </si>
  <si>
    <t>donate</t>
  </si>
  <si>
    <t>relieve</t>
  </si>
  <si>
    <t>13th</t>
  </si>
  <si>
    <t>grandchildren</t>
  </si>
  <si>
    <t>felicity</t>
  </si>
  <si>
    <t>maureen</t>
  </si>
  <si>
    <t>represented</t>
  </si>
  <si>
    <t>co</t>
  </si>
  <si>
    <t>neutral</t>
  </si>
  <si>
    <t>philippe</t>
  </si>
  <si>
    <t>workin</t>
  </si>
  <si>
    <t>steering</t>
  </si>
  <si>
    <t>rm</t>
  </si>
  <si>
    <t>presidential</t>
  </si>
  <si>
    <t>rental</t>
  </si>
  <si>
    <t>challenged</t>
  </si>
  <si>
    <t>julien</t>
  </si>
  <si>
    <t>feeds</t>
  </si>
  <si>
    <t>je</t>
  </si>
  <si>
    <t>vegetarian</t>
  </si>
  <si>
    <t>teasing</t>
  </si>
  <si>
    <t>surprisingly</t>
  </si>
  <si>
    <t>iran</t>
  </si>
  <si>
    <t>shrine</t>
  </si>
  <si>
    <t>automatically</t>
  </si>
  <si>
    <t>timer</t>
  </si>
  <si>
    <t>gasoline</t>
  </si>
  <si>
    <t>juliette</t>
  </si>
  <si>
    <t>scouts</t>
  </si>
  <si>
    <t>millie</t>
  </si>
  <si>
    <t>google</t>
  </si>
  <si>
    <t>dorm</t>
  </si>
  <si>
    <t>athlete</t>
  </si>
  <si>
    <t>shiva</t>
  </si>
  <si>
    <t>robber</t>
  </si>
  <si>
    <t>convent</t>
  </si>
  <si>
    <t>balloons</t>
  </si>
  <si>
    <t>crawford</t>
  </si>
  <si>
    <t>barb</t>
  </si>
  <si>
    <t>enters</t>
  </si>
  <si>
    <t>maps</t>
  </si>
  <si>
    <t>meth</t>
  </si>
  <si>
    <t>ifyou</t>
  </si>
  <si>
    <t>fruits</t>
  </si>
  <si>
    <t>colored</t>
  </si>
  <si>
    <t>poppy</t>
  </si>
  <si>
    <t>metro</t>
  </si>
  <si>
    <t>clarke</t>
  </si>
  <si>
    <t>fernando</t>
  </si>
  <si>
    <t>scully</t>
  </si>
  <si>
    <t>resolved</t>
  </si>
  <si>
    <t>sessions</t>
  </si>
  <si>
    <t>conservative</t>
  </si>
  <si>
    <t>rates</t>
  </si>
  <si>
    <t>forged</t>
  </si>
  <si>
    <t>legends</t>
  </si>
  <si>
    <t>arrows</t>
  </si>
  <si>
    <t>charley</t>
  </si>
  <si>
    <t>dismiss</t>
  </si>
  <si>
    <t>authorized</t>
  </si>
  <si>
    <t>slavery</t>
  </si>
  <si>
    <t>attended</t>
  </si>
  <si>
    <t>flows</t>
  </si>
  <si>
    <t>employed</t>
  </si>
  <si>
    <t>decorated</t>
  </si>
  <si>
    <t>parallel</t>
  </si>
  <si>
    <t>detected</t>
  </si>
  <si>
    <t>grove</t>
  </si>
  <si>
    <t>coverage</t>
  </si>
  <si>
    <t>hen</t>
  </si>
  <si>
    <t>pyramid</t>
  </si>
  <si>
    <t>overall</t>
  </si>
  <si>
    <t>hum</t>
  </si>
  <si>
    <t>specially</t>
  </si>
  <si>
    <t>rebuild</t>
  </si>
  <si>
    <t>exclaiming</t>
  </si>
  <si>
    <t>producing</t>
  </si>
  <si>
    <t>sewing</t>
  </si>
  <si>
    <t>occasions</t>
  </si>
  <si>
    <t>boards</t>
  </si>
  <si>
    <t>trumpet</t>
  </si>
  <si>
    <t>yes.</t>
  </si>
  <si>
    <t>shaped</t>
  </si>
  <si>
    <t>matched</t>
  </si>
  <si>
    <t>daughter-in-law</t>
  </si>
  <si>
    <t>ammo</t>
  </si>
  <si>
    <t>typing</t>
  </si>
  <si>
    <t>macgyver</t>
  </si>
  <si>
    <t>blades</t>
  </si>
  <si>
    <t>thailand</t>
  </si>
  <si>
    <t>becca</t>
  </si>
  <si>
    <t>wo</t>
  </si>
  <si>
    <t>debris</t>
  </si>
  <si>
    <t>luca</t>
  </si>
  <si>
    <t>cement</t>
  </si>
  <si>
    <t>hamlet</t>
  </si>
  <si>
    <t>nat</t>
  </si>
  <si>
    <t>communists</t>
  </si>
  <si>
    <t>showers</t>
  </si>
  <si>
    <t>tougher</t>
  </si>
  <si>
    <t>sailors</t>
  </si>
  <si>
    <t>kitt</t>
  </si>
  <si>
    <t>comedian</t>
  </si>
  <si>
    <t>harassment</t>
  </si>
  <si>
    <t>missus</t>
  </si>
  <si>
    <t>monitoring</t>
  </si>
  <si>
    <t>smashing</t>
  </si>
  <si>
    <t>shaved</t>
  </si>
  <si>
    <t>inventory</t>
  </si>
  <si>
    <t>housekeeper</t>
  </si>
  <si>
    <t>tribes</t>
  </si>
  <si>
    <t>long-term</t>
  </si>
  <si>
    <t>vile</t>
  </si>
  <si>
    <t>gotham</t>
  </si>
  <si>
    <t>imaginary</t>
  </si>
  <si>
    <t>artillery</t>
  </si>
  <si>
    <t>ping</t>
  </si>
  <si>
    <t>cereal</t>
  </si>
  <si>
    <t>zoom</t>
  </si>
  <si>
    <t>portion</t>
  </si>
  <si>
    <t>irony</t>
  </si>
  <si>
    <t>14th</t>
  </si>
  <si>
    <t>exceptional</t>
  </si>
  <si>
    <t>slit</t>
  </si>
  <si>
    <t>ss</t>
  </si>
  <si>
    <t>despise</t>
  </si>
  <si>
    <t>waltz</t>
  </si>
  <si>
    <t>humour</t>
  </si>
  <si>
    <t>crashes</t>
  </si>
  <si>
    <t>gu</t>
  </si>
  <si>
    <t>stammering</t>
  </si>
  <si>
    <t>coaches</t>
  </si>
  <si>
    <t>joo</t>
  </si>
  <si>
    <t>await</t>
  </si>
  <si>
    <t>bryan</t>
  </si>
  <si>
    <t>celebrated</t>
  </si>
  <si>
    <t>encouraged</t>
  </si>
  <si>
    <t>devils</t>
  </si>
  <si>
    <t>gag</t>
  </si>
  <si>
    <t>telescope</t>
  </si>
  <si>
    <t>verse</t>
  </si>
  <si>
    <t>stalin</t>
  </si>
  <si>
    <t>e-mails</t>
  </si>
  <si>
    <t>iet</t>
  </si>
  <si>
    <t>babysitter</t>
  </si>
  <si>
    <t>pr</t>
  </si>
  <si>
    <t>distinguished</t>
  </si>
  <si>
    <t>licence</t>
  </si>
  <si>
    <t>addicted</t>
  </si>
  <si>
    <t>bauer</t>
  </si>
  <si>
    <t>speeches</t>
  </si>
  <si>
    <t>wit</t>
  </si>
  <si>
    <t>programmed</t>
  </si>
  <si>
    <t>bliss</t>
  </si>
  <si>
    <t>donny</t>
  </si>
  <si>
    <t>elsa</t>
  </si>
  <si>
    <t>com</t>
  </si>
  <si>
    <t>recorder</t>
  </si>
  <si>
    <t>hides</t>
  </si>
  <si>
    <t>shameless</t>
  </si>
  <si>
    <t>apartments</t>
  </si>
  <si>
    <t>tipped</t>
  </si>
  <si>
    <t>turf</t>
  </si>
  <si>
    <t>tang</t>
  </si>
  <si>
    <t>tu</t>
  </si>
  <si>
    <t>discharged</t>
  </si>
  <si>
    <t>psychologist</t>
  </si>
  <si>
    <t>duh</t>
  </si>
  <si>
    <t>delete</t>
  </si>
  <si>
    <t>jock</t>
  </si>
  <si>
    <t>wrath</t>
  </si>
  <si>
    <t>estimate</t>
  </si>
  <si>
    <t>tutor</t>
  </si>
  <si>
    <t>jurisdiction</t>
  </si>
  <si>
    <t>impulse</t>
  </si>
  <si>
    <t>penguin</t>
  </si>
  <si>
    <t>tubes</t>
  </si>
  <si>
    <t>playground</t>
  </si>
  <si>
    <t>sew</t>
  </si>
  <si>
    <t>nickel</t>
  </si>
  <si>
    <t>claws</t>
  </si>
  <si>
    <t>giants</t>
  </si>
  <si>
    <t>daring</t>
  </si>
  <si>
    <t>posters</t>
  </si>
  <si>
    <t>peacefully</t>
  </si>
  <si>
    <t>rag</t>
  </si>
  <si>
    <t>caves</t>
  </si>
  <si>
    <t>nikita</t>
  </si>
  <si>
    <t>stern</t>
  </si>
  <si>
    <t>condolences</t>
  </si>
  <si>
    <t>ohhh</t>
  </si>
  <si>
    <t>dearly</t>
  </si>
  <si>
    <t>humiliation</t>
  </si>
  <si>
    <t>worldwide</t>
  </si>
  <si>
    <t>cartoon</t>
  </si>
  <si>
    <t>disrespect</t>
  </si>
  <si>
    <t>so-</t>
  </si>
  <si>
    <t>shhh</t>
  </si>
  <si>
    <t>underworld</t>
  </si>
  <si>
    <t>marble</t>
  </si>
  <si>
    <t>lilly</t>
  </si>
  <si>
    <t>chun</t>
  </si>
  <si>
    <t>curly</t>
  </si>
  <si>
    <t>judged</t>
  </si>
  <si>
    <t>bidding</t>
  </si>
  <si>
    <t>erased</t>
  </si>
  <si>
    <t>confuse</t>
  </si>
  <si>
    <t>masterpiece</t>
  </si>
  <si>
    <t>pentagon</t>
  </si>
  <si>
    <t>oppa</t>
  </si>
  <si>
    <t>tow</t>
  </si>
  <si>
    <t>seduce</t>
  </si>
  <si>
    <t>bathtub</t>
  </si>
  <si>
    <t>pets</t>
  </si>
  <si>
    <t>bricks</t>
  </si>
  <si>
    <t>goa</t>
  </si>
  <si>
    <t>hotter</t>
  </si>
  <si>
    <t>regime</t>
  </si>
  <si>
    <t>contempt</t>
  </si>
  <si>
    <t>batch</t>
  </si>
  <si>
    <t>m-i</t>
  </si>
  <si>
    <t>ramsay</t>
  </si>
  <si>
    <t>speeding</t>
  </si>
  <si>
    <t>compartment</t>
  </si>
  <si>
    <t>tackle</t>
  </si>
  <si>
    <t>wage</t>
  </si>
  <si>
    <t>shines</t>
  </si>
  <si>
    <t>lifting</t>
  </si>
  <si>
    <t>hustle</t>
  </si>
  <si>
    <t>inmates</t>
  </si>
  <si>
    <t>km</t>
  </si>
  <si>
    <t>psst</t>
  </si>
  <si>
    <t>scooter</t>
  </si>
  <si>
    <t>relatively</t>
  </si>
  <si>
    <t>stoned</t>
  </si>
  <si>
    <t>supernatural</t>
  </si>
  <si>
    <t>darwin</t>
  </si>
  <si>
    <t>viewers</t>
  </si>
  <si>
    <t>lorenzo</t>
  </si>
  <si>
    <t>treasures</t>
  </si>
  <si>
    <t>yankee</t>
  </si>
  <si>
    <t>lang</t>
  </si>
  <si>
    <t>taco</t>
  </si>
  <si>
    <t>charts</t>
  </si>
  <si>
    <t>brigade</t>
  </si>
  <si>
    <t>bankrupt</t>
  </si>
  <si>
    <t>marianne</t>
  </si>
  <si>
    <t>bikes</t>
  </si>
  <si>
    <t>lookout</t>
  </si>
  <si>
    <t>merchandise</t>
  </si>
  <si>
    <t>slippery</t>
  </si>
  <si>
    <t>duchess</t>
  </si>
  <si>
    <t>gulf</t>
  </si>
  <si>
    <t>foam</t>
  </si>
  <si>
    <t>steals</t>
  </si>
  <si>
    <t>numerous</t>
  </si>
  <si>
    <t>ripping</t>
  </si>
  <si>
    <t>trusts</t>
  </si>
  <si>
    <t>flock</t>
  </si>
  <si>
    <t>potion</t>
  </si>
  <si>
    <t>fiance</t>
  </si>
  <si>
    <t>glimpse</t>
  </si>
  <si>
    <t>invincible</t>
  </si>
  <si>
    <t>compensation</t>
  </si>
  <si>
    <t>kettle</t>
  </si>
  <si>
    <t>stroll</t>
  </si>
  <si>
    <t>trish</t>
  </si>
  <si>
    <t>brendan</t>
  </si>
  <si>
    <t>cafeteria</t>
  </si>
  <si>
    <t>sane</t>
  </si>
  <si>
    <t>currency</t>
  </si>
  <si>
    <t>amsterdam</t>
  </si>
  <si>
    <t>radius</t>
  </si>
  <si>
    <t>verify</t>
  </si>
  <si>
    <t>founded</t>
  </si>
  <si>
    <t>medic</t>
  </si>
  <si>
    <t>peek</t>
  </si>
  <si>
    <t>sewer</t>
  </si>
  <si>
    <t>vernon</t>
  </si>
  <si>
    <t>callie</t>
  </si>
  <si>
    <t>bbc</t>
  </si>
  <si>
    <t>hull</t>
  </si>
  <si>
    <t>solomon</t>
  </si>
  <si>
    <t>madonna</t>
  </si>
  <si>
    <t>toad</t>
  </si>
  <si>
    <t>powell</t>
  </si>
  <si>
    <t>maxwell</t>
  </si>
  <si>
    <t>moose</t>
  </si>
  <si>
    <t>souvenir</t>
  </si>
  <si>
    <t>stitch</t>
  </si>
  <si>
    <t>compass</t>
  </si>
  <si>
    <t>mercury</t>
  </si>
  <si>
    <t>locking</t>
  </si>
  <si>
    <t>edwards</t>
  </si>
  <si>
    <t>frederick</t>
  </si>
  <si>
    <t>dislike</t>
  </si>
  <si>
    <t>stu</t>
  </si>
  <si>
    <t>rib</t>
  </si>
  <si>
    <t>pamela</t>
  </si>
  <si>
    <t>brace</t>
  </si>
  <si>
    <t>ban</t>
  </si>
  <si>
    <t>gracias</t>
  </si>
  <si>
    <t>stitches</t>
  </si>
  <si>
    <t>thrust</t>
  </si>
  <si>
    <t>referred</t>
  </si>
  <si>
    <t>achievement</t>
  </si>
  <si>
    <t>links</t>
  </si>
  <si>
    <t>denying</t>
  </si>
  <si>
    <t>monastery</t>
  </si>
  <si>
    <t>newly</t>
  </si>
  <si>
    <t>impatient</t>
  </si>
  <si>
    <t>recruit</t>
  </si>
  <si>
    <t>sunk</t>
  </si>
  <si>
    <t>ignorance</t>
  </si>
  <si>
    <t>drugged</t>
  </si>
  <si>
    <t>predicted</t>
  </si>
  <si>
    <t>floyd</t>
  </si>
  <si>
    <t>creator</t>
  </si>
  <si>
    <t>mississippi</t>
  </si>
  <si>
    <t>civilized</t>
  </si>
  <si>
    <t>artery</t>
  </si>
  <si>
    <t>dynamic</t>
  </si>
  <si>
    <t>competing</t>
  </si>
  <si>
    <t>buffy</t>
  </si>
  <si>
    <t>distribution</t>
  </si>
  <si>
    <t>turk</t>
  </si>
  <si>
    <t>voiceover</t>
  </si>
  <si>
    <t>stereo</t>
  </si>
  <si>
    <t>ethel</t>
  </si>
  <si>
    <t>ark</t>
  </si>
  <si>
    <t>carpenter</t>
  </si>
  <si>
    <t>it.</t>
  </si>
  <si>
    <t>warner</t>
  </si>
  <si>
    <t>industries</t>
  </si>
  <si>
    <t>melted</t>
  </si>
  <si>
    <t>upsetting</t>
  </si>
  <si>
    <t>cruz</t>
  </si>
  <si>
    <t>labs</t>
  </si>
  <si>
    <t>bluff</t>
  </si>
  <si>
    <t>bender</t>
  </si>
  <si>
    <t>unbearable</t>
  </si>
  <si>
    <t>narcotics</t>
  </si>
  <si>
    <t>juicy</t>
  </si>
  <si>
    <t>eerie</t>
  </si>
  <si>
    <t>ingrid</t>
  </si>
  <si>
    <t>mwah</t>
  </si>
  <si>
    <t>slippers</t>
  </si>
  <si>
    <t>freaky</t>
  </si>
  <si>
    <t>vip</t>
  </si>
  <si>
    <t>troop</t>
  </si>
  <si>
    <t>footprints</t>
  </si>
  <si>
    <t>dani</t>
  </si>
  <si>
    <t>pact</t>
  </si>
  <si>
    <t>apparent</t>
  </si>
  <si>
    <t>repeated</t>
  </si>
  <si>
    <t>foreigner</t>
  </si>
  <si>
    <t>feelin</t>
  </si>
  <si>
    <t>journalists</t>
  </si>
  <si>
    <t>employer</t>
  </si>
  <si>
    <t>penelope</t>
  </si>
  <si>
    <t>grim</t>
  </si>
  <si>
    <t>medieval</t>
  </si>
  <si>
    <t>damien</t>
  </si>
  <si>
    <t>frustrating</t>
  </si>
  <si>
    <t>rehearse</t>
  </si>
  <si>
    <t>travelled</t>
  </si>
  <si>
    <t>preparation</t>
  </si>
  <si>
    <t>microwave</t>
  </si>
  <si>
    <t>denial</t>
  </si>
  <si>
    <t>flute</t>
  </si>
  <si>
    <t>juvenile</t>
  </si>
  <si>
    <t>paddy</t>
  </si>
  <si>
    <t>retarded</t>
  </si>
  <si>
    <t>memo</t>
  </si>
  <si>
    <t>canvas</t>
  </si>
  <si>
    <t>fa</t>
  </si>
  <si>
    <t>and-and</t>
  </si>
  <si>
    <t>symbols</t>
  </si>
  <si>
    <t>mccoy</t>
  </si>
  <si>
    <t>daly</t>
  </si>
  <si>
    <t>driveway</t>
  </si>
  <si>
    <t>funky</t>
  </si>
  <si>
    <t>kitten</t>
  </si>
  <si>
    <t>nicest</t>
  </si>
  <si>
    <t>deceive</t>
  </si>
  <si>
    <t>negro</t>
  </si>
  <si>
    <t>chopped</t>
  </si>
  <si>
    <t>consultant</t>
  </si>
  <si>
    <t>rifles</t>
  </si>
  <si>
    <t>heating</t>
  </si>
  <si>
    <t>rays</t>
  </si>
  <si>
    <t>architecture</t>
  </si>
  <si>
    <t>gideon</t>
  </si>
  <si>
    <t>butch</t>
  </si>
  <si>
    <t>warmer</t>
  </si>
  <si>
    <t>contribution</t>
  </si>
  <si>
    <t>advisor</t>
  </si>
  <si>
    <t>peoples</t>
  </si>
  <si>
    <t>groceries</t>
  </si>
  <si>
    <t>behaved</t>
  </si>
  <si>
    <t>experiencing</t>
  </si>
  <si>
    <t>yοu</t>
  </si>
  <si>
    <t>settling</t>
  </si>
  <si>
    <t>tractor</t>
  </si>
  <si>
    <t>unacceptable</t>
  </si>
  <si>
    <t>imitating</t>
  </si>
  <si>
    <t>squadron</t>
  </si>
  <si>
    <t>briggs</t>
  </si>
  <si>
    <t>smallest</t>
  </si>
  <si>
    <t>ethics</t>
  </si>
  <si>
    <t>gibson</t>
  </si>
  <si>
    <t>devotion</t>
  </si>
  <si>
    <t>plumber</t>
  </si>
  <si>
    <t>burgers</t>
  </si>
  <si>
    <t>knots</t>
  </si>
  <si>
    <t>broom</t>
  </si>
  <si>
    <t>briefing</t>
  </si>
  <si>
    <t>curve</t>
  </si>
  <si>
    <t>informant</t>
  </si>
  <si>
    <t>applauding</t>
  </si>
  <si>
    <t>whites</t>
  </si>
  <si>
    <t>app</t>
  </si>
  <si>
    <t>andrews</t>
  </si>
  <si>
    <t>blog</t>
  </si>
  <si>
    <t>ox</t>
  </si>
  <si>
    <t>vase</t>
  </si>
  <si>
    <t>glance</t>
  </si>
  <si>
    <t>collective</t>
  </si>
  <si>
    <t>poles</t>
  </si>
  <si>
    <t>sixty</t>
  </si>
  <si>
    <t>fantasies</t>
  </si>
  <si>
    <t>heritage</t>
  </si>
  <si>
    <t>motherfucking</t>
  </si>
  <si>
    <t>fisherman</t>
  </si>
  <si>
    <t>armstrong</t>
  </si>
  <si>
    <t>nder</t>
  </si>
  <si>
    <t>complained</t>
  </si>
  <si>
    <t>nightclub</t>
  </si>
  <si>
    <t>willow</t>
  </si>
  <si>
    <t>preliminary</t>
  </si>
  <si>
    <t>server</t>
  </si>
  <si>
    <t>provides</t>
  </si>
  <si>
    <t>mat</t>
  </si>
  <si>
    <t>appreciation</t>
  </si>
  <si>
    <t>a-a</t>
  </si>
  <si>
    <t>historic</t>
  </si>
  <si>
    <t>jorge</t>
  </si>
  <si>
    <t>promote</t>
  </si>
  <si>
    <t>processing</t>
  </si>
  <si>
    <t>naples</t>
  </si>
  <si>
    <t>high-pitched</t>
  </si>
  <si>
    <t>pumping</t>
  </si>
  <si>
    <t>stalker</t>
  </si>
  <si>
    <t>goats</t>
  </si>
  <si>
    <t>francine</t>
  </si>
  <si>
    <t>smokes</t>
  </si>
  <si>
    <t>introduction</t>
  </si>
  <si>
    <t>valid</t>
  </si>
  <si>
    <t>portuguese</t>
  </si>
  <si>
    <t>negotiations</t>
  </si>
  <si>
    <t>o.r.</t>
  </si>
  <si>
    <t>wheeler</t>
  </si>
  <si>
    <t>overheard</t>
  </si>
  <si>
    <t>iove</t>
  </si>
  <si>
    <t>breeding</t>
  </si>
  <si>
    <t>part-time</t>
  </si>
  <si>
    <t>barge</t>
  </si>
  <si>
    <t>refugees</t>
  </si>
  <si>
    <t>wah</t>
  </si>
  <si>
    <t>observed</t>
  </si>
  <si>
    <t>tigers</t>
  </si>
  <si>
    <t>brothel</t>
  </si>
  <si>
    <t>missions</t>
  </si>
  <si>
    <t>ashore</t>
  </si>
  <si>
    <t>panda</t>
  </si>
  <si>
    <t>discretion</t>
  </si>
  <si>
    <t>yale</t>
  </si>
  <si>
    <t>disappointing</t>
  </si>
  <si>
    <t>insect</t>
  </si>
  <si>
    <t>prophecy</t>
  </si>
  <si>
    <t>wanda</t>
  </si>
  <si>
    <t>absent</t>
  </si>
  <si>
    <t>machinery</t>
  </si>
  <si>
    <t>generals</t>
  </si>
  <si>
    <t>carrot</t>
  </si>
  <si>
    <t>ferrari</t>
  </si>
  <si>
    <t>wrecked</t>
  </si>
  <si>
    <t>gestapo</t>
  </si>
  <si>
    <t>greene</t>
  </si>
  <si>
    <t>suggestions</t>
  </si>
  <si>
    <t>puff</t>
  </si>
  <si>
    <t>supportive</t>
  </si>
  <si>
    <t>punching</t>
  </si>
  <si>
    <t>lulu</t>
  </si>
  <si>
    <t>intervention</t>
  </si>
  <si>
    <t>layers</t>
  </si>
  <si>
    <t>hughes</t>
  </si>
  <si>
    <t>scholar</t>
  </si>
  <si>
    <t>libby</t>
  </si>
  <si>
    <t>predators</t>
  </si>
  <si>
    <t>accusations</t>
  </si>
  <si>
    <t>8th</t>
  </si>
  <si>
    <t>olympics</t>
  </si>
  <si>
    <t>accounting</t>
  </si>
  <si>
    <t>jj</t>
  </si>
  <si>
    <t>expertise</t>
  </si>
  <si>
    <t>strap</t>
  </si>
  <si>
    <t>fitz</t>
  </si>
  <si>
    <t>darryl</t>
  </si>
  <si>
    <t>butts</t>
  </si>
  <si>
    <t>approaches</t>
  </si>
  <si>
    <t>flags</t>
  </si>
  <si>
    <t>embarrassment</t>
  </si>
  <si>
    <t>faking</t>
  </si>
  <si>
    <t>jamal</t>
  </si>
  <si>
    <t>vanilla</t>
  </si>
  <si>
    <t>grapes</t>
  </si>
  <si>
    <t>dominic</t>
  </si>
  <si>
    <t>beacon</t>
  </si>
  <si>
    <t>handkerchief</t>
  </si>
  <si>
    <t>rubbing</t>
  </si>
  <si>
    <t>mallory</t>
  </si>
  <si>
    <t>rustling</t>
  </si>
  <si>
    <t>lighten</t>
  </si>
  <si>
    <t>flora</t>
  </si>
  <si>
    <t>cuban</t>
  </si>
  <si>
    <t>polar</t>
  </si>
  <si>
    <t>translator</t>
  </si>
  <si>
    <t>congrats</t>
  </si>
  <si>
    <t>passports</t>
  </si>
  <si>
    <t>grabbing</t>
  </si>
  <si>
    <t>alf</t>
  </si>
  <si>
    <t>brotherhood</t>
  </si>
  <si>
    <t>ernest</t>
  </si>
  <si>
    <t>professionals</t>
  </si>
  <si>
    <t>yuan</t>
  </si>
  <si>
    <t>understandable</t>
  </si>
  <si>
    <t>banner</t>
  </si>
  <si>
    <t>academic</t>
  </si>
  <si>
    <t>thuds</t>
  </si>
  <si>
    <t>sa</t>
  </si>
  <si>
    <t>publicly</t>
  </si>
  <si>
    <t>orphans</t>
  </si>
  <si>
    <t>pearls</t>
  </si>
  <si>
    <t>predator</t>
  </si>
  <si>
    <t>brien</t>
  </si>
  <si>
    <t>frances</t>
  </si>
  <si>
    <t>addison</t>
  </si>
  <si>
    <t>syrup</t>
  </si>
  <si>
    <t>cartel</t>
  </si>
  <si>
    <t>nash</t>
  </si>
  <si>
    <t>walsh</t>
  </si>
  <si>
    <t>norma</t>
  </si>
  <si>
    <t>bluffing</t>
  </si>
  <si>
    <t>permitted</t>
  </si>
  <si>
    <t>unpredictable</t>
  </si>
  <si>
    <t>wagner</t>
  </si>
  <si>
    <t>suspension</t>
  </si>
  <si>
    <t>addresses</t>
  </si>
  <si>
    <t>stamps</t>
  </si>
  <si>
    <t>category</t>
  </si>
  <si>
    <t>transition</t>
  </si>
  <si>
    <t>peas</t>
  </si>
  <si>
    <t>cautious</t>
  </si>
  <si>
    <t>k.</t>
  </si>
  <si>
    <t>isabella</t>
  </si>
  <si>
    <t>comparison</t>
  </si>
  <si>
    <t>coats</t>
  </si>
  <si>
    <t>islam</t>
  </si>
  <si>
    <t>thugs</t>
  </si>
  <si>
    <t>grams</t>
  </si>
  <si>
    <t>freshman</t>
  </si>
  <si>
    <t>toilets</t>
  </si>
  <si>
    <t>banquet</t>
  </si>
  <si>
    <t>coup</t>
  </si>
  <si>
    <t>shaken</t>
  </si>
  <si>
    <t>investigations</t>
  </si>
  <si>
    <t>toothbrush</t>
  </si>
  <si>
    <t>expressed</t>
  </si>
  <si>
    <t>vulgar</t>
  </si>
  <si>
    <t>haunt</t>
  </si>
  <si>
    <t>improvement</t>
  </si>
  <si>
    <t>zeus</t>
  </si>
  <si>
    <t>murdoch</t>
  </si>
  <si>
    <t>smelling</t>
  </si>
  <si>
    <t>kirby</t>
  </si>
  <si>
    <t>repairs</t>
  </si>
  <si>
    <t>jeong</t>
  </si>
  <si>
    <t>conducted</t>
  </si>
  <si>
    <t>ollie</t>
  </si>
  <si>
    <t>bakery</t>
  </si>
  <si>
    <t>busting</t>
  </si>
  <si>
    <t>investigated</t>
  </si>
  <si>
    <t>60s</t>
  </si>
  <si>
    <t>admission</t>
  </si>
  <si>
    <t>essay</t>
  </si>
  <si>
    <t>twitter</t>
  </si>
  <si>
    <t>depths</t>
  </si>
  <si>
    <t>fewer</t>
  </si>
  <si>
    <t>guarding</t>
  </si>
  <si>
    <t>altered</t>
  </si>
  <si>
    <t>filing</t>
  </si>
  <si>
    <t>ecstasy</t>
  </si>
  <si>
    <t>snatch</t>
  </si>
  <si>
    <t>stored</t>
  </si>
  <si>
    <t>tropical</t>
  </si>
  <si>
    <t>pharmacy</t>
  </si>
  <si>
    <t>dalton</t>
  </si>
  <si>
    <t>altitude</t>
  </si>
  <si>
    <t>admired</t>
  </si>
  <si>
    <t>dickhead</t>
  </si>
  <si>
    <t>priya</t>
  </si>
  <si>
    <t>mamma</t>
  </si>
  <si>
    <t>moe</t>
  </si>
  <si>
    <t>grind</t>
  </si>
  <si>
    <t>bombay</t>
  </si>
  <si>
    <t>he</t>
  </si>
  <si>
    <t>lowest</t>
  </si>
  <si>
    <t>makin</t>
  </si>
  <si>
    <t>sentences</t>
  </si>
  <si>
    <t>mute</t>
  </si>
  <si>
    <t>full-time</t>
  </si>
  <si>
    <t>scratching</t>
  </si>
  <si>
    <t>imprisoned</t>
  </si>
  <si>
    <t>danish</t>
  </si>
  <si>
    <t>glowing</t>
  </si>
  <si>
    <t>zhang</t>
  </si>
  <si>
    <t>martini</t>
  </si>
  <si>
    <t>leah</t>
  </si>
  <si>
    <t>empress</t>
  </si>
  <si>
    <t>equipped</t>
  </si>
  <si>
    <t>finale</t>
  </si>
  <si>
    <t>tarzan</t>
  </si>
  <si>
    <t>storms</t>
  </si>
  <si>
    <t>sniff</t>
  </si>
  <si>
    <t>oh.</t>
  </si>
  <si>
    <t>me.</t>
  </si>
  <si>
    <t>slick</t>
  </si>
  <si>
    <t>unarmed</t>
  </si>
  <si>
    <t>16th</t>
  </si>
  <si>
    <t>violated</t>
  </si>
  <si>
    <t>vent</t>
  </si>
  <si>
    <t>dd</t>
  </si>
  <si>
    <t>breakthrough</t>
  </si>
  <si>
    <t>stud</t>
  </si>
  <si>
    <t>addressed</t>
  </si>
  <si>
    <t>tactical</t>
  </si>
  <si>
    <t>vessels</t>
  </si>
  <si>
    <t>procedures</t>
  </si>
  <si>
    <t>ching</t>
  </si>
  <si>
    <t>dine</t>
  </si>
  <si>
    <t>draws</t>
  </si>
  <si>
    <t>crowds</t>
  </si>
  <si>
    <t>limb</t>
  </si>
  <si>
    <t>wool</t>
  </si>
  <si>
    <t>montana</t>
  </si>
  <si>
    <t>giovanni</t>
  </si>
  <si>
    <t>jerks</t>
  </si>
  <si>
    <t>numb</t>
  </si>
  <si>
    <t>oceans</t>
  </si>
  <si>
    <t>priceless</t>
  </si>
  <si>
    <t>rocking</t>
  </si>
  <si>
    <t>commanding</t>
  </si>
  <si>
    <t>relaxing</t>
  </si>
  <si>
    <t>clatters</t>
  </si>
  <si>
    <t>merci</t>
  </si>
  <si>
    <t>gerard</t>
  </si>
  <si>
    <t>packs</t>
  </si>
  <si>
    <t>parlor</t>
  </si>
  <si>
    <t>cabbage</t>
  </si>
  <si>
    <t>josé</t>
  </si>
  <si>
    <t>intruder</t>
  </si>
  <si>
    <t>considerable</t>
  </si>
  <si>
    <t>argued</t>
  </si>
  <si>
    <t>paladin</t>
  </si>
  <si>
    <t>tellin</t>
  </si>
  <si>
    <t>pupils</t>
  </si>
  <si>
    <t>inspire</t>
  </si>
  <si>
    <t>positively</t>
  </si>
  <si>
    <t>igor</t>
  </si>
  <si>
    <t>traded</t>
  </si>
  <si>
    <t>shipped</t>
  </si>
  <si>
    <t>feminine</t>
  </si>
  <si>
    <t>vague</t>
  </si>
  <si>
    <t>partly</t>
  </si>
  <si>
    <t>6th</t>
  </si>
  <si>
    <t>insight</t>
  </si>
  <si>
    <t>lucia</t>
  </si>
  <si>
    <t>stages</t>
  </si>
  <si>
    <t>um-</t>
  </si>
  <si>
    <t>screenplay</t>
  </si>
  <si>
    <t>marquis</t>
  </si>
  <si>
    <t>rahul</t>
  </si>
  <si>
    <t>ripe</t>
  </si>
  <si>
    <t>awaiting</t>
  </si>
  <si>
    <t>pigeons</t>
  </si>
  <si>
    <t>clayton</t>
  </si>
  <si>
    <t>tempted</t>
  </si>
  <si>
    <t>inherit</t>
  </si>
  <si>
    <t>decline</t>
  </si>
  <si>
    <t>pennsylvania</t>
  </si>
  <si>
    <t>fang</t>
  </si>
  <si>
    <t>shitting</t>
  </si>
  <si>
    <t>tens</t>
  </si>
  <si>
    <t>gigantic</t>
  </si>
  <si>
    <t>guv</t>
  </si>
  <si>
    <t>readings</t>
  </si>
  <si>
    <t>headmaster</t>
  </si>
  <si>
    <t>tenth</t>
  </si>
  <si>
    <t>seals</t>
  </si>
  <si>
    <t>peyton</t>
  </si>
  <si>
    <t>avoided</t>
  </si>
  <si>
    <t>blankets</t>
  </si>
  <si>
    <t>overlapping</t>
  </si>
  <si>
    <t>flipped</t>
  </si>
  <si>
    <t>yield</t>
  </si>
  <si>
    <t>ads</t>
  </si>
  <si>
    <t>backstage</t>
  </si>
  <si>
    <t>quiz</t>
  </si>
  <si>
    <t>mosque</t>
  </si>
  <si>
    <t>weaver</t>
  </si>
  <si>
    <t>puppies</t>
  </si>
  <si>
    <t>stated</t>
  </si>
  <si>
    <t>vicki</t>
  </si>
  <si>
    <t>weirdo</t>
  </si>
  <si>
    <t>belongings</t>
  </si>
  <si>
    <t>functions</t>
  </si>
  <si>
    <t>reservations</t>
  </si>
  <si>
    <t>chilly</t>
  </si>
  <si>
    <t>betsy</t>
  </si>
  <si>
    <t>eldest</t>
  </si>
  <si>
    <t>traditions</t>
  </si>
  <si>
    <t>factories</t>
  </si>
  <si>
    <t>feedback</t>
  </si>
  <si>
    <t>repeatedly</t>
  </si>
  <si>
    <t>exquisite</t>
  </si>
  <si>
    <t>pickle</t>
  </si>
  <si>
    <t>masses</t>
  </si>
  <si>
    <t>pauline</t>
  </si>
  <si>
    <t>frogs</t>
  </si>
  <si>
    <t>crosses</t>
  </si>
  <si>
    <t>headaches</t>
  </si>
  <si>
    <t>arctic</t>
  </si>
  <si>
    <t>reinforcements</t>
  </si>
  <si>
    <t>secondary</t>
  </si>
  <si>
    <t>pajamas</t>
  </si>
  <si>
    <t>roles</t>
  </si>
  <si>
    <t>asteroid</t>
  </si>
  <si>
    <t>unsub</t>
  </si>
  <si>
    <t>mixing</t>
  </si>
  <si>
    <t>courier</t>
  </si>
  <si>
    <t>jeanne</t>
  </si>
  <si>
    <t>carrots</t>
  </si>
  <si>
    <t>fuckers</t>
  </si>
  <si>
    <t>translated</t>
  </si>
  <si>
    <t>longing</t>
  </si>
  <si>
    <t>cigars</t>
  </si>
  <si>
    <t>manipulate</t>
  </si>
  <si>
    <t>liberal</t>
  </si>
  <si>
    <t>investors</t>
  </si>
  <si>
    <t>bun</t>
  </si>
  <si>
    <t>sly</t>
  </si>
  <si>
    <t>pickles</t>
  </si>
  <si>
    <t>temperatures</t>
  </si>
  <si>
    <t>sweetest</t>
  </si>
  <si>
    <t>motto</t>
  </si>
  <si>
    <t>moss</t>
  </si>
  <si>
    <t>yum</t>
  </si>
  <si>
    <t>melting</t>
  </si>
  <si>
    <t>yan</t>
  </si>
  <si>
    <t>requesting</t>
  </si>
  <si>
    <t>lava</t>
  </si>
  <si>
    <t>you.</t>
  </si>
  <si>
    <t>kris</t>
  </si>
  <si>
    <t>monthly</t>
  </si>
  <si>
    <t>noses</t>
  </si>
  <si>
    <t>tickle</t>
  </si>
  <si>
    <t>ufo</t>
  </si>
  <si>
    <t>timothy</t>
  </si>
  <si>
    <t>stacey</t>
  </si>
  <si>
    <t>j.r.</t>
  </si>
  <si>
    <t>midst</t>
  </si>
  <si>
    <t>herbert</t>
  </si>
  <si>
    <t>purchased</t>
  </si>
  <si>
    <t>tis</t>
  </si>
  <si>
    <t>convenience</t>
  </si>
  <si>
    <t>flashlight</t>
  </si>
  <si>
    <t>dewey</t>
  </si>
  <si>
    <t>tripped</t>
  </si>
  <si>
    <t>easiest</t>
  </si>
  <si>
    <t>shouted</t>
  </si>
  <si>
    <t>splitting</t>
  </si>
  <si>
    <t>bryce</t>
  </si>
  <si>
    <t>commands</t>
  </si>
  <si>
    <t>demanded</t>
  </si>
  <si>
    <t>cuff</t>
  </si>
  <si>
    <t>cosmos</t>
  </si>
  <si>
    <t>curfew</t>
  </si>
  <si>
    <t>instructed</t>
  </si>
  <si>
    <t>notorious</t>
  </si>
  <si>
    <t>prague</t>
  </si>
  <si>
    <t>q</t>
  </si>
  <si>
    <t>streak</t>
  </si>
  <si>
    <t>equivalent</t>
  </si>
  <si>
    <t>pitiful</t>
  </si>
  <si>
    <t>fin</t>
  </si>
  <si>
    <t>greeting</t>
  </si>
  <si>
    <t>propaganda</t>
  </si>
  <si>
    <t>doorstep</t>
  </si>
  <si>
    <t>hilda</t>
  </si>
  <si>
    <t>butterflies</t>
  </si>
  <si>
    <t>fascinated</t>
  </si>
  <si>
    <t>jude</t>
  </si>
  <si>
    <t>beatrice</t>
  </si>
  <si>
    <t>miriam</t>
  </si>
  <si>
    <t>dumping</t>
  </si>
  <si>
    <t>karan</t>
  </si>
  <si>
    <t>condo</t>
  </si>
  <si>
    <t>fearless</t>
  </si>
  <si>
    <t>cripple</t>
  </si>
  <si>
    <t>errand</t>
  </si>
  <si>
    <t>in</t>
  </si>
  <si>
    <t>halls</t>
  </si>
  <si>
    <t>imitates</t>
  </si>
  <si>
    <t>harley</t>
  </si>
  <si>
    <t>ravi</t>
  </si>
  <si>
    <t>gretchen</t>
  </si>
  <si>
    <t>sailed</t>
  </si>
  <si>
    <t>nico</t>
  </si>
  <si>
    <t>baking</t>
  </si>
  <si>
    <t>connecting</t>
  </si>
  <si>
    <t>bourbon</t>
  </si>
  <si>
    <t>cathedral</t>
  </si>
  <si>
    <t>malone</t>
  </si>
  <si>
    <t>bong</t>
  </si>
  <si>
    <t>tying</t>
  </si>
  <si>
    <t>lists</t>
  </si>
  <si>
    <t>strangle</t>
  </si>
  <si>
    <t>stripped</t>
  </si>
  <si>
    <t>loans</t>
  </si>
  <si>
    <t>manchester</t>
  </si>
  <si>
    <t>briefly</t>
  </si>
  <si>
    <t>tessa</t>
  </si>
  <si>
    <t>unfinished</t>
  </si>
  <si>
    <t>experimental</t>
  </si>
  <si>
    <t>greeks</t>
  </si>
  <si>
    <t>lil</t>
  </si>
  <si>
    <t>mainland</t>
  </si>
  <si>
    <t>w-what</t>
  </si>
  <si>
    <t>judgement</t>
  </si>
  <si>
    <t>stammers</t>
  </si>
  <si>
    <t>pike</t>
  </si>
  <si>
    <t>liars</t>
  </si>
  <si>
    <t>slot</t>
  </si>
  <si>
    <t>17th</t>
  </si>
  <si>
    <t>amazon</t>
  </si>
  <si>
    <t>flooded</t>
  </si>
  <si>
    <t>torment</t>
  </si>
  <si>
    <t>mermaid</t>
  </si>
  <si>
    <t>rapist</t>
  </si>
  <si>
    <t>sanders</t>
  </si>
  <si>
    <t>triggered</t>
  </si>
  <si>
    <t>expects</t>
  </si>
  <si>
    <t>lisbon</t>
  </si>
  <si>
    <t>reader</t>
  </si>
  <si>
    <t>keyboard</t>
  </si>
  <si>
    <t>roam</t>
  </si>
  <si>
    <t>seventeen</t>
  </si>
  <si>
    <t>openly</t>
  </si>
  <si>
    <t>deacon</t>
  </si>
  <si>
    <t>olga</t>
  </si>
  <si>
    <t>jackpot</t>
  </si>
  <si>
    <t>soaked</t>
  </si>
  <si>
    <t>printing</t>
  </si>
  <si>
    <t>yuck</t>
  </si>
  <si>
    <t>shorty</t>
  </si>
  <si>
    <t>extract</t>
  </si>
  <si>
    <t>nköö</t>
  </si>
  <si>
    <t>you-you</t>
  </si>
  <si>
    <t>prostitutes</t>
  </si>
  <si>
    <t>cherish</t>
  </si>
  <si>
    <t>logs</t>
  </si>
  <si>
    <t>takin</t>
  </si>
  <si>
    <t>sponge</t>
  </si>
  <si>
    <t>bates</t>
  </si>
  <si>
    <t>cuffs</t>
  </si>
  <si>
    <t>virginity</t>
  </si>
  <si>
    <t>torturing</t>
  </si>
  <si>
    <t>unity</t>
  </si>
  <si>
    <t>coop</t>
  </si>
  <si>
    <t>forge</t>
  </si>
  <si>
    <t>morse</t>
  </si>
  <si>
    <t>guru</t>
  </si>
  <si>
    <t>tai</t>
  </si>
  <si>
    <t>skilled</t>
  </si>
  <si>
    <t>dev</t>
  </si>
  <si>
    <t>insists</t>
  </si>
  <si>
    <t>calf</t>
  </si>
  <si>
    <t>oof</t>
  </si>
  <si>
    <t>allowance</t>
  </si>
  <si>
    <t>homosexual</t>
  </si>
  <si>
    <t>vijay</t>
  </si>
  <si>
    <t>shapes</t>
  </si>
  <si>
    <t>rosemary</t>
  </si>
  <si>
    <t>idle</t>
  </si>
  <si>
    <t>slaughtered</t>
  </si>
  <si>
    <t>resent</t>
  </si>
  <si>
    <t>cassandra</t>
  </si>
  <si>
    <t>leaking</t>
  </si>
  <si>
    <t>likewise</t>
  </si>
  <si>
    <t>riddle</t>
  </si>
  <si>
    <t>ghetto</t>
  </si>
  <si>
    <t>sunglasses</t>
  </si>
  <si>
    <t>vega</t>
  </si>
  <si>
    <t>newest</t>
  </si>
  <si>
    <t>valve</t>
  </si>
  <si>
    <t>geek</t>
  </si>
  <si>
    <t>fucks</t>
  </si>
  <si>
    <t>gangsters</t>
  </si>
  <si>
    <t>pies</t>
  </si>
  <si>
    <t>publisher</t>
  </si>
  <si>
    <t>troubling</t>
  </si>
  <si>
    <t>trembling</t>
  </si>
  <si>
    <t>marathon</t>
  </si>
  <si>
    <t>douche</t>
  </si>
  <si>
    <t>conducting</t>
  </si>
  <si>
    <t>sundays</t>
  </si>
  <si>
    <t>shrieks</t>
  </si>
  <si>
    <t>fiancee</t>
  </si>
  <si>
    <t>frankenstein</t>
  </si>
  <si>
    <t>summers</t>
  </si>
  <si>
    <t>wei</t>
  </si>
  <si>
    <t>liang</t>
  </si>
  <si>
    <t>burglar</t>
  </si>
  <si>
    <t>spiders</t>
  </si>
  <si>
    <t>norway</t>
  </si>
  <si>
    <t>crops</t>
  </si>
  <si>
    <t>infant</t>
  </si>
  <si>
    <t>falcon</t>
  </si>
  <si>
    <t>pursuing</t>
  </si>
  <si>
    <t>humiliate</t>
  </si>
  <si>
    <t>hydrogen</t>
  </si>
  <si>
    <t>karaoke</t>
  </si>
  <si>
    <t>encountered</t>
  </si>
  <si>
    <t>alberto</t>
  </si>
  <si>
    <t>corey</t>
  </si>
  <si>
    <t>scope</t>
  </si>
  <si>
    <t>cultures</t>
  </si>
  <si>
    <t>speakers</t>
  </si>
  <si>
    <t>superstar</t>
  </si>
  <si>
    <t>orgasm</t>
  </si>
  <si>
    <t>byron</t>
  </si>
  <si>
    <t>gravy</t>
  </si>
  <si>
    <t>calculations</t>
  </si>
  <si>
    <t>vocal</t>
  </si>
  <si>
    <t>severely</t>
  </si>
  <si>
    <t>hating</t>
  </si>
  <si>
    <t>novels</t>
  </si>
  <si>
    <t>mindy</t>
  </si>
  <si>
    <t>boiled</t>
  </si>
  <si>
    <t>metaphor</t>
  </si>
  <si>
    <t>kindergarten</t>
  </si>
  <si>
    <t>fades</t>
  </si>
  <si>
    <t>anders</t>
  </si>
  <si>
    <t>fi</t>
  </si>
  <si>
    <t>brazilian</t>
  </si>
  <si>
    <t>devastating</t>
  </si>
  <si>
    <t>bea</t>
  </si>
  <si>
    <t>interfering</t>
  </si>
  <si>
    <t>dripping</t>
  </si>
  <si>
    <t>ops</t>
  </si>
  <si>
    <t>cuz</t>
  </si>
  <si>
    <t>holden</t>
  </si>
  <si>
    <t>suited</t>
  </si>
  <si>
    <t>merciful</t>
  </si>
  <si>
    <t>hayley</t>
  </si>
  <si>
    <t>affirmative</t>
  </si>
  <si>
    <t>runaway</t>
  </si>
  <si>
    <t>shoo</t>
  </si>
  <si>
    <t>italians</t>
  </si>
  <si>
    <t>wales</t>
  </si>
  <si>
    <t>santiago</t>
  </si>
  <si>
    <t>adapt</t>
  </si>
  <si>
    <t>renee</t>
  </si>
  <si>
    <t>mal</t>
  </si>
  <si>
    <t>smartest</t>
  </si>
  <si>
    <t>blacks</t>
  </si>
  <si>
    <t>struggled</t>
  </si>
  <si>
    <t>prostitution</t>
  </si>
  <si>
    <t>payback</t>
  </si>
  <si>
    <t>buenos</t>
  </si>
  <si>
    <t>vintage</t>
  </si>
  <si>
    <t>diapers</t>
  </si>
  <si>
    <t>killings</t>
  </si>
  <si>
    <t>courthouse</t>
  </si>
  <si>
    <t>tong</t>
  </si>
  <si>
    <t>cubs</t>
  </si>
  <si>
    <t>surfing</t>
  </si>
  <si>
    <t>indiana</t>
  </si>
  <si>
    <t>spotlight</t>
  </si>
  <si>
    <t>frontier</t>
  </si>
  <si>
    <t>monte</t>
  </si>
  <si>
    <t>stocks</t>
  </si>
  <si>
    <t>patterson</t>
  </si>
  <si>
    <t>holiness</t>
  </si>
  <si>
    <t>denmark</t>
  </si>
  <si>
    <t>isolation</t>
  </si>
  <si>
    <t>starters</t>
  </si>
  <si>
    <t>resigned</t>
  </si>
  <si>
    <t>acquainted</t>
  </si>
  <si>
    <t>meow</t>
  </si>
  <si>
    <t>appearances</t>
  </si>
  <si>
    <t>loft</t>
  </si>
  <si>
    <t>snitch</t>
  </si>
  <si>
    <t>ribbon</t>
  </si>
  <si>
    <t>dares</t>
  </si>
  <si>
    <t>greatness</t>
  </si>
  <si>
    <t>fallon</t>
  </si>
  <si>
    <t>coolest</t>
  </si>
  <si>
    <t>decency</t>
  </si>
  <si>
    <t>mayday</t>
  </si>
  <si>
    <t>michigan</t>
  </si>
  <si>
    <t>reactor</t>
  </si>
  <si>
    <t>buckle</t>
  </si>
  <si>
    <t>vanity</t>
  </si>
  <si>
    <t>simmons</t>
  </si>
  <si>
    <t>earning</t>
  </si>
  <si>
    <t>marriages</t>
  </si>
  <si>
    <t>docks</t>
  </si>
  <si>
    <t>lopez</t>
  </si>
  <si>
    <t>alleged</t>
  </si>
  <si>
    <t>asap</t>
  </si>
  <si>
    <t>preparations</t>
  </si>
  <si>
    <t>bugging</t>
  </si>
  <si>
    <t>conquered</t>
  </si>
  <si>
    <t>cuckoo</t>
  </si>
  <si>
    <t>crib</t>
  </si>
  <si>
    <t>yogurt</t>
  </si>
  <si>
    <t>secondly</t>
  </si>
  <si>
    <t>nixon</t>
  </si>
  <si>
    <t>portland</t>
  </si>
  <si>
    <t>fishy</t>
  </si>
  <si>
    <t>flick</t>
  </si>
  <si>
    <t>scratched</t>
  </si>
  <si>
    <t>muffin</t>
  </si>
  <si>
    <t>hale</t>
  </si>
  <si>
    <t>tailor</t>
  </si>
  <si>
    <t>chimney</t>
  </si>
  <si>
    <t>nuns</t>
  </si>
  <si>
    <t>ezra</t>
  </si>
  <si>
    <t>packet</t>
  </si>
  <si>
    <t>homemade</t>
  </si>
  <si>
    <t>farming</t>
  </si>
  <si>
    <t>genuinely</t>
  </si>
  <si>
    <t>rumours</t>
  </si>
  <si>
    <t>daniels</t>
  </si>
  <si>
    <t>blouse</t>
  </si>
  <si>
    <t>kite</t>
  </si>
  <si>
    <t>buses</t>
  </si>
  <si>
    <t>hassan</t>
  </si>
  <si>
    <t>rhyme</t>
  </si>
  <si>
    <t>invaded</t>
  </si>
  <si>
    <t>quentin</t>
  </si>
  <si>
    <t>equation</t>
  </si>
  <si>
    <t>transmitter</t>
  </si>
  <si>
    <t>morons</t>
  </si>
  <si>
    <t>lime</t>
  </si>
  <si>
    <t>rotting</t>
  </si>
  <si>
    <t>20s</t>
  </si>
  <si>
    <t>remorse</t>
  </si>
  <si>
    <t>otis</t>
  </si>
  <si>
    <t>marker</t>
  </si>
  <si>
    <t>aiming</t>
  </si>
  <si>
    <t>adds</t>
  </si>
  <si>
    <t>chores</t>
  </si>
  <si>
    <t>gem</t>
  </si>
  <si>
    <t>blasted</t>
  </si>
  <si>
    <t>grabs</t>
  </si>
  <si>
    <t>courageous</t>
  </si>
  <si>
    <t>determination</t>
  </si>
  <si>
    <t>beaver</t>
  </si>
  <si>
    <t>publishing</t>
  </si>
  <si>
    <t>crickets</t>
  </si>
  <si>
    <t>well-known</t>
  </si>
  <si>
    <t>11th</t>
  </si>
  <si>
    <t>exercises</t>
  </si>
  <si>
    <t>testament</t>
  </si>
  <si>
    <t>apocalypse</t>
  </si>
  <si>
    <t>phew</t>
  </si>
  <si>
    <t>dicks</t>
  </si>
  <si>
    <t>paralyzed</t>
  </si>
  <si>
    <t>headlines</t>
  </si>
  <si>
    <t>stripes</t>
  </si>
  <si>
    <t>santos</t>
  </si>
  <si>
    <t>breaths</t>
  </si>
  <si>
    <t>abort</t>
  </si>
  <si>
    <t>heap</t>
  </si>
  <si>
    <t>ketchup</t>
  </si>
  <si>
    <t>responded</t>
  </si>
  <si>
    <t>edmund</t>
  </si>
  <si>
    <t>gracie</t>
  </si>
  <si>
    <t>protects</t>
  </si>
  <si>
    <t>tummy</t>
  </si>
  <si>
    <t>hog</t>
  </si>
  <si>
    <t>yakuza</t>
  </si>
  <si>
    <t>weeping</t>
  </si>
  <si>
    <t>fragments</t>
  </si>
  <si>
    <t>catastrophe</t>
  </si>
  <si>
    <t>bp</t>
  </si>
  <si>
    <t>churches</t>
  </si>
  <si>
    <t>pins</t>
  </si>
  <si>
    <t>shaving</t>
  </si>
  <si>
    <t>not-</t>
  </si>
  <si>
    <t>legit</t>
  </si>
  <si>
    <t>yoo</t>
  </si>
  <si>
    <t>targeted</t>
  </si>
  <si>
    <t>simpler</t>
  </si>
  <si>
    <t>noticing</t>
  </si>
  <si>
    <t>rover</t>
  </si>
  <si>
    <t>lars</t>
  </si>
  <si>
    <t>moreover</t>
  </si>
  <si>
    <t>releasing</t>
  </si>
  <si>
    <t>fascist</t>
  </si>
  <si>
    <t>greta</t>
  </si>
  <si>
    <t>spitting</t>
  </si>
  <si>
    <t>colt</t>
  </si>
  <si>
    <t>tristan</t>
  </si>
  <si>
    <t>hardy</t>
  </si>
  <si>
    <t>truce</t>
  </si>
  <si>
    <t>plaza</t>
  </si>
  <si>
    <t>bronze</t>
  </si>
  <si>
    <t>guarded</t>
  </si>
  <si>
    <t>airline</t>
  </si>
  <si>
    <t>ramon</t>
  </si>
  <si>
    <t>incapable</t>
  </si>
  <si>
    <t>punches</t>
  </si>
  <si>
    <t>sanchez</t>
  </si>
  <si>
    <t>hq</t>
  </si>
  <si>
    <t>privately</t>
  </si>
  <si>
    <t>vatican</t>
  </si>
  <si>
    <t>surround</t>
  </si>
  <si>
    <t>barrett</t>
  </si>
  <si>
    <t>edna</t>
  </si>
  <si>
    <t>alvin</t>
  </si>
  <si>
    <t>consolation</t>
  </si>
  <si>
    <t>gutter</t>
  </si>
  <si>
    <t>lan</t>
  </si>
  <si>
    <t>astonishing</t>
  </si>
  <si>
    <t>broker</t>
  </si>
  <si>
    <t>seizure</t>
  </si>
  <si>
    <t>fright</t>
  </si>
  <si>
    <t>runnin</t>
  </si>
  <si>
    <t>leaning</t>
  </si>
  <si>
    <t>mic</t>
  </si>
  <si>
    <t>scarlett</t>
  </si>
  <si>
    <t>berry</t>
  </si>
  <si>
    <t>paulie</t>
  </si>
  <si>
    <t>lacking</t>
  </si>
  <si>
    <t>verge</t>
  </si>
  <si>
    <t>lucifer</t>
  </si>
  <si>
    <t>contribute</t>
  </si>
  <si>
    <t>jewellery</t>
  </si>
  <si>
    <t>richards</t>
  </si>
  <si>
    <t>erotic</t>
  </si>
  <si>
    <t>feng</t>
  </si>
  <si>
    <t>siblings</t>
  </si>
  <si>
    <t>est</t>
  </si>
  <si>
    <t>dre</t>
  </si>
  <si>
    <t>cass</t>
  </si>
  <si>
    <t>disk</t>
  </si>
  <si>
    <t>op</t>
  </si>
  <si>
    <t>comics</t>
  </si>
  <si>
    <t>obstacle</t>
  </si>
  <si>
    <t>ale</t>
  </si>
  <si>
    <t>coral</t>
  </si>
  <si>
    <t>hamburger</t>
  </si>
  <si>
    <t>biscuit</t>
  </si>
  <si>
    <t>redemption</t>
  </si>
  <si>
    <t>thug</t>
  </si>
  <si>
    <t>concussion</t>
  </si>
  <si>
    <t>martinez</t>
  </si>
  <si>
    <t>disgust</t>
  </si>
  <si>
    <t>wright</t>
  </si>
  <si>
    <t>nsa</t>
  </si>
  <si>
    <t>arise</t>
  </si>
  <si>
    <t>celebrities</t>
  </si>
  <si>
    <t>kev</t>
  </si>
  <si>
    <t>dolphins</t>
  </si>
  <si>
    <t>kidneys</t>
  </si>
  <si>
    <t>leaked</t>
  </si>
  <si>
    <t>solving</t>
  </si>
  <si>
    <t>plasma</t>
  </si>
  <si>
    <t>singapore</t>
  </si>
  <si>
    <t>scram</t>
  </si>
  <si>
    <t>regain</t>
  </si>
  <si>
    <t>conductor</t>
  </si>
  <si>
    <t>ministers</t>
  </si>
  <si>
    <t>gender</t>
  </si>
  <si>
    <t>removing</t>
  </si>
  <si>
    <t>cocky</t>
  </si>
  <si>
    <t>know.</t>
  </si>
  <si>
    <t>richest</t>
  </si>
  <si>
    <t>deciding</t>
  </si>
  <si>
    <t>poo</t>
  </si>
  <si>
    <t>dispute</t>
  </si>
  <si>
    <t>brute</t>
  </si>
  <si>
    <t>incidents</t>
  </si>
  <si>
    <t>telly</t>
  </si>
  <si>
    <t>capsule</t>
  </si>
  <si>
    <t>chefs</t>
  </si>
  <si>
    <t>psychopath</t>
  </si>
  <si>
    <t>dumpster</t>
  </si>
  <si>
    <t>lire</t>
  </si>
  <si>
    <t>jarod</t>
  </si>
  <si>
    <t>bind</t>
  </si>
  <si>
    <t>chops</t>
  </si>
  <si>
    <t>crust</t>
  </si>
  <si>
    <t>poorly</t>
  </si>
  <si>
    <t>weighs</t>
  </si>
  <si>
    <t>bundle</t>
  </si>
  <si>
    <t>vibrating</t>
  </si>
  <si>
    <t>ricardo</t>
  </si>
  <si>
    <t>encouraging</t>
  </si>
  <si>
    <t>dwayne</t>
  </si>
  <si>
    <t>polo</t>
  </si>
  <si>
    <t>singers</t>
  </si>
  <si>
    <t>ada</t>
  </si>
  <si>
    <t>meteor</t>
  </si>
  <si>
    <t>firmly</t>
  </si>
  <si>
    <t>prettiest</t>
  </si>
  <si>
    <t>hormones</t>
  </si>
  <si>
    <t>starboard</t>
  </si>
  <si>
    <t>chauffeur</t>
  </si>
  <si>
    <t>download</t>
  </si>
  <si>
    <t>neill</t>
  </si>
  <si>
    <t>garrison</t>
  </si>
  <si>
    <t>recovering</t>
  </si>
  <si>
    <t>heated</t>
  </si>
  <si>
    <t>hillary</t>
  </si>
  <si>
    <t>cctv</t>
  </si>
  <si>
    <t>postcard</t>
  </si>
  <si>
    <t>darlin</t>
  </si>
  <si>
    <t>convert</t>
  </si>
  <si>
    <t>celia</t>
  </si>
  <si>
    <t>abi</t>
  </si>
  <si>
    <t>sissy</t>
  </si>
  <si>
    <t>reef</t>
  </si>
  <si>
    <t>treasury</t>
  </si>
  <si>
    <t>calmly</t>
  </si>
  <si>
    <t>mathematics</t>
  </si>
  <si>
    <t>ar</t>
  </si>
  <si>
    <t>ups</t>
  </si>
  <si>
    <t>shameful</t>
  </si>
  <si>
    <t>abbey</t>
  </si>
  <si>
    <t>strategic</t>
  </si>
  <si>
    <t>wrists</t>
  </si>
  <si>
    <t>payroll</t>
  </si>
  <si>
    <t>beethoven</t>
  </si>
  <si>
    <t>immense</t>
  </si>
  <si>
    <t>heartless</t>
  </si>
  <si>
    <t>magnus</t>
  </si>
  <si>
    <t>banged</t>
  </si>
  <si>
    <t>montgomery</t>
  </si>
  <si>
    <t>protector</t>
  </si>
  <si>
    <t>michelangelo</t>
  </si>
  <si>
    <t>teller</t>
  </si>
  <si>
    <t>raging</t>
  </si>
  <si>
    <t>applying</t>
  </si>
  <si>
    <t>mop</t>
  </si>
  <si>
    <t>sol</t>
  </si>
  <si>
    <t>atom</t>
  </si>
  <si>
    <t>paolo</t>
  </si>
  <si>
    <t>this</t>
  </si>
  <si>
    <t>unload</t>
  </si>
  <si>
    <t>detector</t>
  </si>
  <si>
    <t>switching</t>
  </si>
  <si>
    <t>handles</t>
  </si>
  <si>
    <t>favorites</t>
  </si>
  <si>
    <t>stinky</t>
  </si>
  <si>
    <t>lina</t>
  </si>
  <si>
    <t>norton</t>
  </si>
  <si>
    <t>regional</t>
  </si>
  <si>
    <t>heil</t>
  </si>
  <si>
    <t>richer</t>
  </si>
  <si>
    <t>secrecy</t>
  </si>
  <si>
    <t>thighs</t>
  </si>
  <si>
    <t>rigged</t>
  </si>
  <si>
    <t>thesis</t>
  </si>
  <si>
    <t>zeke</t>
  </si>
  <si>
    <t>consumed</t>
  </si>
  <si>
    <t>ahold</t>
  </si>
  <si>
    <t>tuned</t>
  </si>
  <si>
    <t>atlantis</t>
  </si>
  <si>
    <t>repaired</t>
  </si>
  <si>
    <t>leverage</t>
  </si>
  <si>
    <t>winnie</t>
  </si>
  <si>
    <t>weary</t>
  </si>
  <si>
    <t>costa</t>
  </si>
  <si>
    <t>rue</t>
  </si>
  <si>
    <t>cowboys</t>
  </si>
  <si>
    <t>employ</t>
  </si>
  <si>
    <t>provoke</t>
  </si>
  <si>
    <t>stool</t>
  </si>
  <si>
    <t>postpone</t>
  </si>
  <si>
    <t>extensive</t>
  </si>
  <si>
    <t>beau</t>
  </si>
  <si>
    <t>urgently</t>
  </si>
  <si>
    <t>optimistic</t>
  </si>
  <si>
    <t>lotus</t>
  </si>
  <si>
    <t>apologizing</t>
  </si>
  <si>
    <t>spooky</t>
  </si>
  <si>
    <t>skate</t>
  </si>
  <si>
    <t>maze</t>
  </si>
  <si>
    <t>arrests</t>
  </si>
  <si>
    <t>dialing</t>
  </si>
  <si>
    <t>fireplace</t>
  </si>
  <si>
    <t>gt</t>
  </si>
  <si>
    <t>vicar</t>
  </si>
  <si>
    <t>beetle</t>
  </si>
  <si>
    <t>horace</t>
  </si>
  <si>
    <t>suspicions</t>
  </si>
  <si>
    <t>stupidity</t>
  </si>
  <si>
    <t>restricted</t>
  </si>
  <si>
    <t>skating</t>
  </si>
  <si>
    <t>pupil</t>
  </si>
  <si>
    <t>homo</t>
  </si>
  <si>
    <t>thumbs</t>
  </si>
  <si>
    <t>hostess</t>
  </si>
  <si>
    <t>cheng</t>
  </si>
  <si>
    <t>sneaky</t>
  </si>
  <si>
    <t>swollen</t>
  </si>
  <si>
    <t>por</t>
  </si>
  <si>
    <t>unlocked</t>
  </si>
  <si>
    <t>eliza</t>
  </si>
  <si>
    <t>gladys</t>
  </si>
  <si>
    <t>mixture</t>
  </si>
  <si>
    <t>porsche</t>
  </si>
  <si>
    <t>diagnosed</t>
  </si>
  <si>
    <t>vaughn</t>
  </si>
  <si>
    <t>ri</t>
  </si>
  <si>
    <t>liberation</t>
  </si>
  <si>
    <t>nay</t>
  </si>
  <si>
    <t>crows</t>
  </si>
  <si>
    <t>rockets</t>
  </si>
  <si>
    <t>starfleet</t>
  </si>
  <si>
    <t>reindeer</t>
  </si>
  <si>
    <t>that</t>
  </si>
  <si>
    <t>shampoo</t>
  </si>
  <si>
    <t>milton</t>
  </si>
  <si>
    <t>mai</t>
  </si>
  <si>
    <t>skiing</t>
  </si>
  <si>
    <t>overhead</t>
  </si>
  <si>
    <t>disturbance</t>
  </si>
  <si>
    <t>cohen</t>
  </si>
  <si>
    <t>spits</t>
  </si>
  <si>
    <t>crank</t>
  </si>
  <si>
    <t>crocodile</t>
  </si>
  <si>
    <t>bulls</t>
  </si>
  <si>
    <t>medals</t>
  </si>
  <si>
    <t>sierra</t>
  </si>
  <si>
    <t>motivation</t>
  </si>
  <si>
    <t>dangers</t>
  </si>
  <si>
    <t>exploring</t>
  </si>
  <si>
    <t>mist</t>
  </si>
  <si>
    <t>galaxies</t>
  </si>
  <si>
    <t>ju</t>
  </si>
  <si>
    <t>sculpture</t>
  </si>
  <si>
    <t>marjorie</t>
  </si>
  <si>
    <t>adrenaline</t>
  </si>
  <si>
    <t>malik</t>
  </si>
  <si>
    <t>lt.</t>
  </si>
  <si>
    <t>allied</t>
  </si>
  <si>
    <t>manor</t>
  </si>
  <si>
    <t>convoy</t>
  </si>
  <si>
    <t>carly</t>
  </si>
  <si>
    <t>elliott</t>
  </si>
  <si>
    <t>merit</t>
  </si>
  <si>
    <t>cutter</t>
  </si>
  <si>
    <t>stressful</t>
  </si>
  <si>
    <t>forming</t>
  </si>
  <si>
    <t>bikini</t>
  </si>
  <si>
    <t>sway</t>
  </si>
  <si>
    <t>virgil</t>
  </si>
  <si>
    <t>soy</t>
  </si>
  <si>
    <t>nell</t>
  </si>
  <si>
    <t>salty</t>
  </si>
  <si>
    <t>elf</t>
  </si>
  <si>
    <t>belts</t>
  </si>
  <si>
    <t>yvonne</t>
  </si>
  <si>
    <t>disney</t>
  </si>
  <si>
    <t>contractor</t>
  </si>
  <si>
    <t>rodeo</t>
  </si>
  <si>
    <t>crackers</t>
  </si>
  <si>
    <t>playboy</t>
  </si>
  <si>
    <t>arch</t>
  </si>
  <si>
    <t>operated</t>
  </si>
  <si>
    <t>crews</t>
  </si>
  <si>
    <t>scanner</t>
  </si>
  <si>
    <t>dads</t>
  </si>
  <si>
    <t>limbs</t>
  </si>
  <si>
    <t>bathe</t>
  </si>
  <si>
    <t>cardiac</t>
  </si>
  <si>
    <t>persuaded</t>
  </si>
  <si>
    <t>argentina</t>
  </si>
  <si>
    <t>velvet</t>
  </si>
  <si>
    <t>hyde</t>
  </si>
  <si>
    <t>stem</t>
  </si>
  <si>
    <t>rewarded</t>
  </si>
  <si>
    <t>taiwan</t>
  </si>
  <si>
    <t>warfare</t>
  </si>
  <si>
    <t>lakhs</t>
  </si>
  <si>
    <t>filter</t>
  </si>
  <si>
    <t>pumped</t>
  </si>
  <si>
    <t>sterling</t>
  </si>
  <si>
    <t>gran</t>
  </si>
  <si>
    <t>right.</t>
  </si>
  <si>
    <t>fills</t>
  </si>
  <si>
    <t>chet</t>
  </si>
  <si>
    <t>disc</t>
  </si>
  <si>
    <t>percentage</t>
  </si>
  <si>
    <t>bravery</t>
  </si>
  <si>
    <t>edges</t>
  </si>
  <si>
    <t>diaper</t>
  </si>
  <si>
    <t>lyle</t>
  </si>
  <si>
    <t>ida</t>
  </si>
  <si>
    <t>preserved</t>
  </si>
  <si>
    <t>sutton</t>
  </si>
  <si>
    <t>katrina</t>
  </si>
  <si>
    <t>champions</t>
  </si>
  <si>
    <t>partying</t>
  </si>
  <si>
    <t>sergei</t>
  </si>
  <si>
    <t>pd</t>
  </si>
  <si>
    <t>morality</t>
  </si>
  <si>
    <t>crate</t>
  </si>
  <si>
    <t>mina</t>
  </si>
  <si>
    <t>complications</t>
  </si>
  <si>
    <t>sausages</t>
  </si>
  <si>
    <t>smoothly</t>
  </si>
  <si>
    <t>rafael</t>
  </si>
  <si>
    <t>cradle</t>
  </si>
  <si>
    <t>leopard</t>
  </si>
  <si>
    <t>chu</t>
  </si>
  <si>
    <t>gardner</t>
  </si>
  <si>
    <t>athens</t>
  </si>
  <si>
    <t>wh-what</t>
  </si>
  <si>
    <t>abu</t>
  </si>
  <si>
    <t>kramer</t>
  </si>
  <si>
    <t>magnet</t>
  </si>
  <si>
    <t>psychotic</t>
  </si>
  <si>
    <t>vaccine</t>
  </si>
  <si>
    <t>motivated</t>
  </si>
  <si>
    <t>aggression</t>
  </si>
  <si>
    <t>courses</t>
  </si>
  <si>
    <t>it`s</t>
  </si>
  <si>
    <t>willis</t>
  </si>
  <si>
    <t>expanding</t>
  </si>
  <si>
    <t>vance</t>
  </si>
  <si>
    <t>bases</t>
  </si>
  <si>
    <t>burglary</t>
  </si>
  <si>
    <t>stumbled</t>
  </si>
  <si>
    <t>buns</t>
  </si>
  <si>
    <t>confronted</t>
  </si>
  <si>
    <t>geneva</t>
  </si>
  <si>
    <t>increasingly</t>
  </si>
  <si>
    <t>sidewalk</t>
  </si>
  <si>
    <t>shady</t>
  </si>
  <si>
    <t>defended</t>
  </si>
  <si>
    <t>resolution</t>
  </si>
  <si>
    <t>chooses</t>
  </si>
  <si>
    <t>tapped</t>
  </si>
  <si>
    <t>exploding</t>
  </si>
  <si>
    <t>punks</t>
  </si>
  <si>
    <t>scenery</t>
  </si>
  <si>
    <t>hitch</t>
  </si>
  <si>
    <t>severed</t>
  </si>
  <si>
    <t>wink</t>
  </si>
  <si>
    <t>initially</t>
  </si>
  <si>
    <t>assessment</t>
  </si>
  <si>
    <t>shredder</t>
  </si>
  <si>
    <t>villains</t>
  </si>
  <si>
    <t>miners</t>
  </si>
  <si>
    <t>introducing</t>
  </si>
  <si>
    <t>focusing</t>
  </si>
  <si>
    <t>rainy</t>
  </si>
  <si>
    <t>amendment</t>
  </si>
  <si>
    <t>getaway</t>
  </si>
  <si>
    <t>recognised</t>
  </si>
  <si>
    <t>blackout</t>
  </si>
  <si>
    <t>leash</t>
  </si>
  <si>
    <t>muhammad</t>
  </si>
  <si>
    <t>eyebrows</t>
  </si>
  <si>
    <t>livin</t>
  </si>
  <si>
    <t>bouncing</t>
  </si>
  <si>
    <t>nipples</t>
  </si>
  <si>
    <t>oh</t>
  </si>
  <si>
    <t>raft</t>
  </si>
  <si>
    <t>pharaoh</t>
  </si>
  <si>
    <t>pots</t>
  </si>
  <si>
    <t>refreshing</t>
  </si>
  <si>
    <t>wandered</t>
  </si>
  <si>
    <t>roz</t>
  </si>
  <si>
    <t>abel</t>
  </si>
  <si>
    <t>beatles</t>
  </si>
  <si>
    <t>confined</t>
  </si>
  <si>
    <t>contagious</t>
  </si>
  <si>
    <t>madeline</t>
  </si>
  <si>
    <t>beijing</t>
  </si>
  <si>
    <t>frequently</t>
  </si>
  <si>
    <t>operational</t>
  </si>
  <si>
    <t>shakes</t>
  </si>
  <si>
    <t>thanking</t>
  </si>
  <si>
    <t>suffers</t>
  </si>
  <si>
    <t>basil</t>
  </si>
  <si>
    <t>babylon</t>
  </si>
  <si>
    <t>to</t>
  </si>
  <si>
    <t>drilling</t>
  </si>
  <si>
    <t>agencies</t>
  </si>
  <si>
    <t>buffet</t>
  </si>
  <si>
    <t>farms</t>
  </si>
  <si>
    <t>motives</t>
  </si>
  <si>
    <t>cocoa</t>
  </si>
  <si>
    <t>perception</t>
  </si>
  <si>
    <t>targeting</t>
  </si>
  <si>
    <t>thudding</t>
  </si>
  <si>
    <t>blares</t>
  </si>
  <si>
    <t>dense</t>
  </si>
  <si>
    <t>pinned</t>
  </si>
  <si>
    <t>pending</t>
  </si>
  <si>
    <t>nod</t>
  </si>
  <si>
    <t>crunch</t>
  </si>
  <si>
    <t>stains</t>
  </si>
  <si>
    <t>nervously</t>
  </si>
  <si>
    <t>caribbean</t>
  </si>
  <si>
    <t>bouquet</t>
  </si>
  <si>
    <t>stabbing</t>
  </si>
  <si>
    <t>screws</t>
  </si>
  <si>
    <t>boone</t>
  </si>
  <si>
    <t>philosopher</t>
  </si>
  <si>
    <t>bulb</t>
  </si>
  <si>
    <t>sinner</t>
  </si>
  <si>
    <t>ongoing</t>
  </si>
  <si>
    <t>editing</t>
  </si>
  <si>
    <t>veteran</t>
  </si>
  <si>
    <t>drip</t>
  </si>
  <si>
    <t>r.</t>
  </si>
  <si>
    <t>mara</t>
  </si>
  <si>
    <t>inspiring</t>
  </si>
  <si>
    <t>gale</t>
  </si>
  <si>
    <t>flint</t>
  </si>
  <si>
    <t>nova</t>
  </si>
  <si>
    <t>nevada</t>
  </si>
  <si>
    <t>manning</t>
  </si>
  <si>
    <t>membership</t>
  </si>
  <si>
    <t>puerto</t>
  </si>
  <si>
    <t>raphael</t>
  </si>
  <si>
    <t>chalk</t>
  </si>
  <si>
    <t>liable</t>
  </si>
  <si>
    <t>manuscript</t>
  </si>
  <si>
    <t>h.</t>
  </si>
  <si>
    <t>organised</t>
  </si>
  <si>
    <t>clanging</t>
  </si>
  <si>
    <t>markets</t>
  </si>
  <si>
    <t>rama</t>
  </si>
  <si>
    <t>austria</t>
  </si>
  <si>
    <t>chocolates</t>
  </si>
  <si>
    <t>l.</t>
  </si>
  <si>
    <t>trafficking</t>
  </si>
  <si>
    <t>philly</t>
  </si>
  <si>
    <t>unaware</t>
  </si>
  <si>
    <t>loot</t>
  </si>
  <si>
    <t>perish</t>
  </si>
  <si>
    <t>processed</t>
  </si>
  <si>
    <t>clone</t>
  </si>
  <si>
    <t>whooshing</t>
  </si>
  <si>
    <t>hangover</t>
  </si>
  <si>
    <t>flatter</t>
  </si>
  <si>
    <t>wretch</t>
  </si>
  <si>
    <t>weasel</t>
  </si>
  <si>
    <t>columbia</t>
  </si>
  <si>
    <t>israeli</t>
  </si>
  <si>
    <t>shatters</t>
  </si>
  <si>
    <t>lace</t>
  </si>
  <si>
    <t>indication</t>
  </si>
  <si>
    <t>allan</t>
  </si>
  <si>
    <t>cora</t>
  </si>
  <si>
    <t>drifting</t>
  </si>
  <si>
    <t>grady</t>
  </si>
  <si>
    <t>undress</t>
  </si>
  <si>
    <t>dolphin</t>
  </si>
  <si>
    <t>faked</t>
  </si>
  <si>
    <t>depart</t>
  </si>
  <si>
    <t>monument</t>
  </si>
  <si>
    <t>tyres</t>
  </si>
  <si>
    <t>marissa</t>
  </si>
  <si>
    <t>lorraine</t>
  </si>
  <si>
    <t>pow</t>
  </si>
  <si>
    <t>invade</t>
  </si>
  <si>
    <t>scooby</t>
  </si>
  <si>
    <t>hazel</t>
  </si>
  <si>
    <t>rep</t>
  </si>
  <si>
    <t>heavier</t>
  </si>
  <si>
    <t>tart</t>
  </si>
  <si>
    <t>mocking</t>
  </si>
  <si>
    <t>forgets</t>
  </si>
  <si>
    <t>sinister</t>
  </si>
  <si>
    <t>christy</t>
  </si>
  <si>
    <t>dex</t>
  </si>
  <si>
    <t>judas</t>
  </si>
  <si>
    <t>assemble</t>
  </si>
  <si>
    <t>shortcut</t>
  </si>
  <si>
    <t>transformation</t>
  </si>
  <si>
    <t>posts</t>
  </si>
  <si>
    <t>generosity</t>
  </si>
  <si>
    <t>amusement</t>
  </si>
  <si>
    <t>beta</t>
  </si>
  <si>
    <t>counseling</t>
  </si>
  <si>
    <t>bobo</t>
  </si>
  <si>
    <t>honors</t>
  </si>
  <si>
    <t>snatched</t>
  </si>
  <si>
    <t>phyllis</t>
  </si>
  <si>
    <t>measured</t>
  </si>
  <si>
    <t>gamma</t>
  </si>
  <si>
    <t>squeals</t>
  </si>
  <si>
    <t>evidently</t>
  </si>
  <si>
    <t>mildred</t>
  </si>
  <si>
    <t>caitlin</t>
  </si>
  <si>
    <t>dubai</t>
  </si>
  <si>
    <t>lantern</t>
  </si>
  <si>
    <t>combine</t>
  </si>
  <si>
    <t>nero</t>
  </si>
  <si>
    <t>trey</t>
  </si>
  <si>
    <t>toughest</t>
  </si>
  <si>
    <t>limp</t>
  </si>
  <si>
    <t>implying</t>
  </si>
  <si>
    <t>matrix</t>
  </si>
  <si>
    <t>dots</t>
  </si>
  <si>
    <t>kilometres</t>
  </si>
  <si>
    <t>evacuation</t>
  </si>
  <si>
    <t>earliest</t>
  </si>
  <si>
    <t>incompetent</t>
  </si>
  <si>
    <t>closure</t>
  </si>
  <si>
    <t>descent</t>
  </si>
  <si>
    <t>parachute</t>
  </si>
  <si>
    <t>analyze</t>
  </si>
  <si>
    <t>crushing</t>
  </si>
  <si>
    <t>classmates</t>
  </si>
  <si>
    <t>excessive</t>
  </si>
  <si>
    <t>tighter</t>
  </si>
  <si>
    <t>hump</t>
  </si>
  <si>
    <t>fuzzy</t>
  </si>
  <si>
    <t>tad</t>
  </si>
  <si>
    <t>punishing</t>
  </si>
  <si>
    <t>pageant</t>
  </si>
  <si>
    <t>wan</t>
  </si>
  <si>
    <t>reveals</t>
  </si>
  <si>
    <t>wildlife</t>
  </si>
  <si>
    <t>clare</t>
  </si>
  <si>
    <t>poking</t>
  </si>
  <si>
    <t>rehearsing</t>
  </si>
  <si>
    <t>homecoming</t>
  </si>
  <si>
    <t>swelling</t>
  </si>
  <si>
    <t>shrieking</t>
  </si>
  <si>
    <t>squawking</t>
  </si>
  <si>
    <t>tardis</t>
  </si>
  <si>
    <t>caine</t>
  </si>
  <si>
    <t>statues</t>
  </si>
  <si>
    <t>practiced</t>
  </si>
  <si>
    <t>christianity</t>
  </si>
  <si>
    <t>hazard</t>
  </si>
  <si>
    <t>stretched</t>
  </si>
  <si>
    <t>dea</t>
  </si>
  <si>
    <t>trudy</t>
  </si>
  <si>
    <t>slug</t>
  </si>
  <si>
    <t>frustration</t>
  </si>
  <si>
    <t>edie</t>
  </si>
  <si>
    <t>deception</t>
  </si>
  <si>
    <t>lillian</t>
  </si>
  <si>
    <t>trespassing</t>
  </si>
  <si>
    <t>elimination</t>
  </si>
  <si>
    <t>comforting</t>
  </si>
  <si>
    <t>len</t>
  </si>
  <si>
    <t>preach</t>
  </si>
  <si>
    <t>practise</t>
  </si>
  <si>
    <t>damages</t>
  </si>
  <si>
    <t>ex-boyfriend</t>
  </si>
  <si>
    <t>exits</t>
  </si>
  <si>
    <t>yer</t>
  </si>
  <si>
    <t>appointments</t>
  </si>
  <si>
    <t>significance</t>
  </si>
  <si>
    <t>drummer</t>
  </si>
  <si>
    <t>specimen</t>
  </si>
  <si>
    <t>voodoo</t>
  </si>
  <si>
    <t>cleo</t>
  </si>
  <si>
    <t>misunderstand</t>
  </si>
  <si>
    <t>asthma</t>
  </si>
  <si>
    <t>errands</t>
  </si>
  <si>
    <t>hypocrite</t>
  </si>
  <si>
    <t>snorts</t>
  </si>
  <si>
    <t>advocate</t>
  </si>
  <si>
    <t>cutie</t>
  </si>
  <si>
    <t>obtained</t>
  </si>
  <si>
    <t>cristina</t>
  </si>
  <si>
    <t>radioactive</t>
  </si>
  <si>
    <t>richmond</t>
  </si>
  <si>
    <t>ideals</t>
  </si>
  <si>
    <t>apprentice</t>
  </si>
  <si>
    <t>unreasonable</t>
  </si>
  <si>
    <t>inmate</t>
  </si>
  <si>
    <t>siege</t>
  </si>
  <si>
    <t>cobra</t>
  </si>
  <si>
    <t>increases</t>
  </si>
  <si>
    <t>harbour</t>
  </si>
  <si>
    <t>90s</t>
  </si>
  <si>
    <t>illegally</t>
  </si>
  <si>
    <t>rattle</t>
  </si>
  <si>
    <t>trim</t>
  </si>
  <si>
    <t>noodle</t>
  </si>
  <si>
    <t>antibiotics</t>
  </si>
  <si>
    <t>mattered</t>
  </si>
  <si>
    <t>declaration</t>
  </si>
  <si>
    <t>virtual</t>
  </si>
  <si>
    <t>intuition</t>
  </si>
  <si>
    <t>revs</t>
  </si>
  <si>
    <t>darcy</t>
  </si>
  <si>
    <t>scales</t>
  </si>
  <si>
    <t>testified</t>
  </si>
  <si>
    <t>gigi</t>
  </si>
  <si>
    <t>twenty-five</t>
  </si>
  <si>
    <t>bypass</t>
  </si>
  <si>
    <t>pneumonia</t>
  </si>
  <si>
    <t>manly</t>
  </si>
  <si>
    <t>medicines</t>
  </si>
  <si>
    <t>slowing</t>
  </si>
  <si>
    <t>groan</t>
  </si>
  <si>
    <t>dungeon</t>
  </si>
  <si>
    <t>chaps</t>
  </si>
  <si>
    <t>ncis</t>
  </si>
  <si>
    <t>consequence</t>
  </si>
  <si>
    <t>intercept</t>
  </si>
  <si>
    <t>badass</t>
  </si>
  <si>
    <t>examples</t>
  </si>
  <si>
    <t>fists</t>
  </si>
  <si>
    <t>klink</t>
  </si>
  <si>
    <t>substantial</t>
  </si>
  <si>
    <t>brag</t>
  </si>
  <si>
    <t>pitcher</t>
  </si>
  <si>
    <t>onboard</t>
  </si>
  <si>
    <t>amigo</t>
  </si>
  <si>
    <t>courtyard</t>
  </si>
  <si>
    <t>royalty</t>
  </si>
  <si>
    <t>spontaneous</t>
  </si>
  <si>
    <t>ca</t>
  </si>
  <si>
    <t>restroom</t>
  </si>
  <si>
    <t>peep</t>
  </si>
  <si>
    <t>negotiating</t>
  </si>
  <si>
    <t>ache</t>
  </si>
  <si>
    <t>swat</t>
  </si>
  <si>
    <t>emerge</t>
  </si>
  <si>
    <t>gambler</t>
  </si>
  <si>
    <t>references</t>
  </si>
  <si>
    <t>bonjour</t>
  </si>
  <si>
    <t>darkest</t>
  </si>
  <si>
    <t>insecure</t>
  </si>
  <si>
    <t>attendant</t>
  </si>
  <si>
    <t>sympathetic</t>
  </si>
  <si>
    <t>lila</t>
  </si>
  <si>
    <t>heroine</t>
  </si>
  <si>
    <t>choked</t>
  </si>
  <si>
    <t>unidentified</t>
  </si>
  <si>
    <t>plumbing</t>
  </si>
  <si>
    <t>darker</t>
  </si>
  <si>
    <t>ariel</t>
  </si>
  <si>
    <t>crude</t>
  </si>
  <si>
    <t>dictionary</t>
  </si>
  <si>
    <t>sparks</t>
  </si>
  <si>
    <t>auditions</t>
  </si>
  <si>
    <t>demo</t>
  </si>
  <si>
    <t>ta-da</t>
  </si>
  <si>
    <t>oppose</t>
  </si>
  <si>
    <t>fingernails</t>
  </si>
  <si>
    <t>mineral</t>
  </si>
  <si>
    <t>collateral</t>
  </si>
  <si>
    <t>istanbul</t>
  </si>
  <si>
    <t>venom</t>
  </si>
  <si>
    <t>tempting</t>
  </si>
  <si>
    <t>relay</t>
  </si>
  <si>
    <t>bamboo</t>
  </si>
  <si>
    <t>particle</t>
  </si>
  <si>
    <t>ying</t>
  </si>
  <si>
    <t>torres</t>
  </si>
  <si>
    <t>broadcasting</t>
  </si>
  <si>
    <t>banking</t>
  </si>
  <si>
    <t>reminding</t>
  </si>
  <si>
    <t>cassidy</t>
  </si>
  <si>
    <t>axl</t>
  </si>
  <si>
    <t>ferguson</t>
  </si>
  <si>
    <t>estimated</t>
  </si>
  <si>
    <t>hebrew</t>
  </si>
  <si>
    <t>electronics</t>
  </si>
  <si>
    <t>octopus</t>
  </si>
  <si>
    <t>meaningful</t>
  </si>
  <si>
    <t>stranded</t>
  </si>
  <si>
    <t>daytime</t>
  </si>
  <si>
    <t>dowry</t>
  </si>
  <si>
    <t>starved</t>
  </si>
  <si>
    <t>ex-girlfriend</t>
  </si>
  <si>
    <t>collision</t>
  </si>
  <si>
    <t>admitting</t>
  </si>
  <si>
    <t>comeback</t>
  </si>
  <si>
    <t>hungarian</t>
  </si>
  <si>
    <t>faculty</t>
  </si>
  <si>
    <t>operative</t>
  </si>
  <si>
    <t>liza</t>
  </si>
  <si>
    <t>tenants</t>
  </si>
  <si>
    <t>revealing</t>
  </si>
  <si>
    <t>ko</t>
  </si>
  <si>
    <t>ounce</t>
  </si>
  <si>
    <t>mediterranean</t>
  </si>
  <si>
    <t>gadget</t>
  </si>
  <si>
    <t>paramedics</t>
  </si>
  <si>
    <t>console</t>
  </si>
  <si>
    <t>cyril</t>
  </si>
  <si>
    <t>drawers</t>
  </si>
  <si>
    <t>caravan</t>
  </si>
  <si>
    <t>spinal</t>
  </si>
  <si>
    <t>bummer</t>
  </si>
  <si>
    <t>crippled</t>
  </si>
  <si>
    <t>bled</t>
  </si>
  <si>
    <t>defy</t>
  </si>
  <si>
    <t>luna</t>
  </si>
  <si>
    <t>herbs</t>
  </si>
  <si>
    <t>hwang</t>
  </si>
  <si>
    <t>queue</t>
  </si>
  <si>
    <t>blinded</t>
  </si>
  <si>
    <t>studios</t>
  </si>
  <si>
    <t>9th</t>
  </si>
  <si>
    <t>goddammit</t>
  </si>
  <si>
    <t>recess</t>
  </si>
  <si>
    <t>countdown</t>
  </si>
  <si>
    <t>maddy</t>
  </si>
  <si>
    <t>dracula</t>
  </si>
  <si>
    <t>alarms</t>
  </si>
  <si>
    <t>gaining</t>
  </si>
  <si>
    <t>quarterback</t>
  </si>
  <si>
    <t>maxine</t>
  </si>
  <si>
    <t>eminence</t>
  </si>
  <si>
    <t>willingly</t>
  </si>
  <si>
    <t>investigators</t>
  </si>
  <si>
    <t>speculation</t>
  </si>
  <si>
    <t>tο</t>
  </si>
  <si>
    <t>clearer</t>
  </si>
  <si>
    <t>gino</t>
  </si>
  <si>
    <t>cheeky</t>
  </si>
  <si>
    <t>powerless</t>
  </si>
  <si>
    <t>lapd</t>
  </si>
  <si>
    <t>cruelty</t>
  </si>
  <si>
    <t>external</t>
  </si>
  <si>
    <t>arjun</t>
  </si>
  <si>
    <t>quarantine</t>
  </si>
  <si>
    <t>shush</t>
  </si>
  <si>
    <t>allegations</t>
  </si>
  <si>
    <t>tito</t>
  </si>
  <si>
    <t>sands</t>
  </si>
  <si>
    <t>spelling</t>
  </si>
  <si>
    <t>che</t>
  </si>
  <si>
    <t>headline</t>
  </si>
  <si>
    <t>taliban</t>
  </si>
  <si>
    <t>tablet</t>
  </si>
  <si>
    <t>founder</t>
  </si>
  <si>
    <t>gandhi</t>
  </si>
  <si>
    <t>squash</t>
  </si>
  <si>
    <t>josie</t>
  </si>
  <si>
    <t>jets</t>
  </si>
  <si>
    <t>saloon</t>
  </si>
  <si>
    <t>tuition</t>
  </si>
  <si>
    <t>tame</t>
  </si>
  <si>
    <t>occasional</t>
  </si>
  <si>
    <t>apologized</t>
  </si>
  <si>
    <t>clinical</t>
  </si>
  <si>
    <t>serpent</t>
  </si>
  <si>
    <t>criticism</t>
  </si>
  <si>
    <t>sawyer</t>
  </si>
  <si>
    <t>fading</t>
  </si>
  <si>
    <t>viktor</t>
  </si>
  <si>
    <t>prop</t>
  </si>
  <si>
    <t>shoved</t>
  </si>
  <si>
    <t>mend</t>
  </si>
  <si>
    <t>lonesome</t>
  </si>
  <si>
    <t>separately</t>
  </si>
  <si>
    <t>reg</t>
  </si>
  <si>
    <t>evie</t>
  </si>
  <si>
    <t>waitin</t>
  </si>
  <si>
    <t>n</t>
  </si>
  <si>
    <t>legion</t>
  </si>
  <si>
    <t>tsk</t>
  </si>
  <si>
    <t>arabs</t>
  </si>
  <si>
    <t>accompanied</t>
  </si>
  <si>
    <t>tread</t>
  </si>
  <si>
    <t>findings</t>
  </si>
  <si>
    <t>toronto</t>
  </si>
  <si>
    <t>exploit</t>
  </si>
  <si>
    <t>proposing</t>
  </si>
  <si>
    <t>shi</t>
  </si>
  <si>
    <t>scorpion</t>
  </si>
  <si>
    <t>of-</t>
  </si>
  <si>
    <t>zoey</t>
  </si>
  <si>
    <t>curb</t>
  </si>
  <si>
    <t>opium</t>
  </si>
  <si>
    <t>athletic</t>
  </si>
  <si>
    <t>bombed</t>
  </si>
  <si>
    <t>jumper</t>
  </si>
  <si>
    <t>weaker</t>
  </si>
  <si>
    <t>suing</t>
  </si>
  <si>
    <t>bianca</t>
  </si>
  <si>
    <t>seminar</t>
  </si>
  <si>
    <t>confirms</t>
  </si>
  <si>
    <t>commence</t>
  </si>
  <si>
    <t>plains</t>
  </si>
  <si>
    <t>debra</t>
  </si>
  <si>
    <t>readers</t>
  </si>
  <si>
    <t>neglected</t>
  </si>
  <si>
    <t>tavern</t>
  </si>
  <si>
    <t>worthwhile</t>
  </si>
  <si>
    <t>morale</t>
  </si>
  <si>
    <t>cleaners</t>
  </si>
  <si>
    <t>caviar</t>
  </si>
  <si>
    <t>welcoming</t>
  </si>
  <si>
    <t>kimberly</t>
  </si>
  <si>
    <t>evaluation</t>
  </si>
  <si>
    <t>f.</t>
  </si>
  <si>
    <t>occurs</t>
  </si>
  <si>
    <t>rituals</t>
  </si>
  <si>
    <t>morton</t>
  </si>
  <si>
    <t>disguised</t>
  </si>
  <si>
    <t>precision</t>
  </si>
  <si>
    <t>cube</t>
  </si>
  <si>
    <t>revelation</t>
  </si>
  <si>
    <t>titanic</t>
  </si>
  <si>
    <t>realizing</t>
  </si>
  <si>
    <t>doggy</t>
  </si>
  <si>
    <t>babbling</t>
  </si>
  <si>
    <t>cheung</t>
  </si>
  <si>
    <t>dora</t>
  </si>
  <si>
    <t>tenant</t>
  </si>
  <si>
    <t>riches</t>
  </si>
  <si>
    <t>diabetes</t>
  </si>
  <si>
    <t>alternate</t>
  </si>
  <si>
    <t>diversion</t>
  </si>
  <si>
    <t>effectively</t>
  </si>
  <si>
    <t>dedication</t>
  </si>
  <si>
    <t>wager</t>
  </si>
  <si>
    <t>companions</t>
  </si>
  <si>
    <t>sinclair</t>
  </si>
  <si>
    <t>bailed</t>
  </si>
  <si>
    <t>smelly</t>
  </si>
  <si>
    <t>ratings</t>
  </si>
  <si>
    <t>trench</t>
  </si>
  <si>
    <t>cameraman</t>
  </si>
  <si>
    <t>dillon</t>
  </si>
  <si>
    <t>hawkins</t>
  </si>
  <si>
    <t>stanton</t>
  </si>
  <si>
    <t>ajay</t>
  </si>
  <si>
    <t>edison</t>
  </si>
  <si>
    <t>batter</t>
  </si>
  <si>
    <t>dye</t>
  </si>
  <si>
    <t>abduction</t>
  </si>
  <si>
    <t>prospect</t>
  </si>
  <si>
    <t>morrison</t>
  </si>
  <si>
    <t>brighter</t>
  </si>
  <si>
    <t>wider</t>
  </si>
  <si>
    <t>alma</t>
  </si>
  <si>
    <t>manslaughter</t>
  </si>
  <si>
    <t>remedy</t>
  </si>
  <si>
    <t>damp</t>
  </si>
  <si>
    <t>thigh</t>
  </si>
  <si>
    <t>cologne</t>
  </si>
  <si>
    <t>accusation</t>
  </si>
  <si>
    <t>outsider</t>
  </si>
  <si>
    <t>serum</t>
  </si>
  <si>
    <t>whats</t>
  </si>
  <si>
    <t>spaces</t>
  </si>
  <si>
    <t>oral</t>
  </si>
  <si>
    <t>shades</t>
  </si>
  <si>
    <t>woe</t>
  </si>
  <si>
    <t>elise</t>
  </si>
  <si>
    <t>receipts</t>
  </si>
  <si>
    <t>alias</t>
  </si>
  <si>
    <t>notified</t>
  </si>
  <si>
    <t>apron</t>
  </si>
  <si>
    <t>kentucky</t>
  </si>
  <si>
    <t>vein</t>
  </si>
  <si>
    <t>tonic</t>
  </si>
  <si>
    <t>squeaks</t>
  </si>
  <si>
    <t>dim</t>
  </si>
  <si>
    <t>steep</t>
  </si>
  <si>
    <t>sod</t>
  </si>
  <si>
    <t>presenting</t>
  </si>
  <si>
    <t>cinderella</t>
  </si>
  <si>
    <t>cub</t>
  </si>
  <si>
    <t>chung</t>
  </si>
  <si>
    <t>eyewitness</t>
  </si>
  <si>
    <t>flattering</t>
  </si>
  <si>
    <t>overdose</t>
  </si>
  <si>
    <t>kathleen</t>
  </si>
  <si>
    <t>doubled</t>
  </si>
  <si>
    <t>della</t>
  </si>
  <si>
    <t>suckers</t>
  </si>
  <si>
    <t>automobile</t>
  </si>
  <si>
    <t>cain</t>
  </si>
  <si>
    <t>loo</t>
  </si>
  <si>
    <t>brittany</t>
  </si>
  <si>
    <t>bullied</t>
  </si>
  <si>
    <t>spider-man</t>
  </si>
  <si>
    <t>humphrey</t>
  </si>
  <si>
    <t>tyson</t>
  </si>
  <si>
    <t>kidnapper</t>
  </si>
  <si>
    <t>dispose</t>
  </si>
  <si>
    <t>margarita</t>
  </si>
  <si>
    <t>hash</t>
  </si>
  <si>
    <t>grieving</t>
  </si>
  <si>
    <t>initials</t>
  </si>
  <si>
    <t>hound</t>
  </si>
  <si>
    <t>boogie</t>
  </si>
  <si>
    <t>dawg</t>
  </si>
  <si>
    <t>perp</t>
  </si>
  <si>
    <t>cloak</t>
  </si>
  <si>
    <t>crabs</t>
  </si>
  <si>
    <t>pastry</t>
  </si>
  <si>
    <t>successor</t>
  </si>
  <si>
    <t>hola</t>
  </si>
  <si>
    <t>michele</t>
  </si>
  <si>
    <t>cheerleader</t>
  </si>
  <si>
    <t>slips</t>
  </si>
  <si>
    <t>critics</t>
  </si>
  <si>
    <t>recruited</t>
  </si>
  <si>
    <t>macho</t>
  </si>
  <si>
    <t>stunned</t>
  </si>
  <si>
    <t>fuller</t>
  </si>
  <si>
    <t>mornings</t>
  </si>
  <si>
    <t>accidental</t>
  </si>
  <si>
    <t>lara</t>
  </si>
  <si>
    <t>convey</t>
  </si>
  <si>
    <t>prototype</t>
  </si>
  <si>
    <t>superiors</t>
  </si>
  <si>
    <t>barcelona</t>
  </si>
  <si>
    <t>fling</t>
  </si>
  <si>
    <t>froze</t>
  </si>
  <si>
    <t>atoms</t>
  </si>
  <si>
    <t>kidnappers</t>
  </si>
  <si>
    <t>cupcake</t>
  </si>
  <si>
    <t>athletes</t>
  </si>
  <si>
    <t>warsaw</t>
  </si>
  <si>
    <t>pleasures</t>
  </si>
  <si>
    <t>ax</t>
  </si>
  <si>
    <t>kumar</t>
  </si>
  <si>
    <t>uptight</t>
  </si>
  <si>
    <t>inclined</t>
  </si>
  <si>
    <t>stockings</t>
  </si>
  <si>
    <t>scrooge</t>
  </si>
  <si>
    <t>fingerprint</t>
  </si>
  <si>
    <t>harmed</t>
  </si>
  <si>
    <t>sensational</t>
  </si>
  <si>
    <t>jockey</t>
  </si>
  <si>
    <t>mourn</t>
  </si>
  <si>
    <t>intercom</t>
  </si>
  <si>
    <t>tory</t>
  </si>
  <si>
    <t>penthouse</t>
  </si>
  <si>
    <t>forthe</t>
  </si>
  <si>
    <t>eileen</t>
  </si>
  <si>
    <t>ginny</t>
  </si>
  <si>
    <t>quack</t>
  </si>
  <si>
    <t>peck</t>
  </si>
  <si>
    <t>gospel</t>
  </si>
  <si>
    <t>what</t>
  </si>
  <si>
    <t>presumably</t>
  </si>
  <si>
    <t>signatures</t>
  </si>
  <si>
    <t>hyung</t>
  </si>
  <si>
    <t>aspects</t>
  </si>
  <si>
    <t>assumption</t>
  </si>
  <si>
    <t>rumbles</t>
  </si>
  <si>
    <t>hugging</t>
  </si>
  <si>
    <t>sideways</t>
  </si>
  <si>
    <t>theodore</t>
  </si>
  <si>
    <t>organisation</t>
  </si>
  <si>
    <t>lowered</t>
  </si>
  <si>
    <t>youtube</t>
  </si>
  <si>
    <t>ct</t>
  </si>
  <si>
    <t>jaws</t>
  </si>
  <si>
    <t>troll</t>
  </si>
  <si>
    <t>squid</t>
  </si>
  <si>
    <t>designers</t>
  </si>
  <si>
    <t>mushroom</t>
  </si>
  <si>
    <t>freeway</t>
  </si>
  <si>
    <t>believer</t>
  </si>
  <si>
    <t>possessions</t>
  </si>
  <si>
    <t>tunes</t>
  </si>
  <si>
    <t>tornado</t>
  </si>
  <si>
    <t>cowardly</t>
  </si>
  <si>
    <t>notch</t>
  </si>
  <si>
    <t>routes</t>
  </si>
  <si>
    <t>winters</t>
  </si>
  <si>
    <t>elijah</t>
  </si>
  <si>
    <t>annoy</t>
  </si>
  <si>
    <t>loaf</t>
  </si>
  <si>
    <t>commercials</t>
  </si>
  <si>
    <t>idiotic</t>
  </si>
  <si>
    <t>inconvenience</t>
  </si>
  <si>
    <t>plum</t>
  </si>
  <si>
    <t>solicitor</t>
  </si>
  <si>
    <t>amnesia</t>
  </si>
  <si>
    <t>deborah</t>
  </si>
  <si>
    <t>distinct</t>
  </si>
  <si>
    <t>sweeping</t>
  </si>
  <si>
    <t>arson</t>
  </si>
  <si>
    <t>doubted</t>
  </si>
  <si>
    <t>furthermore</t>
  </si>
  <si>
    <t>quarry</t>
  </si>
  <si>
    <t>50s</t>
  </si>
  <si>
    <t>puss</t>
  </si>
  <si>
    <t>farts</t>
  </si>
  <si>
    <t>guo</t>
  </si>
  <si>
    <t>depot</t>
  </si>
  <si>
    <t>evenings</t>
  </si>
  <si>
    <t>ole</t>
  </si>
  <si>
    <t>circulation</t>
  </si>
  <si>
    <t>socialist</t>
  </si>
  <si>
    <t>melinda</t>
  </si>
  <si>
    <t>dryer</t>
  </si>
  <si>
    <t>mutters</t>
  </si>
  <si>
    <t>vomiting</t>
  </si>
  <si>
    <t>brock</t>
  </si>
  <si>
    <t>fei</t>
  </si>
  <si>
    <t>candis</t>
  </si>
  <si>
    <t>moody</t>
  </si>
  <si>
    <t>donated</t>
  </si>
  <si>
    <t>reich</t>
  </si>
  <si>
    <t>receiver</t>
  </si>
  <si>
    <t>semen</t>
  </si>
  <si>
    <t>converted</t>
  </si>
  <si>
    <t>rags</t>
  </si>
  <si>
    <t>harness</t>
  </si>
  <si>
    <t>slate</t>
  </si>
  <si>
    <t>padre</t>
  </si>
  <si>
    <t>sonya</t>
  </si>
  <si>
    <t>necessity</t>
  </si>
  <si>
    <t>emails</t>
  </si>
  <si>
    <t>rumpole</t>
  </si>
  <si>
    <t>orderly</t>
  </si>
  <si>
    <t>dinners</t>
  </si>
  <si>
    <t>assassins</t>
  </si>
  <si>
    <t>scold</t>
  </si>
  <si>
    <t>certainty</t>
  </si>
  <si>
    <t>marian</t>
  </si>
  <si>
    <t>knox</t>
  </si>
  <si>
    <t>upright</t>
  </si>
  <si>
    <t>trek</t>
  </si>
  <si>
    <t>patron</t>
  </si>
  <si>
    <t>reborn</t>
  </si>
  <si>
    <t>reel</t>
  </si>
  <si>
    <t>typewriter</t>
  </si>
  <si>
    <t>babes</t>
  </si>
  <si>
    <t>sorrows</t>
  </si>
  <si>
    <t>utmost</t>
  </si>
  <si>
    <t>havin</t>
  </si>
  <si>
    <t>patsy</t>
  </si>
  <si>
    <t>governments</t>
  </si>
  <si>
    <t>bhai</t>
  </si>
  <si>
    <t>privileges</t>
  </si>
  <si>
    <t>throats</t>
  </si>
  <si>
    <t>remotely</t>
  </si>
  <si>
    <t>glee</t>
  </si>
  <si>
    <t>revolver</t>
  </si>
  <si>
    <t>lockdown</t>
  </si>
  <si>
    <t>woof</t>
  </si>
  <si>
    <t>brunch</t>
  </si>
  <si>
    <t>dwell</t>
  </si>
  <si>
    <t>coyote</t>
  </si>
  <si>
    <t>squat</t>
  </si>
  <si>
    <t>manic</t>
  </si>
  <si>
    <t>groove</t>
  </si>
  <si>
    <t>bangkok</t>
  </si>
  <si>
    <t>uncovered</t>
  </si>
  <si>
    <t>mailbox</t>
  </si>
  <si>
    <t>objections</t>
  </si>
  <si>
    <t>lynch</t>
  </si>
  <si>
    <t>scrape</t>
  </si>
  <si>
    <t>commandant</t>
  </si>
  <si>
    <t>swings</t>
  </si>
  <si>
    <t>conventional</t>
  </si>
  <si>
    <t>stockholm</t>
  </si>
  <si>
    <t>raises</t>
  </si>
  <si>
    <t>transaction</t>
  </si>
  <si>
    <t>iced</t>
  </si>
  <si>
    <t>oy</t>
  </si>
  <si>
    <t>paulo</t>
  </si>
  <si>
    <t>ignition</t>
  </si>
  <si>
    <t>beaches</t>
  </si>
  <si>
    <t>interpol</t>
  </si>
  <si>
    <t>epidemic</t>
  </si>
  <si>
    <t>honoured</t>
  </si>
  <si>
    <t>shaggy</t>
  </si>
  <si>
    <t>friggin</t>
  </si>
  <si>
    <t>policies</t>
  </si>
  <si>
    <t>statistics</t>
  </si>
  <si>
    <t>shattering</t>
  </si>
  <si>
    <t>bah</t>
  </si>
  <si>
    <t>intercourse</t>
  </si>
  <si>
    <t>charms</t>
  </si>
  <si>
    <t>flashing</t>
  </si>
  <si>
    <t>destructive</t>
  </si>
  <si>
    <t>grilled</t>
  </si>
  <si>
    <t>oregon</t>
  </si>
  <si>
    <t>copied</t>
  </si>
  <si>
    <t>hookers</t>
  </si>
  <si>
    <t>paycheck</t>
  </si>
  <si>
    <t>solitude</t>
  </si>
  <si>
    <t>panther</t>
  </si>
  <si>
    <t>performances</t>
  </si>
  <si>
    <t>maids</t>
  </si>
  <si>
    <t>exhausting</t>
  </si>
  <si>
    <t>lambert</t>
  </si>
  <si>
    <t>omega</t>
  </si>
  <si>
    <t>belgium</t>
  </si>
  <si>
    <t>stationed</t>
  </si>
  <si>
    <t>yankees</t>
  </si>
  <si>
    <t>liability</t>
  </si>
  <si>
    <t>x-rays</t>
  </si>
  <si>
    <t>whichever</t>
  </si>
  <si>
    <t>hunk</t>
  </si>
  <si>
    <t>trout</t>
  </si>
  <si>
    <t>crystals</t>
  </si>
  <si>
    <t>learns</t>
  </si>
  <si>
    <t>repent</t>
  </si>
  <si>
    <t>prosperity</t>
  </si>
  <si>
    <t>literary</t>
  </si>
  <si>
    <t>assembled</t>
  </si>
  <si>
    <t>ounces</t>
  </si>
  <si>
    <t>martyr</t>
  </si>
  <si>
    <t>northwest</t>
  </si>
  <si>
    <t>connecticut</t>
  </si>
  <si>
    <t>privileged</t>
  </si>
  <si>
    <t>webster</t>
  </si>
  <si>
    <t>excess</t>
  </si>
  <si>
    <t>unemployment</t>
  </si>
  <si>
    <t>viking</t>
  </si>
  <si>
    <t>blackmailing</t>
  </si>
  <si>
    <t>munich</t>
  </si>
  <si>
    <t>install</t>
  </si>
  <si>
    <t>arrogance</t>
  </si>
  <si>
    <t>jeopardy</t>
  </si>
  <si>
    <t>hacker</t>
  </si>
  <si>
    <t>tongues</t>
  </si>
  <si>
    <t>pleases</t>
  </si>
  <si>
    <t>reset</t>
  </si>
  <si>
    <t>risen</t>
  </si>
  <si>
    <t>dependent</t>
  </si>
  <si>
    <t>sued</t>
  </si>
  <si>
    <t>perkins</t>
  </si>
  <si>
    <t>goons</t>
  </si>
  <si>
    <t>macleod</t>
  </si>
  <si>
    <t>milady</t>
  </si>
  <si>
    <t>wolfe</t>
  </si>
  <si>
    <t>abnormal</t>
  </si>
  <si>
    <t>bandage</t>
  </si>
  <si>
    <t>heed</t>
  </si>
  <si>
    <t>mabel</t>
  </si>
  <si>
    <t>pronounced</t>
  </si>
  <si>
    <t>bullying</t>
  </si>
  <si>
    <t>charter</t>
  </si>
  <si>
    <t>shelley</t>
  </si>
  <si>
    <t>turks</t>
  </si>
  <si>
    <t>litter</t>
  </si>
  <si>
    <t>standby</t>
  </si>
  <si>
    <t>izzy</t>
  </si>
  <si>
    <t>ltd</t>
  </si>
  <si>
    <t>peaches</t>
  </si>
  <si>
    <t>angles</t>
  </si>
  <si>
    <t>kerry</t>
  </si>
  <si>
    <t>here-</t>
  </si>
  <si>
    <t>baths</t>
  </si>
  <si>
    <t>generate</t>
  </si>
  <si>
    <t>cobb</t>
  </si>
  <si>
    <t>residue</t>
  </si>
  <si>
    <t>composed</t>
  </si>
  <si>
    <t>paco</t>
  </si>
  <si>
    <t>kilo</t>
  </si>
  <si>
    <t>immigrants</t>
  </si>
  <si>
    <t>probable</t>
  </si>
  <si>
    <t>x.</t>
  </si>
  <si>
    <t>enjoys</t>
  </si>
  <si>
    <t>seeks</t>
  </si>
  <si>
    <t>newman</t>
  </si>
  <si>
    <t>vicinity</t>
  </si>
  <si>
    <t>flank</t>
  </si>
  <si>
    <t>der</t>
  </si>
  <si>
    <t>clint</t>
  </si>
  <si>
    <t>functioning</t>
  </si>
  <si>
    <t>horatio</t>
  </si>
  <si>
    <t>predictable</t>
  </si>
  <si>
    <t>jedi</t>
  </si>
  <si>
    <t>scrambled</t>
  </si>
  <si>
    <t>expansion</t>
  </si>
  <si>
    <t>pittsburgh</t>
  </si>
  <si>
    <t>angus</t>
  </si>
  <si>
    <t>natives</t>
  </si>
  <si>
    <t>bing</t>
  </si>
  <si>
    <t>scarlet</t>
  </si>
  <si>
    <t>itchy</t>
  </si>
  <si>
    <t>stirring</t>
  </si>
  <si>
    <t>bedrooms</t>
  </si>
  <si>
    <t>structures</t>
  </si>
  <si>
    <t>penn</t>
  </si>
  <si>
    <t>ensign</t>
  </si>
  <si>
    <t>barrels</t>
  </si>
  <si>
    <t>voters</t>
  </si>
  <si>
    <t>madeleine</t>
  </si>
  <si>
    <t>geoff</t>
  </si>
  <si>
    <t>haste</t>
  </si>
  <si>
    <t>existing</t>
  </si>
  <si>
    <t>mcdonald</t>
  </si>
  <si>
    <t>commotion</t>
  </si>
  <si>
    <t>belonging</t>
  </si>
  <si>
    <t>extinct</t>
  </si>
  <si>
    <t>joints</t>
  </si>
  <si>
    <t>bumper</t>
  </si>
  <si>
    <t>you`re</t>
  </si>
  <si>
    <t>mao</t>
  </si>
  <si>
    <t>mare</t>
  </si>
  <si>
    <t>coleman</t>
  </si>
  <si>
    <t>influenced</t>
  </si>
  <si>
    <t>heist</t>
  </si>
  <si>
    <t>cynical</t>
  </si>
  <si>
    <t>input</t>
  </si>
  <si>
    <t>recite</t>
  </si>
  <si>
    <t>cary</t>
  </si>
  <si>
    <t>eagles</t>
  </si>
  <si>
    <t>expired</t>
  </si>
  <si>
    <t>palms</t>
  </si>
  <si>
    <t>slash</t>
  </si>
  <si>
    <t>bottoms</t>
  </si>
  <si>
    <t>o.</t>
  </si>
  <si>
    <t>columbus</t>
  </si>
  <si>
    <t>georges</t>
  </si>
  <si>
    <t>vous</t>
  </si>
  <si>
    <t>exaggerate</t>
  </si>
  <si>
    <t>l-</t>
  </si>
  <si>
    <t>guided</t>
  </si>
  <si>
    <t>pineapple</t>
  </si>
  <si>
    <t>spence</t>
  </si>
  <si>
    <t>ankles</t>
  </si>
  <si>
    <t>morals</t>
  </si>
  <si>
    <t>builds</t>
  </si>
  <si>
    <t>colleen</t>
  </si>
  <si>
    <t>posing</t>
  </si>
  <si>
    <t>fireman</t>
  </si>
  <si>
    <t>thorn</t>
  </si>
  <si>
    <t>communities</t>
  </si>
  <si>
    <t>lawson</t>
  </si>
  <si>
    <t>workout</t>
  </si>
  <si>
    <t>extraterrestrial</t>
  </si>
  <si>
    <t>raylan</t>
  </si>
  <si>
    <t>conceived</t>
  </si>
  <si>
    <t>tightly</t>
  </si>
  <si>
    <t>orlando</t>
  </si>
  <si>
    <t>tennessee</t>
  </si>
  <si>
    <t>yeon</t>
  </si>
  <si>
    <t>diaz</t>
  </si>
  <si>
    <t>fraser</t>
  </si>
  <si>
    <t>sleeves</t>
  </si>
  <si>
    <t>vacant</t>
  </si>
  <si>
    <t>infantry</t>
  </si>
  <si>
    <t>gallagher</t>
  </si>
  <si>
    <t>booking</t>
  </si>
  <si>
    <t>oranges</t>
  </si>
  <si>
    <t>rhodes</t>
  </si>
  <si>
    <t>breakup</t>
  </si>
  <si>
    <t>layla</t>
  </si>
  <si>
    <t>purity</t>
  </si>
  <si>
    <t>honourable</t>
  </si>
  <si>
    <t>militia</t>
  </si>
  <si>
    <t>j.d.</t>
  </si>
  <si>
    <t>mechanics</t>
  </si>
  <si>
    <t>mackenzie</t>
  </si>
  <si>
    <t>bronx</t>
  </si>
  <si>
    <t>realizes</t>
  </si>
  <si>
    <t>hasty</t>
  </si>
  <si>
    <t>colorful</t>
  </si>
  <si>
    <t>ramp</t>
  </si>
  <si>
    <t>boulevard</t>
  </si>
  <si>
    <t>xavier</t>
  </si>
  <si>
    <t>intriguing</t>
  </si>
  <si>
    <t>rook</t>
  </si>
  <si>
    <t>papi</t>
  </si>
  <si>
    <t>callen</t>
  </si>
  <si>
    <t>atm</t>
  </si>
  <si>
    <t>acquire</t>
  </si>
  <si>
    <t>necks</t>
  </si>
  <si>
    <t>sinners</t>
  </si>
  <si>
    <t>gents</t>
  </si>
  <si>
    <t>episodes</t>
  </si>
  <si>
    <t>oswald</t>
  </si>
  <si>
    <t>dedicate</t>
  </si>
  <si>
    <t>rests</t>
  </si>
  <si>
    <t>pi</t>
  </si>
  <si>
    <t>okay.</t>
  </si>
  <si>
    <t>milord</t>
  </si>
  <si>
    <t>debut</t>
  </si>
  <si>
    <t>interviewing</t>
  </si>
  <si>
    <t>occupy</t>
  </si>
  <si>
    <t>aimed</t>
  </si>
  <si>
    <t>emerged</t>
  </si>
  <si>
    <t>sloan</t>
  </si>
  <si>
    <t>restraining</t>
  </si>
  <si>
    <t>cod</t>
  </si>
  <si>
    <t>clarity</t>
  </si>
  <si>
    <t>daft</t>
  </si>
  <si>
    <t>islamic</t>
  </si>
  <si>
    <t>calculated</t>
  </si>
  <si>
    <t>lakes</t>
  </si>
  <si>
    <t>grumpy</t>
  </si>
  <si>
    <t>ki</t>
  </si>
  <si>
    <t>picasso</t>
  </si>
  <si>
    <t>eddy</t>
  </si>
  <si>
    <t>consulting</t>
  </si>
  <si>
    <t>obstacles</t>
  </si>
  <si>
    <t>pesos</t>
  </si>
  <si>
    <t>nicolas</t>
  </si>
  <si>
    <t>plotting</t>
  </si>
  <si>
    <t>infirmary</t>
  </si>
  <si>
    <t>sermon</t>
  </si>
  <si>
    <t>manipulated</t>
  </si>
  <si>
    <t>scratches</t>
  </si>
  <si>
    <t>aidan</t>
  </si>
  <si>
    <t>deeks</t>
  </si>
  <si>
    <t>critic</t>
  </si>
  <si>
    <t>greasy</t>
  </si>
  <si>
    <t>seung</t>
  </si>
  <si>
    <t>zealand</t>
  </si>
  <si>
    <t>supports</t>
  </si>
  <si>
    <t>anatomy</t>
  </si>
  <si>
    <t>agreeing</t>
  </si>
  <si>
    <t>straightforward</t>
  </si>
  <si>
    <t>prejudice</t>
  </si>
  <si>
    <t>placing</t>
  </si>
  <si>
    <t>flare</t>
  </si>
  <si>
    <t>milky</t>
  </si>
  <si>
    <t>masterchef</t>
  </si>
  <si>
    <t>vladimir</t>
  </si>
  <si>
    <t>premiere</t>
  </si>
  <si>
    <t>glamorous</t>
  </si>
  <si>
    <t>cinnamon</t>
  </si>
  <si>
    <t>syd</t>
  </si>
  <si>
    <t>referee</t>
  </si>
  <si>
    <t>threshold</t>
  </si>
  <si>
    <t>civilisation</t>
  </si>
  <si>
    <t>sensor</t>
  </si>
  <si>
    <t>tends</t>
  </si>
  <si>
    <t>louisa</t>
  </si>
  <si>
    <t>savages</t>
  </si>
  <si>
    <t>emil</t>
  </si>
  <si>
    <t>torpedo</t>
  </si>
  <si>
    <t>ere</t>
  </si>
  <si>
    <t>housewife</t>
  </si>
  <si>
    <t>tours</t>
  </si>
  <si>
    <t>fossil</t>
  </si>
  <si>
    <t>replied</t>
  </si>
  <si>
    <t>abdomen</t>
  </si>
  <si>
    <t>soak</t>
  </si>
  <si>
    <t>contestants</t>
  </si>
  <si>
    <t>stretching</t>
  </si>
  <si>
    <t>princes</t>
  </si>
  <si>
    <t>hoffman</t>
  </si>
  <si>
    <t>truman</t>
  </si>
  <si>
    <t>bumps</t>
  </si>
  <si>
    <t>educational</t>
  </si>
  <si>
    <t>outfits</t>
  </si>
  <si>
    <t>resurrection</t>
  </si>
  <si>
    <t>latte</t>
  </si>
  <si>
    <t>huang</t>
  </si>
  <si>
    <t>politically</t>
  </si>
  <si>
    <t>pratt</t>
  </si>
  <si>
    <t>whoosh</t>
  </si>
  <si>
    <t>françois</t>
  </si>
  <si>
    <t>ds</t>
  </si>
  <si>
    <t>wiser</t>
  </si>
  <si>
    <t>rejection</t>
  </si>
  <si>
    <t>clutch</t>
  </si>
  <si>
    <t>fusion</t>
  </si>
  <si>
    <t>j.j.</t>
  </si>
  <si>
    <t>gloomy</t>
  </si>
  <si>
    <t>madly</t>
  </si>
  <si>
    <t>cambridge</t>
  </si>
  <si>
    <t>cocktails</t>
  </si>
  <si>
    <t>lighthouse</t>
  </si>
  <si>
    <t>treatments</t>
  </si>
  <si>
    <t>chronic</t>
  </si>
  <si>
    <t>fluids</t>
  </si>
  <si>
    <t>deleted</t>
  </si>
  <si>
    <t>sustain</t>
  </si>
  <si>
    <t>stanford</t>
  </si>
  <si>
    <t>ahmed</t>
  </si>
  <si>
    <t>couid</t>
  </si>
  <si>
    <t>buyers</t>
  </si>
  <si>
    <t>valet</t>
  </si>
  <si>
    <t>darius</t>
  </si>
  <si>
    <t>nobel</t>
  </si>
  <si>
    <t>sank</t>
  </si>
  <si>
    <t>southeast</t>
  </si>
  <si>
    <t>condemn</t>
  </si>
  <si>
    <t>resemblance</t>
  </si>
  <si>
    <t>suicidal</t>
  </si>
  <si>
    <t>wed</t>
  </si>
  <si>
    <t>packages</t>
  </si>
  <si>
    <t>taped</t>
  </si>
  <si>
    <t>avatar</t>
  </si>
  <si>
    <t>wireless</t>
  </si>
  <si>
    <t>paddle</t>
  </si>
  <si>
    <t>lice</t>
  </si>
  <si>
    <t>tablets</t>
  </si>
  <si>
    <t>spreads</t>
  </si>
  <si>
    <t>itch</t>
  </si>
  <si>
    <t>gibberish</t>
  </si>
  <si>
    <t>ingredient</t>
  </si>
  <si>
    <t>emilio</t>
  </si>
  <si>
    <t>prevented</t>
  </si>
  <si>
    <t>withdrawal</t>
  </si>
  <si>
    <t>porno</t>
  </si>
  <si>
    <t>pry</t>
  </si>
  <si>
    <t>sexuality</t>
  </si>
  <si>
    <t>br</t>
  </si>
  <si>
    <t>vinnie</t>
  </si>
  <si>
    <t>oh-oh</t>
  </si>
  <si>
    <t>considerate</t>
  </si>
  <si>
    <t>sovereign</t>
  </si>
  <si>
    <t>pas</t>
  </si>
  <si>
    <t>voicemail</t>
  </si>
  <si>
    <t>é</t>
  </si>
  <si>
    <t>cadet</t>
  </si>
  <si>
    <t>clarify</t>
  </si>
  <si>
    <t>immature</t>
  </si>
  <si>
    <t>t-shirts</t>
  </si>
  <si>
    <t>marguerite</t>
  </si>
  <si>
    <t>banished</t>
  </si>
  <si>
    <t>chemo</t>
  </si>
  <si>
    <t>nicki</t>
  </si>
  <si>
    <t>dairy</t>
  </si>
  <si>
    <t>attach</t>
  </si>
  <si>
    <t>murdock</t>
  </si>
  <si>
    <t>sliding</t>
  </si>
  <si>
    <t>spectacle</t>
  </si>
  <si>
    <t>pushes</t>
  </si>
  <si>
    <t>yin</t>
  </si>
  <si>
    <t>delusional</t>
  </si>
  <si>
    <t>allegiance</t>
  </si>
  <si>
    <t>slope</t>
  </si>
  <si>
    <t>pooja</t>
  </si>
  <si>
    <t>awareness</t>
  </si>
  <si>
    <t>jed</t>
  </si>
  <si>
    <t>decker</t>
  </si>
  <si>
    <t>dino</t>
  </si>
  <si>
    <t>roaming</t>
  </si>
  <si>
    <t>shores</t>
  </si>
  <si>
    <t>l`m</t>
  </si>
  <si>
    <t>competitors</t>
  </si>
  <si>
    <t>tomas</t>
  </si>
  <si>
    <t>overreacting</t>
  </si>
  <si>
    <t>observing</t>
  </si>
  <si>
    <t>paste</t>
  </si>
  <si>
    <t>wits</t>
  </si>
  <si>
    <t>fiery</t>
  </si>
  <si>
    <t>typically</t>
  </si>
  <si>
    <t>eclipse</t>
  </si>
  <si>
    <t>produces</t>
  </si>
  <si>
    <t>oysters</t>
  </si>
  <si>
    <t>scraping</t>
  </si>
  <si>
    <t>pros</t>
  </si>
  <si>
    <t>impose</t>
  </si>
  <si>
    <t>revenue</t>
  </si>
  <si>
    <t>alabama</t>
  </si>
  <si>
    <t>departed</t>
  </si>
  <si>
    <t>user</t>
  </si>
  <si>
    <t>cracker</t>
  </si>
  <si>
    <t>hu</t>
  </si>
  <si>
    <t>undoubtedly</t>
  </si>
  <si>
    <t>arnie</t>
  </si>
  <si>
    <t>mozart</t>
  </si>
  <si>
    <t>dent</t>
  </si>
  <si>
    <t>charmed</t>
  </si>
  <si>
    <t>spiral</t>
  </si>
  <si>
    <t>scans</t>
  </si>
  <si>
    <t>hmmm</t>
  </si>
  <si>
    <t>ka</t>
  </si>
  <si>
    <t>louisiana</t>
  </si>
  <si>
    <t>rumour</t>
  </si>
  <si>
    <t>kirsten</t>
  </si>
  <si>
    <t>touchdown</t>
  </si>
  <si>
    <t>nadine</t>
  </si>
  <si>
    <t>posh</t>
  </si>
  <si>
    <t>correction</t>
  </si>
  <si>
    <t>mornin</t>
  </si>
  <si>
    <t>chubby</t>
  </si>
  <si>
    <t>manifest</t>
  </si>
  <si>
    <t>safest</t>
  </si>
  <si>
    <t>steroids</t>
  </si>
  <si>
    <t>fleeing</t>
  </si>
  <si>
    <t>genie</t>
  </si>
  <si>
    <t>dakota</t>
  </si>
  <si>
    <t>witchcraft</t>
  </si>
  <si>
    <t>sí</t>
  </si>
  <si>
    <t>archives</t>
  </si>
  <si>
    <t>trance</t>
  </si>
  <si>
    <t>symphony</t>
  </si>
  <si>
    <t>traumatic</t>
  </si>
  <si>
    <t>rocco</t>
  </si>
  <si>
    <t>skipping</t>
  </si>
  <si>
    <t>frequent</t>
  </si>
  <si>
    <t>modeling</t>
  </si>
  <si>
    <t>sporting</t>
  </si>
  <si>
    <t>affecting</t>
  </si>
  <si>
    <t>spacecraft</t>
  </si>
  <si>
    <t>negotiation</t>
  </si>
  <si>
    <t>talbot</t>
  </si>
  <si>
    <t>reno</t>
  </si>
  <si>
    <t>benton</t>
  </si>
  <si>
    <t>calculate</t>
  </si>
  <si>
    <t>fiddle</t>
  </si>
  <si>
    <t>sails</t>
  </si>
  <si>
    <t>stein</t>
  </si>
  <si>
    <t>persistent</t>
  </si>
  <si>
    <t>despicable</t>
  </si>
  <si>
    <t>bruise</t>
  </si>
  <si>
    <t>salem</t>
  </si>
  <si>
    <t>escapes</t>
  </si>
  <si>
    <t>mischief</t>
  </si>
  <si>
    <t>mckay</t>
  </si>
  <si>
    <t>cupcakes</t>
  </si>
  <si>
    <t>brussels</t>
  </si>
  <si>
    <t>arc</t>
  </si>
  <si>
    <t>ripper</t>
  </si>
  <si>
    <t>ritchie</t>
  </si>
  <si>
    <t>hara</t>
  </si>
  <si>
    <t>vitamins</t>
  </si>
  <si>
    <t>cognac</t>
  </si>
  <si>
    <t>careers</t>
  </si>
  <si>
    <t>sim</t>
  </si>
  <si>
    <t>caps</t>
  </si>
  <si>
    <t>imbecile</t>
  </si>
  <si>
    <t>steaks</t>
  </si>
  <si>
    <t>cove</t>
  </si>
  <si>
    <t>lair</t>
  </si>
  <si>
    <t>directing</t>
  </si>
  <si>
    <t>stepfather</t>
  </si>
  <si>
    <t>slammed</t>
  </si>
  <si>
    <t>viral</t>
  </si>
  <si>
    <t>congregation</t>
  </si>
  <si>
    <t>illinois</t>
  </si>
  <si>
    <t>helicopters</t>
  </si>
  <si>
    <t>coco</t>
  </si>
  <si>
    <t>crisp</t>
  </si>
  <si>
    <t>outrage</t>
  </si>
  <si>
    <t>flexible</t>
  </si>
  <si>
    <t>goo</t>
  </si>
  <si>
    <t>licking</t>
  </si>
  <si>
    <t>funk</t>
  </si>
  <si>
    <t>ice-cream</t>
  </si>
  <si>
    <t>prefers</t>
  </si>
  <si>
    <t>tao</t>
  </si>
  <si>
    <t>captive</t>
  </si>
  <si>
    <t>montreal</t>
  </si>
  <si>
    <t>zen</t>
  </si>
  <si>
    <t>cee</t>
  </si>
  <si>
    <t>knuckles</t>
  </si>
  <si>
    <t>canteen</t>
  </si>
  <si>
    <t>credibility</t>
  </si>
  <si>
    <t>disconnected</t>
  </si>
  <si>
    <t>flats</t>
  </si>
  <si>
    <t>controversial</t>
  </si>
  <si>
    <t>enthusiastic</t>
  </si>
  <si>
    <t>janey</t>
  </si>
  <si>
    <t>cork</t>
  </si>
  <si>
    <t>priorities</t>
  </si>
  <si>
    <t>acute</t>
  </si>
  <si>
    <t>icy</t>
  </si>
  <si>
    <t>wormhole</t>
  </si>
  <si>
    <t>flyer</t>
  </si>
  <si>
    <t>bladder</t>
  </si>
  <si>
    <t>caretaker</t>
  </si>
  <si>
    <t>pep</t>
  </si>
  <si>
    <t>roommates</t>
  </si>
  <si>
    <t>programming</t>
  </si>
  <si>
    <t>grape</t>
  </si>
  <si>
    <t>astronauts</t>
  </si>
  <si>
    <t>drained</t>
  </si>
  <si>
    <t>metallic</t>
  </si>
  <si>
    <t>sergio</t>
  </si>
  <si>
    <t>seldom</t>
  </si>
  <si>
    <t>destroys</t>
  </si>
  <si>
    <t>riders</t>
  </si>
  <si>
    <t>poetic</t>
  </si>
  <si>
    <t>hacking</t>
  </si>
  <si>
    <t>transported</t>
  </si>
  <si>
    <t>contaminated</t>
  </si>
  <si>
    <t>duct</t>
  </si>
  <si>
    <t>dimensions</t>
  </si>
  <si>
    <t>insensitive</t>
  </si>
  <si>
    <t>echoes</t>
  </si>
  <si>
    <t>initiate</t>
  </si>
  <si>
    <t>nonetheless</t>
  </si>
  <si>
    <t>emmett</t>
  </si>
  <si>
    <t>grinding</t>
  </si>
  <si>
    <t>composition</t>
  </si>
  <si>
    <t>adjourned</t>
  </si>
  <si>
    <t>indulge</t>
  </si>
  <si>
    <t>wrench</t>
  </si>
  <si>
    <t>flaw</t>
  </si>
  <si>
    <t>messiah</t>
  </si>
  <si>
    <t>concluded</t>
  </si>
  <si>
    <t>accustomed</t>
  </si>
  <si>
    <t>napkin</t>
  </si>
  <si>
    <t>30s</t>
  </si>
  <si>
    <t>movin</t>
  </si>
  <si>
    <t>i-it</t>
  </si>
  <si>
    <t>doorway</t>
  </si>
  <si>
    <t>muddy</t>
  </si>
  <si>
    <t>steph</t>
  </si>
  <si>
    <t>saturn</t>
  </si>
  <si>
    <t>intentionally</t>
  </si>
  <si>
    <t>chiming</t>
  </si>
  <si>
    <t>canned</t>
  </si>
  <si>
    <t>appearing</t>
  </si>
  <si>
    <t>ballistics</t>
  </si>
  <si>
    <t>nicked</t>
  </si>
  <si>
    <t>suction</t>
  </si>
  <si>
    <t>hideout</t>
  </si>
  <si>
    <t>startled</t>
  </si>
  <si>
    <t>replacing</t>
  </si>
  <si>
    <t>solemn</t>
  </si>
  <si>
    <t>pillows</t>
  </si>
  <si>
    <t>submitted</t>
  </si>
  <si>
    <t>francesca</t>
  </si>
  <si>
    <t>override</t>
  </si>
  <si>
    <t>carver</t>
  </si>
  <si>
    <t>lea</t>
  </si>
  <si>
    <t>mateo</t>
  </si>
  <si>
    <t>mosquito</t>
  </si>
  <si>
    <t>fragrance</t>
  </si>
  <si>
    <t>pennies</t>
  </si>
  <si>
    <t>detained</t>
  </si>
  <si>
    <t>meadow</t>
  </si>
  <si>
    <t>chopping</t>
  </si>
  <si>
    <t>satellites</t>
  </si>
  <si>
    <t>cables</t>
  </si>
  <si>
    <t>youngsters</t>
  </si>
  <si>
    <t>needy</t>
  </si>
  <si>
    <t>refugee</t>
  </si>
  <si>
    <t>luc</t>
  </si>
  <si>
    <t>whitey</t>
  </si>
  <si>
    <t>inhabitants</t>
  </si>
  <si>
    <t>yun</t>
  </si>
  <si>
    <t>break-in</t>
  </si>
  <si>
    <t>harassing</t>
  </si>
  <si>
    <t>ro</t>
  </si>
  <si>
    <t>interpretation</t>
  </si>
  <si>
    <t>burying</t>
  </si>
  <si>
    <t>bree</t>
  </si>
  <si>
    <t>incomplete</t>
  </si>
  <si>
    <t>blimey</t>
  </si>
  <si>
    <t>titan</t>
  </si>
  <si>
    <t>retard</t>
  </si>
  <si>
    <t>agatha</t>
  </si>
  <si>
    <t>dilemma</t>
  </si>
  <si>
    <t>mutt</t>
  </si>
  <si>
    <t>prominent</t>
  </si>
  <si>
    <t>temples</t>
  </si>
  <si>
    <t>hoover</t>
  </si>
  <si>
    <t>lindsey</t>
  </si>
  <si>
    <t>cesar</t>
  </si>
  <si>
    <t>temp</t>
  </si>
  <si>
    <t>consul</t>
  </si>
  <si>
    <t>hairdresser</t>
  </si>
  <si>
    <t>planting</t>
  </si>
  <si>
    <t>drones</t>
  </si>
  <si>
    <t>justified</t>
  </si>
  <si>
    <t>jensen</t>
  </si>
  <si>
    <t>stuffing</t>
  </si>
  <si>
    <t>norwegian</t>
  </si>
  <si>
    <t>dork</t>
  </si>
  <si>
    <t>stalling</t>
  </si>
  <si>
    <t>birthdays</t>
  </si>
  <si>
    <t>intimacy</t>
  </si>
  <si>
    <t>tucked</t>
  </si>
  <si>
    <t>examiner</t>
  </si>
  <si>
    <t>qualify</t>
  </si>
  <si>
    <t>imminent</t>
  </si>
  <si>
    <t>masked</t>
  </si>
  <si>
    <t>diesel</t>
  </si>
  <si>
    <t>meditation</t>
  </si>
  <si>
    <t>bulk</t>
  </si>
  <si>
    <t>allie</t>
  </si>
  <si>
    <t>prosecute</t>
  </si>
  <si>
    <t>mumbles</t>
  </si>
  <si>
    <t>defined</t>
  </si>
  <si>
    <t>oklahoma</t>
  </si>
  <si>
    <t>paw</t>
  </si>
  <si>
    <t>default</t>
  </si>
  <si>
    <t>crawled</t>
  </si>
  <si>
    <t>doughnuts</t>
  </si>
  <si>
    <t>margot</t>
  </si>
  <si>
    <t>haunting</t>
  </si>
  <si>
    <t>staircase</t>
  </si>
  <si>
    <t>advances</t>
  </si>
  <si>
    <t>solutions</t>
  </si>
  <si>
    <t>plaster</t>
  </si>
  <si>
    <t>proceedings</t>
  </si>
  <si>
    <t>amends</t>
  </si>
  <si>
    <t>fraternity</t>
  </si>
  <si>
    <t>freud</t>
  </si>
  <si>
    <t>cannons</t>
  </si>
  <si>
    <t>kendall</t>
  </si>
  <si>
    <t>armored</t>
  </si>
  <si>
    <t>colonies</t>
  </si>
  <si>
    <t>perez</t>
  </si>
  <si>
    <t>birdie</t>
  </si>
  <si>
    <t>volcanic</t>
  </si>
  <si>
    <t>samson</t>
  </si>
  <si>
    <t>cleopatra</t>
  </si>
  <si>
    <t>carve</t>
  </si>
  <si>
    <t>fishermen</t>
  </si>
  <si>
    <t>brink</t>
  </si>
  <si>
    <t>playin</t>
  </si>
  <si>
    <t>martian</t>
  </si>
  <si>
    <t>hybrid</t>
  </si>
  <si>
    <t>knockout</t>
  </si>
  <si>
    <t>chunk</t>
  </si>
  <si>
    <t>constructed</t>
  </si>
  <si>
    <t>confiscated</t>
  </si>
  <si>
    <t>interrogate</t>
  </si>
  <si>
    <t>voyager</t>
  </si>
  <si>
    <t>oprah</t>
  </si>
  <si>
    <t>commerce</t>
  </si>
  <si>
    <t>t.j.</t>
  </si>
  <si>
    <t>tasks</t>
  </si>
  <si>
    <t>precaution</t>
  </si>
  <si>
    <t>printer</t>
  </si>
  <si>
    <t>finishes</t>
  </si>
  <si>
    <t>rossi</t>
  </si>
  <si>
    <t>boob</t>
  </si>
  <si>
    <t>nagging</t>
  </si>
  <si>
    <t>stephens</t>
  </si>
  <si>
    <t>hag</t>
  </si>
  <si>
    <t>skinner</t>
  </si>
  <si>
    <t>lunchtime</t>
  </si>
  <si>
    <t>imported</t>
  </si>
  <si>
    <t>transcript</t>
  </si>
  <si>
    <t>iife</t>
  </si>
  <si>
    <t>conceal</t>
  </si>
  <si>
    <t>holler</t>
  </si>
  <si>
    <t>chug</t>
  </si>
  <si>
    <t>silas</t>
  </si>
  <si>
    <t>paranoia</t>
  </si>
  <si>
    <t>compelled</t>
  </si>
  <si>
    <t>styles</t>
  </si>
  <si>
    <t>airborne</t>
  </si>
  <si>
    <t>sentiment</t>
  </si>
  <si>
    <t>syria</t>
  </si>
  <si>
    <t>pea</t>
  </si>
  <si>
    <t>babysitting</t>
  </si>
  <si>
    <t>improving</t>
  </si>
  <si>
    <t>hare</t>
  </si>
  <si>
    <t>connects</t>
  </si>
  <si>
    <t>withdrawn</t>
  </si>
  <si>
    <t>staged</t>
  </si>
  <si>
    <t>englishman</t>
  </si>
  <si>
    <t>hopkins</t>
  </si>
  <si>
    <t>pumps</t>
  </si>
  <si>
    <t>admirable</t>
  </si>
  <si>
    <t>vouch</t>
  </si>
  <si>
    <t>indicated</t>
  </si>
  <si>
    <t>reviews</t>
  </si>
  <si>
    <t>kristen</t>
  </si>
  <si>
    <t>yuki</t>
  </si>
  <si>
    <t>vey</t>
  </si>
  <si>
    <t>trivial</t>
  </si>
  <si>
    <t>parcel</t>
  </si>
  <si>
    <t>scroll</t>
  </si>
  <si>
    <t>desired</t>
  </si>
  <si>
    <t>appealing</t>
  </si>
  <si>
    <t>weighed</t>
  </si>
  <si>
    <t>l</t>
  </si>
  <si>
    <t>designated</t>
  </si>
  <si>
    <t>bubba</t>
  </si>
  <si>
    <t>imprisonment</t>
  </si>
  <si>
    <t>ferris</t>
  </si>
  <si>
    <t>fleming</t>
  </si>
  <si>
    <t>cooling</t>
  </si>
  <si>
    <t>containing</t>
  </si>
  <si>
    <t>giles</t>
  </si>
  <si>
    <t>impressions</t>
  </si>
  <si>
    <t>advantages</t>
  </si>
  <si>
    <t>cartwright</t>
  </si>
  <si>
    <t>uncertain</t>
  </si>
  <si>
    <t>deliberate</t>
  </si>
  <si>
    <t>anticipated</t>
  </si>
  <si>
    <t>isolate</t>
  </si>
  <si>
    <t>tighten</t>
  </si>
  <si>
    <t>corporations</t>
  </si>
  <si>
    <t>petra</t>
  </si>
  <si>
    <t>venue</t>
  </si>
  <si>
    <t>irritating</t>
  </si>
  <si>
    <t>revolt</t>
  </si>
  <si>
    <t>whatcha</t>
  </si>
  <si>
    <t>lunar</t>
  </si>
  <si>
    <t>rightful</t>
  </si>
  <si>
    <t>bombers</t>
  </si>
  <si>
    <t>southwest</t>
  </si>
  <si>
    <t>maine</t>
  </si>
  <si>
    <t>marvel</t>
  </si>
  <si>
    <t>chained</t>
  </si>
  <si>
    <t>colder</t>
  </si>
  <si>
    <t>tit</t>
  </si>
  <si>
    <t>snooping</t>
  </si>
  <si>
    <t>trunks</t>
  </si>
  <si>
    <t>sully</t>
  </si>
  <si>
    <t>excused</t>
  </si>
  <si>
    <t>seduced</t>
  </si>
  <si>
    <t>communicating</t>
  </si>
  <si>
    <t>beams</t>
  </si>
  <si>
    <t>bloodshed</t>
  </si>
  <si>
    <t>offender</t>
  </si>
  <si>
    <t>offspring</t>
  </si>
  <si>
    <t>monstrous</t>
  </si>
  <si>
    <t>bruising</t>
  </si>
  <si>
    <t>we-</t>
  </si>
  <si>
    <t>doorman</t>
  </si>
  <si>
    <t>prohibited</t>
  </si>
  <si>
    <t>props</t>
  </si>
  <si>
    <t>penetrate</t>
  </si>
  <si>
    <t>intervene</t>
  </si>
  <si>
    <t>tobias</t>
  </si>
  <si>
    <t>osaka</t>
  </si>
  <si>
    <t>aiden</t>
  </si>
  <si>
    <t>niggers</t>
  </si>
  <si>
    <t>cairo</t>
  </si>
  <si>
    <t>jonny</t>
  </si>
  <si>
    <t>patriot</t>
  </si>
  <si>
    <t>bowls</t>
  </si>
  <si>
    <t>rufus</t>
  </si>
  <si>
    <t>barton</t>
  </si>
  <si>
    <t>surgeons</t>
  </si>
  <si>
    <t>pits</t>
  </si>
  <si>
    <t>infamous</t>
  </si>
  <si>
    <t>crooks</t>
  </si>
  <si>
    <t>shag</t>
  </si>
  <si>
    <t>lettuce</t>
  </si>
  <si>
    <t>exaggerating</t>
  </si>
  <si>
    <t>inferior</t>
  </si>
  <si>
    <t>zac</t>
  </si>
  <si>
    <t>foryou</t>
  </si>
  <si>
    <t>boredom</t>
  </si>
  <si>
    <t>amos</t>
  </si>
  <si>
    <t>tolerance</t>
  </si>
  <si>
    <t>cashier</t>
  </si>
  <si>
    <t>polls</t>
  </si>
  <si>
    <t>caliber</t>
  </si>
  <si>
    <t>underpants</t>
  </si>
  <si>
    <t>katy</t>
  </si>
  <si>
    <t>seller</t>
  </si>
  <si>
    <t>sensed</t>
  </si>
  <si>
    <t>vertical</t>
  </si>
  <si>
    <t>dart</t>
  </si>
  <si>
    <t>sections</t>
  </si>
  <si>
    <t>zipper</t>
  </si>
  <si>
    <t>gabby</t>
  </si>
  <si>
    <t>shankar</t>
  </si>
  <si>
    <t>acceptance</t>
  </si>
  <si>
    <t>traveler</t>
  </si>
  <si>
    <t>timeline</t>
  </si>
  <si>
    <t>emerald</t>
  </si>
  <si>
    <t>gays</t>
  </si>
  <si>
    <t>pc</t>
  </si>
  <si>
    <t>hassle</t>
  </si>
  <si>
    <t>thrilling</t>
  </si>
  <si>
    <t>hopeful</t>
  </si>
  <si>
    <t>stokes</t>
  </si>
  <si>
    <t>sneakers</t>
  </si>
  <si>
    <t>conditioning</t>
  </si>
  <si>
    <t>supporters</t>
  </si>
  <si>
    <t>rodriguez</t>
  </si>
  <si>
    <t>teal</t>
  </si>
  <si>
    <t>insults</t>
  </si>
  <si>
    <t>instruction</t>
  </si>
  <si>
    <t>flipping</t>
  </si>
  <si>
    <t>25th</t>
  </si>
  <si>
    <t>clatter</t>
  </si>
  <si>
    <t>flaming</t>
  </si>
  <si>
    <t>freight</t>
  </si>
  <si>
    <t>representatives</t>
  </si>
  <si>
    <t>invitations</t>
  </si>
  <si>
    <t>undressed</t>
  </si>
  <si>
    <t>lucille</t>
  </si>
  <si>
    <t>boiler</t>
  </si>
  <si>
    <t>edo</t>
  </si>
  <si>
    <t>uneasy</t>
  </si>
  <si>
    <t>oneself</t>
  </si>
  <si>
    <t>alfredo</t>
  </si>
  <si>
    <t>benedict</t>
  </si>
  <si>
    <t>davey</t>
  </si>
  <si>
    <t>davies</t>
  </si>
  <si>
    <t>efficiency</t>
  </si>
  <si>
    <t>that`s</t>
  </si>
  <si>
    <t>gomez</t>
  </si>
  <si>
    <t>yelps</t>
  </si>
  <si>
    <t>counterfeit</t>
  </si>
  <si>
    <t>l-i</t>
  </si>
  <si>
    <t>afterlife</t>
  </si>
  <si>
    <t>one-way</t>
  </si>
  <si>
    <t>smiley</t>
  </si>
  <si>
    <t>twat</t>
  </si>
  <si>
    <t>eccentric</t>
  </si>
  <si>
    <t>wand</t>
  </si>
  <si>
    <t>vi</t>
  </si>
  <si>
    <t>memphis</t>
  </si>
  <si>
    <t>consume</t>
  </si>
  <si>
    <t>praised</t>
  </si>
  <si>
    <t>formidable</t>
  </si>
  <si>
    <t>luthor</t>
  </si>
  <si>
    <t>lesser</t>
  </si>
  <si>
    <t>gel</t>
  </si>
  <si>
    <t>surrendered</t>
  </si>
  <si>
    <t>chffff00</t>
  </si>
  <si>
    <t>welcomed</t>
  </si>
  <si>
    <t>wendell</t>
  </si>
  <si>
    <t>tee</t>
  </si>
  <si>
    <t>launching</t>
  </si>
  <si>
    <t>cocksucker</t>
  </si>
  <si>
    <t>crores</t>
  </si>
  <si>
    <t>downs</t>
  </si>
  <si>
    <t>retiring</t>
  </si>
  <si>
    <t>spears</t>
  </si>
  <si>
    <t>vikram</t>
  </si>
  <si>
    <t>authorization</t>
  </si>
  <si>
    <t>outsiders</t>
  </si>
  <si>
    <t>pancake</t>
  </si>
  <si>
    <t>probability</t>
  </si>
  <si>
    <t>accessory</t>
  </si>
  <si>
    <t>peters</t>
  </si>
  <si>
    <t>deported</t>
  </si>
  <si>
    <t>contrast</t>
  </si>
  <si>
    <t>hooks</t>
  </si>
  <si>
    <t>remarks</t>
  </si>
  <si>
    <t>liaison</t>
  </si>
  <si>
    <t>blokes</t>
  </si>
  <si>
    <t>crater</t>
  </si>
  <si>
    <t>distribute</t>
  </si>
  <si>
    <t>vocalizing</t>
  </si>
  <si>
    <t>adele</t>
  </si>
  <si>
    <t>chiefs</t>
  </si>
  <si>
    <t>photographed</t>
  </si>
  <si>
    <t>rehearsals</t>
  </si>
  <si>
    <t>salvatore</t>
  </si>
  <si>
    <t>whoop</t>
  </si>
  <si>
    <t>credits</t>
  </si>
  <si>
    <t>shalt</t>
  </si>
  <si>
    <t>hup</t>
  </si>
  <si>
    <t>stability</t>
  </si>
  <si>
    <t>woken</t>
  </si>
  <si>
    <t>stench</t>
  </si>
  <si>
    <t>taps</t>
  </si>
  <si>
    <t>flea</t>
  </si>
  <si>
    <t>s-it</t>
  </si>
  <si>
    <t>compelling</t>
  </si>
  <si>
    <t>dolores</t>
  </si>
  <si>
    <t>strawberries</t>
  </si>
  <si>
    <t>allright</t>
  </si>
  <si>
    <t>convictions</t>
  </si>
  <si>
    <t>hubby</t>
  </si>
  <si>
    <t>self-esteem</t>
  </si>
  <si>
    <t>threatens</t>
  </si>
  <si>
    <t>suburbs</t>
  </si>
  <si>
    <t>clocks</t>
  </si>
  <si>
    <t>peacock</t>
  </si>
  <si>
    <t>bragging</t>
  </si>
  <si>
    <t>gabi</t>
  </si>
  <si>
    <t>hurrah</t>
  </si>
  <si>
    <t>moo</t>
  </si>
  <si>
    <t>silently</t>
  </si>
  <si>
    <t>subconscious</t>
  </si>
  <si>
    <t>fatso</t>
  </si>
  <si>
    <t>pluck</t>
  </si>
  <si>
    <t>reactions</t>
  </si>
  <si>
    <t>lacks</t>
  </si>
  <si>
    <t>adolf</t>
  </si>
  <si>
    <t>mira</t>
  </si>
  <si>
    <t>refined</t>
  </si>
  <si>
    <t>lays</t>
  </si>
  <si>
    <t>bungalow</t>
  </si>
  <si>
    <t>surge</t>
  </si>
  <si>
    <t>23rd</t>
  </si>
  <si>
    <t>practices</t>
  </si>
  <si>
    <t>precautions</t>
  </si>
  <si>
    <t>thanked</t>
  </si>
  <si>
    <t>jody</t>
  </si>
  <si>
    <t>uranium</t>
  </si>
  <si>
    <t>carolyn</t>
  </si>
  <si>
    <t>menace</t>
  </si>
  <si>
    <t>ernesto</t>
  </si>
  <si>
    <t>fractured</t>
  </si>
  <si>
    <t>christie</t>
  </si>
  <si>
    <t>aka</t>
  </si>
  <si>
    <t>cone</t>
  </si>
  <si>
    <t>sauna</t>
  </si>
  <si>
    <t>extinction</t>
  </si>
  <si>
    <t>randolph</t>
  </si>
  <si>
    <t>bonding</t>
  </si>
  <si>
    <t>equality</t>
  </si>
  <si>
    <t>bourgeois</t>
  </si>
  <si>
    <t>insert</t>
  </si>
  <si>
    <t>csi</t>
  </si>
  <si>
    <t>kiki</t>
  </si>
  <si>
    <t>teens</t>
  </si>
  <si>
    <t>downhill</t>
  </si>
  <si>
    <t>pedal</t>
  </si>
  <si>
    <t>levi</t>
  </si>
  <si>
    <t>peru</t>
  </si>
  <si>
    <t>stables</t>
  </si>
  <si>
    <t>irving</t>
  </si>
  <si>
    <t>buddhist</t>
  </si>
  <si>
    <t>ambitions</t>
  </si>
  <si>
    <t>terrain</t>
  </si>
  <si>
    <t>turbo</t>
  </si>
  <si>
    <t>hae</t>
  </si>
  <si>
    <t>screening</t>
  </si>
  <si>
    <t>mu</t>
  </si>
  <si>
    <t>riots</t>
  </si>
  <si>
    <t>coaching</t>
  </si>
  <si>
    <t>explodes</t>
  </si>
  <si>
    <t>premature</t>
  </si>
  <si>
    <t>lsn</t>
  </si>
  <si>
    <t>undone</t>
  </si>
  <si>
    <t>qi</t>
  </si>
  <si>
    <t>communism</t>
  </si>
  <si>
    <t>fitted</t>
  </si>
  <si>
    <t>treacherous</t>
  </si>
  <si>
    <t>inspect</t>
  </si>
  <si>
    <t>hurray</t>
  </si>
  <si>
    <t>irresistible</t>
  </si>
  <si>
    <t>joanne</t>
  </si>
  <si>
    <t>elias</t>
  </si>
  <si>
    <t>northeast</t>
  </si>
  <si>
    <t>sparrow</t>
  </si>
  <si>
    <t>gypsies</t>
  </si>
  <si>
    <t>performer</t>
  </si>
  <si>
    <t>brew</t>
  </si>
  <si>
    <t>well.</t>
  </si>
  <si>
    <t>titles</t>
  </si>
  <si>
    <t>ingenious</t>
  </si>
  <si>
    <t>snapping</t>
  </si>
  <si>
    <t>turd</t>
  </si>
  <si>
    <t>challenger</t>
  </si>
  <si>
    <t>baghdad</t>
  </si>
  <si>
    <t>bulletin</t>
  </si>
  <si>
    <t>preview</t>
  </si>
  <si>
    <t>jinx</t>
  </si>
  <si>
    <t>immortality</t>
  </si>
  <si>
    <t>recruits</t>
  </si>
  <si>
    <t>andré</t>
  </si>
  <si>
    <t>ditched</t>
  </si>
  <si>
    <t>tempt</t>
  </si>
  <si>
    <t>procession</t>
  </si>
  <si>
    <t>eduardo</t>
  </si>
  <si>
    <t>melon</t>
  </si>
  <si>
    <t>weaknesses</t>
  </si>
  <si>
    <t>aires</t>
  </si>
  <si>
    <t>knob</t>
  </si>
  <si>
    <t>domain</t>
  </si>
  <si>
    <t>conclude</t>
  </si>
  <si>
    <t>dresser</t>
  </si>
  <si>
    <t>bao</t>
  </si>
  <si>
    <t>berries</t>
  </si>
  <si>
    <t>straining</t>
  </si>
  <si>
    <t>beads</t>
  </si>
  <si>
    <t>windy</t>
  </si>
  <si>
    <t>patent</t>
  </si>
  <si>
    <t>merchants</t>
  </si>
  <si>
    <t>profitable</t>
  </si>
  <si>
    <t>ryder</t>
  </si>
  <si>
    <t>prisons</t>
  </si>
  <si>
    <t>salvage</t>
  </si>
  <si>
    <t>mentioning</t>
  </si>
  <si>
    <t>lass</t>
  </si>
  <si>
    <t>tox</t>
  </si>
  <si>
    <t>sonja</t>
  </si>
  <si>
    <t>poof</t>
  </si>
  <si>
    <t>productive</t>
  </si>
  <si>
    <t>hosting</t>
  </si>
  <si>
    <t>doth</t>
  </si>
  <si>
    <t>ewing</t>
  </si>
  <si>
    <t>derby</t>
  </si>
  <si>
    <t>goldfish</t>
  </si>
  <si>
    <t>capitol</t>
  </si>
  <si>
    <t>leisure</t>
  </si>
  <si>
    <t>buff</t>
  </si>
  <si>
    <t>illusions</t>
  </si>
  <si>
    <t>notices</t>
  </si>
  <si>
    <t>odin</t>
  </si>
  <si>
    <t>springfield</t>
  </si>
  <si>
    <t>tracker</t>
  </si>
  <si>
    <t>kyoto</t>
  </si>
  <si>
    <t>peed</t>
  </si>
  <si>
    <t>vitamin</t>
  </si>
  <si>
    <t>heave</t>
  </si>
  <si>
    <t>bryant</t>
  </si>
  <si>
    <t>dickie</t>
  </si>
  <si>
    <t>goodwill</t>
  </si>
  <si>
    <t>euro</t>
  </si>
  <si>
    <t>strapped</t>
  </si>
  <si>
    <t>boar</t>
  </si>
  <si>
    <t>slater</t>
  </si>
  <si>
    <t>bogus</t>
  </si>
  <si>
    <t>rhymes</t>
  </si>
  <si>
    <t>brunette</t>
  </si>
  <si>
    <t>jab</t>
  </si>
  <si>
    <t>hippie</t>
  </si>
  <si>
    <t>ting</t>
  </si>
  <si>
    <t>incidentally</t>
  </si>
  <si>
    <t>face-to-face</t>
  </si>
  <si>
    <t>gi</t>
  </si>
  <si>
    <t>webb</t>
  </si>
  <si>
    <t>compensate</t>
  </si>
  <si>
    <t>tasting</t>
  </si>
  <si>
    <t>outbreak</t>
  </si>
  <si>
    <t>sow</t>
  </si>
  <si>
    <t>hallucinations</t>
  </si>
  <si>
    <t>golly</t>
  </si>
  <si>
    <t>factors</t>
  </si>
  <si>
    <t>pyramids</t>
  </si>
  <si>
    <t>copenhagen</t>
  </si>
  <si>
    <t>hiv</t>
  </si>
  <si>
    <t>dandy</t>
  </si>
  <si>
    <t>detour</t>
  </si>
  <si>
    <t>desperation</t>
  </si>
  <si>
    <t>wrestle</t>
  </si>
  <si>
    <t>entrusted</t>
  </si>
  <si>
    <t>parting</t>
  </si>
  <si>
    <t>resisting</t>
  </si>
  <si>
    <t>err</t>
  </si>
  <si>
    <t>bursting</t>
  </si>
  <si>
    <t>warrants</t>
  </si>
  <si>
    <t>savannah</t>
  </si>
  <si>
    <t>concealed</t>
  </si>
  <si>
    <t>dreamer</t>
  </si>
  <si>
    <t>mandatory</t>
  </si>
  <si>
    <t>gagging</t>
  </si>
  <si>
    <t>finances</t>
  </si>
  <si>
    <t>nightingale</t>
  </si>
  <si>
    <t>lamps</t>
  </si>
  <si>
    <t>grenades</t>
  </si>
  <si>
    <t>premier</t>
  </si>
  <si>
    <t>squire</t>
  </si>
  <si>
    <t>periods</t>
  </si>
  <si>
    <t>uhm</t>
  </si>
  <si>
    <t>kgb</t>
  </si>
  <si>
    <t>parasite</t>
  </si>
  <si>
    <t>borrowing</t>
  </si>
  <si>
    <t>rodrigo</t>
  </si>
  <si>
    <t>influential</t>
  </si>
  <si>
    <t>mammy</t>
  </si>
  <si>
    <t>absorb</t>
  </si>
  <si>
    <t>investments</t>
  </si>
  <si>
    <t>cece</t>
  </si>
  <si>
    <t>concentrated</t>
  </si>
  <si>
    <t>tyrant</t>
  </si>
  <si>
    <t>laps</t>
  </si>
  <si>
    <t>underestimated</t>
  </si>
  <si>
    <t>measuring</t>
  </si>
  <si>
    <t>origins</t>
  </si>
  <si>
    <t>applies</t>
  </si>
  <si>
    <t>britney</t>
  </si>
  <si>
    <t>exchanged</t>
  </si>
  <si>
    <t>portugal</t>
  </si>
  <si>
    <t>niggas</t>
  </si>
  <si>
    <t>maths</t>
  </si>
  <si>
    <t>decorations</t>
  </si>
  <si>
    <t>orion</t>
  </si>
  <si>
    <t>pepe</t>
  </si>
  <si>
    <t>kyung</t>
  </si>
  <si>
    <t>ownership</t>
  </si>
  <si>
    <t>tweet</t>
  </si>
  <si>
    <t>raspberry</t>
  </si>
  <si>
    <t>racial</t>
  </si>
  <si>
    <t>firstly</t>
  </si>
  <si>
    <t>suv</t>
  </si>
  <si>
    <t>intimidated</t>
  </si>
  <si>
    <t>skunk</t>
  </si>
  <si>
    <t>parsons</t>
  </si>
  <si>
    <t>nearer</t>
  </si>
  <si>
    <t>yong</t>
  </si>
  <si>
    <t>audible</t>
  </si>
  <si>
    <t>bmw</t>
  </si>
  <si>
    <t>communion</t>
  </si>
  <si>
    <t>whinnies</t>
  </si>
  <si>
    <t>hindu</t>
  </si>
  <si>
    <t>leroy</t>
  </si>
  <si>
    <t>sphere</t>
  </si>
  <si>
    <t>renaissance</t>
  </si>
  <si>
    <t>anomaly</t>
  </si>
  <si>
    <t>pursued</t>
  </si>
  <si>
    <t>klein</t>
  </si>
  <si>
    <t>chant</t>
  </si>
  <si>
    <t>outlaw</t>
  </si>
  <si>
    <t>he-</t>
  </si>
  <si>
    <t>surname</t>
  </si>
  <si>
    <t>penguins</t>
  </si>
  <si>
    <t>awarded</t>
  </si>
  <si>
    <t>mid</t>
  </si>
  <si>
    <t>classmate</t>
  </si>
  <si>
    <t>applications</t>
  </si>
  <si>
    <t>emmy</t>
  </si>
  <si>
    <t>subtitle</t>
  </si>
  <si>
    <t>laden</t>
  </si>
  <si>
    <t>economics</t>
  </si>
  <si>
    <t>well-</t>
  </si>
  <si>
    <t>ballroom</t>
  </si>
  <si>
    <t>sinned</t>
  </si>
  <si>
    <t>shortage</t>
  </si>
  <si>
    <t>mort</t>
  </si>
  <si>
    <t>phenomenal</t>
  </si>
  <si>
    <t>czech</t>
  </si>
  <si>
    <t>maneuver</t>
  </si>
  <si>
    <t>tremble</t>
  </si>
  <si>
    <t>hooking</t>
  </si>
  <si>
    <t>screeches</t>
  </si>
  <si>
    <t>moons</t>
  </si>
  <si>
    <t>ae</t>
  </si>
  <si>
    <t>sweetness</t>
  </si>
  <si>
    <t>disrespectful</t>
  </si>
  <si>
    <t>dane</t>
  </si>
  <si>
    <t>consulate</t>
  </si>
  <si>
    <t>bounced</t>
  </si>
  <si>
    <t>parenting</t>
  </si>
  <si>
    <t>robberies</t>
  </si>
  <si>
    <t>remark</t>
  </si>
  <si>
    <t>hilary</t>
  </si>
  <si>
    <t>logo</t>
  </si>
  <si>
    <t>describing</t>
  </si>
  <si>
    <t>scalpel</t>
  </si>
  <si>
    <t>cecilia</t>
  </si>
  <si>
    <t>strangest</t>
  </si>
  <si>
    <t>jaime</t>
  </si>
  <si>
    <t>seymour</t>
  </si>
  <si>
    <t>big-time</t>
  </si>
  <si>
    <t>competent</t>
  </si>
  <si>
    <t>bein</t>
  </si>
  <si>
    <t>bi</t>
  </si>
  <si>
    <t>lectures</t>
  </si>
  <si>
    <t>basics</t>
  </si>
  <si>
    <t>texture</t>
  </si>
  <si>
    <t>leftovers</t>
  </si>
  <si>
    <t>wimp</t>
  </si>
  <si>
    <t>conquest</t>
  </si>
  <si>
    <t>norris</t>
  </si>
  <si>
    <t>mounted</t>
  </si>
  <si>
    <t>pens</t>
  </si>
  <si>
    <t>contestant</t>
  </si>
  <si>
    <t>algorithm</t>
  </si>
  <si>
    <t>columns</t>
  </si>
  <si>
    <t>chile</t>
  </si>
  <si>
    <t>wails</t>
  </si>
  <si>
    <t>decree</t>
  </si>
  <si>
    <t>jeremiah</t>
  </si>
  <si>
    <t>rewrite</t>
  </si>
  <si>
    <t>so</t>
  </si>
  <si>
    <t>momentum</t>
  </si>
  <si>
    <t>cadillac</t>
  </si>
  <si>
    <t>attorneys</t>
  </si>
  <si>
    <t>apes</t>
  </si>
  <si>
    <t>captioning</t>
  </si>
  <si>
    <t>desmond</t>
  </si>
  <si>
    <t>lesbians</t>
  </si>
  <si>
    <t>fairies</t>
  </si>
  <si>
    <t>monitors</t>
  </si>
  <si>
    <t>hua</t>
  </si>
  <si>
    <t>weighing</t>
  </si>
  <si>
    <t>roasted</t>
  </si>
  <si>
    <t>discovering</t>
  </si>
  <si>
    <t>alzheimer</t>
  </si>
  <si>
    <t>subpoena</t>
  </si>
  <si>
    <t>foe</t>
  </si>
  <si>
    <t>hicks</t>
  </si>
  <si>
    <t>cm</t>
  </si>
  <si>
    <t>circuits</t>
  </si>
  <si>
    <t>nag</t>
  </si>
  <si>
    <t>hiking</t>
  </si>
  <si>
    <t>stepmother</t>
  </si>
  <si>
    <t>personalities</t>
  </si>
  <si>
    <t>formally</t>
  </si>
  <si>
    <t>revive</t>
  </si>
  <si>
    <t>unnatural</t>
  </si>
  <si>
    <t>pip</t>
  </si>
  <si>
    <t>betraying</t>
  </si>
  <si>
    <t>renting</t>
  </si>
  <si>
    <t>prizes</t>
  </si>
  <si>
    <t>onstage</t>
  </si>
  <si>
    <t>comfy</t>
  </si>
  <si>
    <t>heath</t>
  </si>
  <si>
    <t>marrow</t>
  </si>
  <si>
    <t>blaine</t>
  </si>
  <si>
    <t>minority</t>
  </si>
  <si>
    <t>marcos</t>
  </si>
  <si>
    <t>portable</t>
  </si>
  <si>
    <t>popularity</t>
  </si>
  <si>
    <t>telegraph</t>
  </si>
  <si>
    <t>hayden</t>
  </si>
  <si>
    <t>hesitation</t>
  </si>
  <si>
    <t>sylvester</t>
  </si>
  <si>
    <t>alistair</t>
  </si>
  <si>
    <t>cluster</t>
  </si>
  <si>
    <t>grandad</t>
  </si>
  <si>
    <t>jog</t>
  </si>
  <si>
    <t>slay</t>
  </si>
  <si>
    <t>sparkling</t>
  </si>
  <si>
    <t>shithead</t>
  </si>
  <si>
    <t>tiring</t>
  </si>
  <si>
    <t>ooo</t>
  </si>
  <si>
    <t>germs</t>
  </si>
  <si>
    <t>fuhrer</t>
  </si>
  <si>
    <t>handbag</t>
  </si>
  <si>
    <t>unlimited</t>
  </si>
  <si>
    <t>thumping</t>
  </si>
  <si>
    <t>vinegar</t>
  </si>
  <si>
    <t>splinter</t>
  </si>
  <si>
    <t>supposing</t>
  </si>
  <si>
    <t>faults</t>
  </si>
  <si>
    <t>remarkably</t>
  </si>
  <si>
    <t>sketches</t>
  </si>
  <si>
    <t>nineteen</t>
  </si>
  <si>
    <t>enchanted</t>
  </si>
  <si>
    <t>hari</t>
  </si>
  <si>
    <t>respectful</t>
  </si>
  <si>
    <t>bien</t>
  </si>
  <si>
    <t>honk</t>
  </si>
  <si>
    <t>doughnut</t>
  </si>
  <si>
    <t>tags</t>
  </si>
  <si>
    <t>wrapping</t>
  </si>
  <si>
    <t>tar</t>
  </si>
  <si>
    <t>om</t>
  </si>
  <si>
    <t>dinozzo</t>
  </si>
  <si>
    <t>ducky</t>
  </si>
  <si>
    <t>unfaithful</t>
  </si>
  <si>
    <t>delia</t>
  </si>
  <si>
    <t>rae</t>
  </si>
  <si>
    <t>jojo</t>
  </si>
  <si>
    <t>stance</t>
  </si>
  <si>
    <t>barker</t>
  </si>
  <si>
    <t>financially</t>
  </si>
  <si>
    <t>clam</t>
  </si>
  <si>
    <t>clanking</t>
  </si>
  <si>
    <t>sarcastic</t>
  </si>
  <si>
    <t>blur</t>
  </si>
  <si>
    <t>organizing</t>
  </si>
  <si>
    <t>nosy</t>
  </si>
  <si>
    <t>boyle</t>
  </si>
  <si>
    <t>pasha</t>
  </si>
  <si>
    <t>my-</t>
  </si>
  <si>
    <t>attacker</t>
  </si>
  <si>
    <t>horribly</t>
  </si>
  <si>
    <t>inject</t>
  </si>
  <si>
    <t>descend</t>
  </si>
  <si>
    <t>wi</t>
  </si>
  <si>
    <t>re-</t>
  </si>
  <si>
    <t>liberated</t>
  </si>
  <si>
    <t>burner</t>
  </si>
  <si>
    <t>fluffy</t>
  </si>
  <si>
    <t>melancholy</t>
  </si>
  <si>
    <t>puppets</t>
  </si>
  <si>
    <t>anal</t>
  </si>
  <si>
    <t>grieve</t>
  </si>
  <si>
    <t>awe</t>
  </si>
  <si>
    <t>gallons</t>
  </si>
  <si>
    <t>earring</t>
  </si>
  <si>
    <t>unprecedented</t>
  </si>
  <si>
    <t>yank</t>
  </si>
  <si>
    <t>jamaica</t>
  </si>
  <si>
    <t>brutally</t>
  </si>
  <si>
    <t>extortion</t>
  </si>
  <si>
    <t>guardians</t>
  </si>
  <si>
    <t>disciples</t>
  </si>
  <si>
    <t>simultaneously</t>
  </si>
  <si>
    <t>elves</t>
  </si>
  <si>
    <t>malibu</t>
  </si>
  <si>
    <t>lupin</t>
  </si>
  <si>
    <t>postman</t>
  </si>
  <si>
    <t>neville</t>
  </si>
  <si>
    <t>senseless</t>
  </si>
  <si>
    <t>chapman</t>
  </si>
  <si>
    <t>sittin</t>
  </si>
  <si>
    <t>hostel</t>
  </si>
  <si>
    <t>marcia</t>
  </si>
  <si>
    <t>melvin</t>
  </si>
  <si>
    <t>cockroach</t>
  </si>
  <si>
    <t>clamp</t>
  </si>
  <si>
    <t>poets</t>
  </si>
  <si>
    <t>chemist</t>
  </si>
  <si>
    <t>professionally</t>
  </si>
  <si>
    <t>faded</t>
  </si>
  <si>
    <t>vargas</t>
  </si>
  <si>
    <t>gunpowder</t>
  </si>
  <si>
    <t>inc</t>
  </si>
  <si>
    <t>gala</t>
  </si>
  <si>
    <t>surroundings</t>
  </si>
  <si>
    <t>wisconsin</t>
  </si>
  <si>
    <t>rivals</t>
  </si>
  <si>
    <t>cackling</t>
  </si>
  <si>
    <t>withstand</t>
  </si>
  <si>
    <t>contemporary</t>
  </si>
  <si>
    <t>harlem</t>
  </si>
  <si>
    <t>half-hour</t>
  </si>
  <si>
    <t>marlon</t>
  </si>
  <si>
    <t>endured</t>
  </si>
  <si>
    <t>arsenal</t>
  </si>
  <si>
    <t>underway</t>
  </si>
  <si>
    <t>donuts</t>
  </si>
  <si>
    <t>daryl</t>
  </si>
  <si>
    <t>frickin</t>
  </si>
  <si>
    <t>injected</t>
  </si>
  <si>
    <t>digs</t>
  </si>
  <si>
    <t>siegfried</t>
  </si>
  <si>
    <t>elisabeth</t>
  </si>
  <si>
    <t>billionaire</t>
  </si>
  <si>
    <t>cardboard</t>
  </si>
  <si>
    <t>hugs</t>
  </si>
  <si>
    <t>an</t>
  </si>
  <si>
    <t>bandages</t>
  </si>
  <si>
    <t>everlasting</t>
  </si>
  <si>
    <t>liverpool</t>
  </si>
  <si>
    <t>cooperative</t>
  </si>
  <si>
    <t>diploma</t>
  </si>
  <si>
    <t>neural</t>
  </si>
  <si>
    <t>fortunes</t>
  </si>
  <si>
    <t>rural</t>
  </si>
  <si>
    <t>abbott</t>
  </si>
  <si>
    <t>receptionist</t>
  </si>
  <si>
    <t>antiques</t>
  </si>
  <si>
    <t>labels</t>
  </si>
  <si>
    <t>sizes</t>
  </si>
  <si>
    <t>millennium</t>
  </si>
  <si>
    <t>layout</t>
  </si>
  <si>
    <t>immoral</t>
  </si>
  <si>
    <t>manages</t>
  </si>
  <si>
    <t>hisses</t>
  </si>
  <si>
    <t>usher</t>
  </si>
  <si>
    <t>impulsive</t>
  </si>
  <si>
    <t>pollution</t>
  </si>
  <si>
    <t>admirer</t>
  </si>
  <si>
    <t>r</t>
  </si>
  <si>
    <t>rejoice</t>
  </si>
  <si>
    <t>iowa</t>
  </si>
  <si>
    <t>marlene</t>
  </si>
  <si>
    <t>hindi</t>
  </si>
  <si>
    <t>holder</t>
  </si>
  <si>
    <t>squeezed</t>
  </si>
  <si>
    <t>merge</t>
  </si>
  <si>
    <t>journalism</t>
  </si>
  <si>
    <t>nominated</t>
  </si>
  <si>
    <t>sundown</t>
  </si>
  <si>
    <t>assistants</t>
  </si>
  <si>
    <t>miraculous</t>
  </si>
  <si>
    <t>stared</t>
  </si>
  <si>
    <t>prescribed</t>
  </si>
  <si>
    <t>lotta</t>
  </si>
  <si>
    <t>swearing</t>
  </si>
  <si>
    <t>guarantees</t>
  </si>
  <si>
    <t>massachusetts</t>
  </si>
  <si>
    <t>junction</t>
  </si>
  <si>
    <t>consumption</t>
  </si>
  <si>
    <t>astrid</t>
  </si>
  <si>
    <t>metropolis</t>
  </si>
  <si>
    <t>iceland</t>
  </si>
  <si>
    <t>bridal</t>
  </si>
  <si>
    <t>virgins</t>
  </si>
  <si>
    <t>victorious</t>
  </si>
  <si>
    <t>squirt</t>
  </si>
  <si>
    <t>pads</t>
  </si>
  <si>
    <t>modified</t>
  </si>
  <si>
    <t>hanson</t>
  </si>
  <si>
    <t>casket</t>
  </si>
  <si>
    <t>blaze</t>
  </si>
  <si>
    <t>kimble</t>
  </si>
  <si>
    <t>cliffs</t>
  </si>
  <si>
    <t>destroyer</t>
  </si>
  <si>
    <t>offshore</t>
  </si>
  <si>
    <t>tendency</t>
  </si>
  <si>
    <t>nip</t>
  </si>
  <si>
    <t>scanning</t>
  </si>
  <si>
    <t>first-class</t>
  </si>
  <si>
    <t>viva</t>
  </si>
  <si>
    <t>intensive</t>
  </si>
  <si>
    <t>gustav</t>
  </si>
  <si>
    <t>endangered</t>
  </si>
  <si>
    <t>va</t>
  </si>
  <si>
    <t>circling</t>
  </si>
  <si>
    <t>ave</t>
  </si>
  <si>
    <t>stashed</t>
  </si>
  <si>
    <t>das</t>
  </si>
  <si>
    <t>backward</t>
  </si>
  <si>
    <t>hai</t>
  </si>
  <si>
    <t>chamberlain</t>
  </si>
  <si>
    <t>sari</t>
  </si>
  <si>
    <t>thermal</t>
  </si>
  <si>
    <t>opponents</t>
  </si>
  <si>
    <t>fiber</t>
  </si>
  <si>
    <t>last-minute</t>
  </si>
  <si>
    <t>toto</t>
  </si>
  <si>
    <t>circumstance</t>
  </si>
  <si>
    <t>geography</t>
  </si>
  <si>
    <t>stargate</t>
  </si>
  <si>
    <t>interpret</t>
  </si>
  <si>
    <t>sicily</t>
  </si>
  <si>
    <t>pisses</t>
  </si>
  <si>
    <t>preaching</t>
  </si>
  <si>
    <t>transporter</t>
  </si>
  <si>
    <t>bosom</t>
  </si>
  <si>
    <t>salsa</t>
  </si>
  <si>
    <t>eighty</t>
  </si>
  <si>
    <t>shred</t>
  </si>
  <si>
    <t>dread</t>
  </si>
  <si>
    <t>duration</t>
  </si>
  <si>
    <t>beggars</t>
  </si>
  <si>
    <t>mein</t>
  </si>
  <si>
    <t>josephine</t>
  </si>
  <si>
    <t>networks</t>
  </si>
  <si>
    <t>formality</t>
  </si>
  <si>
    <t>heater</t>
  </si>
  <si>
    <t>par</t>
  </si>
  <si>
    <t>smug</t>
  </si>
  <si>
    <t>ordeal</t>
  </si>
  <si>
    <t>rhonda</t>
  </si>
  <si>
    <t>agriculture</t>
  </si>
  <si>
    <t>aigoo</t>
  </si>
  <si>
    <t>katya</t>
  </si>
  <si>
    <t>fowler</t>
  </si>
  <si>
    <t>descended</t>
  </si>
  <si>
    <t>lasting</t>
  </si>
  <si>
    <t>abyss</t>
  </si>
  <si>
    <t>marries</t>
  </si>
  <si>
    <t>aurora</t>
  </si>
  <si>
    <t>sleigh</t>
  </si>
  <si>
    <t>frenchman</t>
  </si>
  <si>
    <t>rouge</t>
  </si>
  <si>
    <t>survives</t>
  </si>
  <si>
    <t>margo</t>
  </si>
  <si>
    <t>redhead</t>
  </si>
  <si>
    <t>terrence</t>
  </si>
  <si>
    <t>creativity</t>
  </si>
  <si>
    <t>dominant</t>
  </si>
  <si>
    <t>isis</t>
  </si>
  <si>
    <t>kip</t>
  </si>
  <si>
    <t>corny</t>
  </si>
  <si>
    <t>aubrey</t>
  </si>
  <si>
    <t>graphic</t>
  </si>
  <si>
    <t>irrational</t>
  </si>
  <si>
    <t>mathematical</t>
  </si>
  <si>
    <t>sacked</t>
  </si>
  <si>
    <t>paws</t>
  </si>
  <si>
    <t>chariot</t>
  </si>
  <si>
    <t>havoc</t>
  </si>
  <si>
    <t>andreas</t>
  </si>
  <si>
    <t>midget</t>
  </si>
  <si>
    <t>celestial</t>
  </si>
  <si>
    <t>cetera</t>
  </si>
  <si>
    <t>nino</t>
  </si>
  <si>
    <t>upgrade</t>
  </si>
  <si>
    <t>blasting</t>
  </si>
  <si>
    <t>skulls</t>
  </si>
  <si>
    <t>it-it</t>
  </si>
  <si>
    <t>mean-</t>
  </si>
  <si>
    <t>videotape</t>
  </si>
  <si>
    <t>wedded</t>
  </si>
  <si>
    <t>babysit</t>
  </si>
  <si>
    <t>ancestor</t>
  </si>
  <si>
    <t>transit</t>
  </si>
  <si>
    <t>rained</t>
  </si>
  <si>
    <t>thingy</t>
  </si>
  <si>
    <t>wellington</t>
  </si>
  <si>
    <t>abide</t>
  </si>
  <si>
    <t>reserves</t>
  </si>
  <si>
    <t>they</t>
  </si>
  <si>
    <t>rim</t>
  </si>
  <si>
    <t>chico</t>
  </si>
  <si>
    <t>settles</t>
  </si>
  <si>
    <t>decisive</t>
  </si>
  <si>
    <t>motors</t>
  </si>
  <si>
    <t>cheesy</t>
  </si>
  <si>
    <t>symbolic</t>
  </si>
  <si>
    <t>roxy</t>
  </si>
  <si>
    <t>clink</t>
  </si>
  <si>
    <t>handicapped</t>
  </si>
  <si>
    <t>mating</t>
  </si>
  <si>
    <t>cranky</t>
  </si>
  <si>
    <t>brightest</t>
  </si>
  <si>
    <t>molecules</t>
  </si>
  <si>
    <t>meyer</t>
  </si>
  <si>
    <t>sheridan</t>
  </si>
  <si>
    <t>sorry.</t>
  </si>
  <si>
    <t>animation</t>
  </si>
  <si>
    <t>grail</t>
  </si>
  <si>
    <t>voluntarily</t>
  </si>
  <si>
    <t>creeping</t>
  </si>
  <si>
    <t>furnace</t>
  </si>
  <si>
    <t>thine</t>
  </si>
  <si>
    <t>titus</t>
  </si>
  <si>
    <t>pierced</t>
  </si>
  <si>
    <t>bu</t>
  </si>
  <si>
    <t>chinatown</t>
  </si>
  <si>
    <t>slade</t>
  </si>
  <si>
    <t>sai</t>
  </si>
  <si>
    <t>toothpaste</t>
  </si>
  <si>
    <t>cuddle</t>
  </si>
  <si>
    <t>langley</t>
  </si>
  <si>
    <t>egyptians</t>
  </si>
  <si>
    <t>bankruptcy</t>
  </si>
  <si>
    <t>lever</t>
  </si>
  <si>
    <t>shaman</t>
  </si>
  <si>
    <t>nipple</t>
  </si>
  <si>
    <t>weeds</t>
  </si>
  <si>
    <t>becker</t>
  </si>
  <si>
    <t>reacted</t>
  </si>
  <si>
    <t>mashed</t>
  </si>
  <si>
    <t>sloane</t>
  </si>
  <si>
    <t>regent</t>
  </si>
  <si>
    <t>bentley</t>
  </si>
  <si>
    <t>tiles</t>
  </si>
  <si>
    <t>decoy</t>
  </si>
  <si>
    <t>crusade</t>
  </si>
  <si>
    <t>vivid</t>
  </si>
  <si>
    <t>slides</t>
  </si>
  <si>
    <t>jennings</t>
  </si>
  <si>
    <t>catering</t>
  </si>
  <si>
    <t>dishonest</t>
  </si>
  <si>
    <t>subs</t>
  </si>
  <si>
    <t>lurking</t>
  </si>
  <si>
    <t>airplanes</t>
  </si>
  <si>
    <t>shaky</t>
  </si>
  <si>
    <t>barren</t>
  </si>
  <si>
    <t>alligator</t>
  </si>
  <si>
    <t>moth</t>
  </si>
  <si>
    <t>uncover</t>
  </si>
  <si>
    <t>lorna</t>
  </si>
  <si>
    <t>axel</t>
  </si>
  <si>
    <t>expressing</t>
  </si>
  <si>
    <t>clacking</t>
  </si>
  <si>
    <t>doggie</t>
  </si>
  <si>
    <t>airlines</t>
  </si>
  <si>
    <t>dum</t>
  </si>
  <si>
    <t>unicorn</t>
  </si>
  <si>
    <t>jackets</t>
  </si>
  <si>
    <t>goofy</t>
  </si>
  <si>
    <t>marcy</t>
  </si>
  <si>
    <t>businessmen</t>
  </si>
  <si>
    <t>bums</t>
  </si>
  <si>
    <t>folded</t>
  </si>
  <si>
    <t>defender</t>
  </si>
  <si>
    <t>alarmed</t>
  </si>
  <si>
    <t>goody</t>
  </si>
  <si>
    <t>noose</t>
  </si>
  <si>
    <t>chic</t>
  </si>
  <si>
    <t>forgiving</t>
  </si>
  <si>
    <t>thatcher</t>
  </si>
  <si>
    <t>index</t>
  </si>
  <si>
    <t>blush</t>
  </si>
  <si>
    <t>fertile</t>
  </si>
  <si>
    <t>amateurs</t>
  </si>
  <si>
    <t>deliveries</t>
  </si>
  <si>
    <t>armour</t>
  </si>
  <si>
    <t>werner</t>
  </si>
  <si>
    <t>shits</t>
  </si>
  <si>
    <t>twinkle</t>
  </si>
  <si>
    <t>parted</t>
  </si>
  <si>
    <t>syndicate</t>
  </si>
  <si>
    <t>alexandra</t>
  </si>
  <si>
    <t>righty</t>
  </si>
  <si>
    <t>regions</t>
  </si>
  <si>
    <t>technician</t>
  </si>
  <si>
    <t>waffles</t>
  </si>
  <si>
    <t>skirts</t>
  </si>
  <si>
    <t>baroness</t>
  </si>
  <si>
    <t>castro</t>
  </si>
  <si>
    <t>malfunction</t>
  </si>
  <si>
    <t>memorable</t>
  </si>
  <si>
    <t>middle-aged</t>
  </si>
  <si>
    <t>thea</t>
  </si>
  <si>
    <t>calories</t>
  </si>
  <si>
    <t>cuisine</t>
  </si>
  <si>
    <t>motorbike</t>
  </si>
  <si>
    <t>snoop</t>
  </si>
  <si>
    <t>acknowledged</t>
  </si>
  <si>
    <t>spelled</t>
  </si>
  <si>
    <t>evolve</t>
  </si>
  <si>
    <t>cox</t>
  </si>
  <si>
    <t>sedative</t>
  </si>
  <si>
    <t>array</t>
  </si>
  <si>
    <t>tenderness</t>
  </si>
  <si>
    <t>klingon</t>
  </si>
  <si>
    <t>garland</t>
  </si>
  <si>
    <t>smuggled</t>
  </si>
  <si>
    <t>nicola</t>
  </si>
  <si>
    <t>raju</t>
  </si>
  <si>
    <t>reversed</t>
  </si>
  <si>
    <t>royce</t>
  </si>
  <si>
    <t>beforehand</t>
  </si>
  <si>
    <t>continuous</t>
  </si>
  <si>
    <t>yoko</t>
  </si>
  <si>
    <t>cecil</t>
  </si>
  <si>
    <t>seniors</t>
  </si>
  <si>
    <t>mri</t>
  </si>
  <si>
    <t>synthetic</t>
  </si>
  <si>
    <t>forgave</t>
  </si>
  <si>
    <t>discoveries</t>
  </si>
  <si>
    <t>kimmy</t>
  </si>
  <si>
    <t>agitated</t>
  </si>
  <si>
    <t>attendance</t>
  </si>
  <si>
    <t>maple</t>
  </si>
  <si>
    <t>pools</t>
  </si>
  <si>
    <t>wanker</t>
  </si>
  <si>
    <t>casa</t>
  </si>
  <si>
    <t>firearms</t>
  </si>
  <si>
    <t>offenders</t>
  </si>
  <si>
    <t>obligations</t>
  </si>
  <si>
    <t>moan</t>
  </si>
  <si>
    <t>signor</t>
  </si>
  <si>
    <t>graffiti</t>
  </si>
  <si>
    <t>supplied</t>
  </si>
  <si>
    <t>linen</t>
  </si>
  <si>
    <t>defect</t>
  </si>
  <si>
    <t>patriotic</t>
  </si>
  <si>
    <t>ethical</t>
  </si>
  <si>
    <t>pest</t>
  </si>
  <si>
    <t>lengths</t>
  </si>
  <si>
    <t>vin</t>
  </si>
  <si>
    <t>minnie</t>
  </si>
  <si>
    <t>spectrum</t>
  </si>
  <si>
    <t>distinction</t>
  </si>
  <si>
    <t>decorate</t>
  </si>
  <si>
    <t>bounds</t>
  </si>
  <si>
    <t>hums</t>
  </si>
  <si>
    <t>mandarin</t>
  </si>
  <si>
    <t>reluctant</t>
  </si>
  <si>
    <t>rand</t>
  </si>
  <si>
    <t>retain</t>
  </si>
  <si>
    <t>justine</t>
  </si>
  <si>
    <t>educate</t>
  </si>
  <si>
    <t>minnesota</t>
  </si>
  <si>
    <t>mp</t>
  </si>
  <si>
    <t>cruiser</t>
  </si>
  <si>
    <t>permits</t>
  </si>
  <si>
    <t>screwdriver</t>
  </si>
  <si>
    <t>exploration</t>
  </si>
  <si>
    <t>mace</t>
  </si>
  <si>
    <t>newborn</t>
  </si>
  <si>
    <t>shivering</t>
  </si>
  <si>
    <t>slime</t>
  </si>
  <si>
    <t>oddly</t>
  </si>
  <si>
    <t>badger</t>
  </si>
  <si>
    <t>bruised</t>
  </si>
  <si>
    <t>luigi</t>
  </si>
  <si>
    <t>attaboy</t>
  </si>
  <si>
    <t>eyeballs</t>
  </si>
  <si>
    <t>institutions</t>
  </si>
  <si>
    <t>panama</t>
  </si>
  <si>
    <t>boundary</t>
  </si>
  <si>
    <t>hypothesis</t>
  </si>
  <si>
    <t>ffff00</t>
  </si>
  <si>
    <t>drought</t>
  </si>
  <si>
    <t>rembrandt</t>
  </si>
  <si>
    <t>absorbed</t>
  </si>
  <si>
    <t>clinking</t>
  </si>
  <si>
    <t>executioner</t>
  </si>
  <si>
    <t>darts</t>
  </si>
  <si>
    <t>catalina</t>
  </si>
  <si>
    <t>lured</t>
  </si>
  <si>
    <t>lingerie</t>
  </si>
  <si>
    <t>gon</t>
  </si>
  <si>
    <t>flaws</t>
  </si>
  <si>
    <t>thinner</t>
  </si>
  <si>
    <t>lucien</t>
  </si>
  <si>
    <t>tug</t>
  </si>
  <si>
    <t>cornered</t>
  </si>
  <si>
    <t>bertie</t>
  </si>
  <si>
    <t>uptown</t>
  </si>
  <si>
    <t>clash</t>
  </si>
  <si>
    <t>aerial</t>
  </si>
  <si>
    <t>hansen</t>
  </si>
  <si>
    <t>relentless</t>
  </si>
  <si>
    <t>viable</t>
  </si>
  <si>
    <t>raul</t>
  </si>
  <si>
    <t>wen</t>
  </si>
  <si>
    <t>scholars</t>
  </si>
  <si>
    <t>marley</t>
  </si>
  <si>
    <t>limitations</t>
  </si>
  <si>
    <t>shelves</t>
  </si>
  <si>
    <t>funerals</t>
  </si>
  <si>
    <t>criticize</t>
  </si>
  <si>
    <t>jacqueline</t>
  </si>
  <si>
    <t>forrest</t>
  </si>
  <si>
    <t>shaun</t>
  </si>
  <si>
    <t>continental</t>
  </si>
  <si>
    <t>bookstore</t>
  </si>
  <si>
    <t>balanced</t>
  </si>
  <si>
    <t>workplace</t>
  </si>
  <si>
    <t>theta</t>
  </si>
  <si>
    <t>ramsey</t>
  </si>
  <si>
    <t>dixie</t>
  </si>
  <si>
    <t>bankers</t>
  </si>
  <si>
    <t>dumbass</t>
  </si>
  <si>
    <t>superstitious</t>
  </si>
  <si>
    <t>clause</t>
  </si>
  <si>
    <t>fudge</t>
  </si>
  <si>
    <t>bennet</t>
  </si>
  <si>
    <t>assignments</t>
  </si>
  <si>
    <t>councilman</t>
  </si>
  <si>
    <t>slogan</t>
  </si>
  <si>
    <t>trinity</t>
  </si>
  <si>
    <t>quadrant</t>
  </si>
  <si>
    <t>boarded</t>
  </si>
  <si>
    <t>ivory</t>
  </si>
  <si>
    <t>velocity</t>
  </si>
  <si>
    <t>composer</t>
  </si>
  <si>
    <t>mccarthy</t>
  </si>
  <si>
    <t>initiated</t>
  </si>
  <si>
    <t>covert</t>
  </si>
  <si>
    <t>builder</t>
  </si>
  <si>
    <t>insignificant</t>
  </si>
  <si>
    <t>dire</t>
  </si>
  <si>
    <t>gears</t>
  </si>
  <si>
    <t>comply</t>
  </si>
  <si>
    <t>credentials</t>
  </si>
  <si>
    <t>organizations</t>
  </si>
  <si>
    <t>applaud</t>
  </si>
  <si>
    <t>trend</t>
  </si>
  <si>
    <t>providence</t>
  </si>
  <si>
    <t>sparkle</t>
  </si>
  <si>
    <t>chump</t>
  </si>
  <si>
    <t>derrick</t>
  </si>
  <si>
    <t>donations</t>
  </si>
  <si>
    <t>flooding</t>
  </si>
  <si>
    <t>maintained</t>
  </si>
  <si>
    <t>snowing</t>
  </si>
  <si>
    <t>shaolin</t>
  </si>
  <si>
    <t>ladyship</t>
  </si>
  <si>
    <t>artifacts</t>
  </si>
  <si>
    <t>allegedly</t>
  </si>
  <si>
    <t>howl</t>
  </si>
  <si>
    <t>deploy</t>
  </si>
  <si>
    <t>showtime</t>
  </si>
  <si>
    <t>thornton</t>
  </si>
  <si>
    <t>deposition</t>
  </si>
  <si>
    <t>fractures</t>
  </si>
  <si>
    <t>handshake</t>
  </si>
  <si>
    <t>neglect</t>
  </si>
  <si>
    <t>adapted</t>
  </si>
  <si>
    <t>patrols</t>
  </si>
  <si>
    <t>bess</t>
  </si>
  <si>
    <t>cyber</t>
  </si>
  <si>
    <t>hetty</t>
  </si>
  <si>
    <t>protocols</t>
  </si>
  <si>
    <t>overdue</t>
  </si>
  <si>
    <t>slayer</t>
  </si>
  <si>
    <t>headphones</t>
  </si>
  <si>
    <t>identities</t>
  </si>
  <si>
    <t>appoint</t>
  </si>
  <si>
    <t>rotation</t>
  </si>
  <si>
    <t>solely</t>
  </si>
  <si>
    <t>tasha</t>
  </si>
  <si>
    <t>aging</t>
  </si>
  <si>
    <t>pitching</t>
  </si>
  <si>
    <t>examining</t>
  </si>
  <si>
    <t>viewing</t>
  </si>
  <si>
    <t>memorize</t>
  </si>
  <si>
    <t>freshen</t>
  </si>
  <si>
    <t>mango</t>
  </si>
  <si>
    <t>valued</t>
  </si>
  <si>
    <t>sonar</t>
  </si>
  <si>
    <t>crichton</t>
  </si>
  <si>
    <t>decay</t>
  </si>
  <si>
    <t>eu</t>
  </si>
  <si>
    <t>nightfall</t>
  </si>
  <si>
    <t>olives</t>
  </si>
  <si>
    <t>miniature</t>
  </si>
  <si>
    <t>omen</t>
  </si>
  <si>
    <t>kristin</t>
  </si>
  <si>
    <t>bai</t>
  </si>
  <si>
    <t>what-what</t>
  </si>
  <si>
    <t>chum</t>
  </si>
  <si>
    <t>posse</t>
  </si>
  <si>
    <t>mutiny</t>
  </si>
  <si>
    <t>toaster</t>
  </si>
  <si>
    <t>span</t>
  </si>
  <si>
    <t>jumbo</t>
  </si>
  <si>
    <t>blames</t>
  </si>
  <si>
    <t>mystical</t>
  </si>
  <si>
    <t>researchers</t>
  </si>
  <si>
    <t>exposing</t>
  </si>
  <si>
    <t>dung</t>
  </si>
  <si>
    <t>welsh</t>
  </si>
  <si>
    <t>frat</t>
  </si>
  <si>
    <t>waterfall</t>
  </si>
  <si>
    <t>lifts</t>
  </si>
  <si>
    <t>disgusted</t>
  </si>
  <si>
    <t>yikes</t>
  </si>
  <si>
    <t>windshield</t>
  </si>
  <si>
    <t>akira</t>
  </si>
  <si>
    <t>maintaining</t>
  </si>
  <si>
    <t>receives</t>
  </si>
  <si>
    <t>plantation</t>
  </si>
  <si>
    <t>antenna</t>
  </si>
  <si>
    <t>bodyguards</t>
  </si>
  <si>
    <t>havana</t>
  </si>
  <si>
    <t>anya</t>
  </si>
  <si>
    <t>edit</t>
  </si>
  <si>
    <t>superficial</t>
  </si>
  <si>
    <t>allergies</t>
  </si>
  <si>
    <t>invites</t>
  </si>
  <si>
    <t>comparing</t>
  </si>
  <si>
    <t>dirk</t>
  </si>
  <si>
    <t>cartoons</t>
  </si>
  <si>
    <t>mexicans</t>
  </si>
  <si>
    <t>timber</t>
  </si>
  <si>
    <t>supervision</t>
  </si>
  <si>
    <t>siberia</t>
  </si>
  <si>
    <t>winding</t>
  </si>
  <si>
    <t>rust</t>
  </si>
  <si>
    <t>intensity</t>
  </si>
  <si>
    <t>hiccup</t>
  </si>
  <si>
    <t>francois</t>
  </si>
  <si>
    <t>johan</t>
  </si>
  <si>
    <t>jogging</t>
  </si>
  <si>
    <t>confrontation</t>
  </si>
  <si>
    <t>flyers</t>
  </si>
  <si>
    <t>trustworthy</t>
  </si>
  <si>
    <t>jarvis</t>
  </si>
  <si>
    <t>coaster</t>
  </si>
  <si>
    <t>paragraph</t>
  </si>
  <si>
    <t>mosquitoes</t>
  </si>
  <si>
    <t>adios</t>
  </si>
  <si>
    <t>lovin</t>
  </si>
  <si>
    <t>unexpectedly</t>
  </si>
  <si>
    <t>russo</t>
  </si>
  <si>
    <t>amuse</t>
  </si>
  <si>
    <t>splashing</t>
  </si>
  <si>
    <t>soviets</t>
  </si>
  <si>
    <t>lorry</t>
  </si>
  <si>
    <t>dominate</t>
  </si>
  <si>
    <t>bundy</t>
  </si>
  <si>
    <t>howie</t>
  </si>
  <si>
    <t>jp</t>
  </si>
  <si>
    <t>unreal</t>
  </si>
  <si>
    <t>screens</t>
  </si>
  <si>
    <t>mouthing</t>
  </si>
  <si>
    <t>ziggy</t>
  </si>
  <si>
    <t>failures</t>
  </si>
  <si>
    <t>commanded</t>
  </si>
  <si>
    <t>recon</t>
  </si>
  <si>
    <t>representation</t>
  </si>
  <si>
    <t>bending</t>
  </si>
  <si>
    <t>gallant</t>
  </si>
  <si>
    <t>satisfying</t>
  </si>
  <si>
    <t>cheater</t>
  </si>
  <si>
    <t>pornography</t>
  </si>
  <si>
    <t>urn</t>
  </si>
  <si>
    <t>assign</t>
  </si>
  <si>
    <t>uncles</t>
  </si>
  <si>
    <t>vine</t>
  </si>
  <si>
    <t>auspicious</t>
  </si>
  <si>
    <t>tripping</t>
  </si>
  <si>
    <t>seafood</t>
  </si>
  <si>
    <t>mellow</t>
  </si>
  <si>
    <t>announcing</t>
  </si>
  <si>
    <t>resumes</t>
  </si>
  <si>
    <t>hawaiian</t>
  </si>
  <si>
    <t>ac</t>
  </si>
  <si>
    <t>centers</t>
  </si>
  <si>
    <t>adultery</t>
  </si>
  <si>
    <t>scatter</t>
  </si>
  <si>
    <t>lotion</t>
  </si>
  <si>
    <t>opposing</t>
  </si>
  <si>
    <t>dominated</t>
  </si>
  <si>
    <t>unpack</t>
  </si>
  <si>
    <t>violate</t>
  </si>
  <si>
    <t>transmit</t>
  </si>
  <si>
    <t>testicles</t>
  </si>
  <si>
    <t>zhao</t>
  </si>
  <si>
    <t>ames</t>
  </si>
  <si>
    <t>t.c.</t>
  </si>
  <si>
    <t>kayla</t>
  </si>
  <si>
    <t>hungary</t>
  </si>
  <si>
    <t>albums</t>
  </si>
  <si>
    <t>well-being</t>
  </si>
  <si>
    <t>porridge</t>
  </si>
  <si>
    <t>gavel</t>
  </si>
  <si>
    <t>prem</t>
  </si>
  <si>
    <t>rattles</t>
  </si>
  <si>
    <t>eliot</t>
  </si>
  <si>
    <t>titties</t>
  </si>
  <si>
    <t>strengthen</t>
  </si>
  <si>
    <t>sensitivity</t>
  </si>
  <si>
    <t>fitzgerald</t>
  </si>
  <si>
    <t>tamara</t>
  </si>
  <si>
    <t>removal</t>
  </si>
  <si>
    <t>sacks</t>
  </si>
  <si>
    <t>downloaded</t>
  </si>
  <si>
    <t>morocco</t>
  </si>
  <si>
    <t>sniffling</t>
  </si>
  <si>
    <t>crowns</t>
  </si>
  <si>
    <t>saddam</t>
  </si>
  <si>
    <t>nerds</t>
  </si>
  <si>
    <t>accepts</t>
  </si>
  <si>
    <t>hive</t>
  </si>
  <si>
    <t>radha</t>
  </si>
  <si>
    <t>outdoor</t>
  </si>
  <si>
    <t>raquel</t>
  </si>
  <si>
    <t>dew</t>
  </si>
  <si>
    <t>ing</t>
  </si>
  <si>
    <t>mt</t>
  </si>
  <si>
    <t>currents</t>
  </si>
  <si>
    <t>explanations</t>
  </si>
  <si>
    <t>soaking</t>
  </si>
  <si>
    <t>tanaka</t>
  </si>
  <si>
    <t>vitals</t>
  </si>
  <si>
    <t>navigation</t>
  </si>
  <si>
    <t>joins</t>
  </si>
  <si>
    <t>intrigued</t>
  </si>
  <si>
    <t>harp</t>
  </si>
  <si>
    <t>führer</t>
  </si>
  <si>
    <t>margin</t>
  </si>
  <si>
    <t>everett</t>
  </si>
  <si>
    <t>anthem</t>
  </si>
  <si>
    <t>aa</t>
  </si>
  <si>
    <t>kylie</t>
  </si>
  <si>
    <t>c</t>
  </si>
  <si>
    <t>distracting</t>
  </si>
  <si>
    <t>fertility</t>
  </si>
  <si>
    <t>amazingly</t>
  </si>
  <si>
    <t>horrific</t>
  </si>
  <si>
    <t>indictment</t>
  </si>
  <si>
    <t>superstition</t>
  </si>
  <si>
    <t>ultrasound</t>
  </si>
  <si>
    <t>shifted</t>
  </si>
  <si>
    <t>sincerity</t>
  </si>
  <si>
    <t>hamburg</t>
  </si>
  <si>
    <t>davy</t>
  </si>
  <si>
    <t>trashed</t>
  </si>
  <si>
    <t>casper</t>
  </si>
  <si>
    <t>dumplings</t>
  </si>
  <si>
    <t>digest</t>
  </si>
  <si>
    <t>whacked</t>
  </si>
  <si>
    <t>jacks</t>
  </si>
  <si>
    <t>kiddin</t>
  </si>
  <si>
    <t>casualty</t>
  </si>
  <si>
    <t>bethany</t>
  </si>
  <si>
    <t>thump</t>
  </si>
  <si>
    <t>proportion</t>
  </si>
  <si>
    <t>quantity</t>
  </si>
  <si>
    <t>janine</t>
  </si>
  <si>
    <t>deceiving</t>
  </si>
  <si>
    <t>weave</t>
  </si>
  <si>
    <t>hikaru</t>
  </si>
  <si>
    <t>sdh</t>
  </si>
  <si>
    <t>corrupted</t>
  </si>
  <si>
    <t>gallows</t>
  </si>
  <si>
    <t>budge</t>
  </si>
  <si>
    <t>fraction</t>
  </si>
  <si>
    <t>afar</t>
  </si>
  <si>
    <t>hiroshi</t>
  </si>
  <si>
    <t>leela</t>
  </si>
  <si>
    <t>measurements</t>
  </si>
  <si>
    <t>landlady</t>
  </si>
  <si>
    <t>certified</t>
  </si>
  <si>
    <t>dusk</t>
  </si>
  <si>
    <t>luisa</t>
  </si>
  <si>
    <t>insisting</t>
  </si>
  <si>
    <t>hilton</t>
  </si>
  <si>
    <t>indoors</t>
  </si>
  <si>
    <t>hawkeye</t>
  </si>
  <si>
    <t>saliva</t>
  </si>
  <si>
    <t>homey</t>
  </si>
  <si>
    <t>whispered</t>
  </si>
  <si>
    <t>maura</t>
  </si>
  <si>
    <t>cyanide</t>
  </si>
  <si>
    <t>marched</t>
  </si>
  <si>
    <t>accounted</t>
  </si>
  <si>
    <t>diver</t>
  </si>
  <si>
    <t>eligible</t>
  </si>
  <si>
    <t>robbins</t>
  </si>
  <si>
    <t>ch00ff00</t>
  </si>
  <si>
    <t>messes</t>
  </si>
  <si>
    <t>abandoning</t>
  </si>
  <si>
    <t>blossoms</t>
  </si>
  <si>
    <t>wiggle</t>
  </si>
  <si>
    <t>awaken</t>
  </si>
  <si>
    <t>cid</t>
  </si>
  <si>
    <t>stained</t>
  </si>
  <si>
    <t>ballard</t>
  </si>
  <si>
    <t>elevated</t>
  </si>
  <si>
    <t>ryo</t>
  </si>
  <si>
    <t>transparent</t>
  </si>
  <si>
    <t>unclear</t>
  </si>
  <si>
    <t>strokes</t>
  </si>
  <si>
    <t>aria</t>
  </si>
  <si>
    <t>hwa</t>
  </si>
  <si>
    <t>solidarity</t>
  </si>
  <si>
    <t>sidekick</t>
  </si>
  <si>
    <t>starter</t>
  </si>
  <si>
    <t>regarded</t>
  </si>
  <si>
    <t>corinne</t>
  </si>
  <si>
    <t>vulcan</t>
  </si>
  <si>
    <t>bradford</t>
  </si>
  <si>
    <t>godzilla</t>
  </si>
  <si>
    <t>belgian</t>
  </si>
  <si>
    <t>seemingly</t>
  </si>
  <si>
    <t>cling</t>
  </si>
  <si>
    <t>components</t>
  </si>
  <si>
    <t>vibrates</t>
  </si>
  <si>
    <t>missouri</t>
  </si>
  <si>
    <t>constance</t>
  </si>
  <si>
    <t>batting</t>
  </si>
  <si>
    <t>chanel</t>
  </si>
  <si>
    <t>sap</t>
  </si>
  <si>
    <t>marbles</t>
  </si>
  <si>
    <t>shifting</t>
  </si>
  <si>
    <t>wiping</t>
  </si>
  <si>
    <t>refill</t>
  </si>
  <si>
    <t>famine</t>
  </si>
  <si>
    <t>sneeze</t>
  </si>
  <si>
    <t>puzzles</t>
  </si>
  <si>
    <t>provisions</t>
  </si>
  <si>
    <t>shite</t>
  </si>
  <si>
    <t>walkin</t>
  </si>
  <si>
    <t>syringe</t>
  </si>
  <si>
    <t>platinum</t>
  </si>
  <si>
    <t>preferably</t>
  </si>
  <si>
    <t>oyster</t>
  </si>
  <si>
    <t>exhaust</t>
  </si>
  <si>
    <t>electromagnetic</t>
  </si>
  <si>
    <t>consumer</t>
  </si>
  <si>
    <t>lasagna</t>
  </si>
  <si>
    <t>barnaby</t>
  </si>
  <si>
    <t>catastrophic</t>
  </si>
  <si>
    <t>winchester</t>
  </si>
  <si>
    <t>woah</t>
  </si>
  <si>
    <t>be-</t>
  </si>
  <si>
    <t>evacuated</t>
  </si>
  <si>
    <t>serge</t>
  </si>
  <si>
    <t>relic</t>
  </si>
  <si>
    <t>describes</t>
  </si>
  <si>
    <t>merger</t>
  </si>
  <si>
    <t>muck</t>
  </si>
  <si>
    <t>buds</t>
  </si>
  <si>
    <t>socially</t>
  </si>
  <si>
    <t>enlisted</t>
  </si>
  <si>
    <t>deposits</t>
  </si>
  <si>
    <t>philippines</t>
  </si>
  <si>
    <t>archbishop</t>
  </si>
  <si>
    <t>smuggle</t>
  </si>
  <si>
    <t>climax</t>
  </si>
  <si>
    <t>progressive</t>
  </si>
  <si>
    <t>wheezing</t>
  </si>
  <si>
    <t>singles</t>
  </si>
  <si>
    <t>pillar</t>
  </si>
  <si>
    <t>fearful</t>
  </si>
  <si>
    <t>spade</t>
  </si>
  <si>
    <t>saucer</t>
  </si>
  <si>
    <t>ratio</t>
  </si>
  <si>
    <t>craving</t>
  </si>
  <si>
    <t>addicts</t>
  </si>
  <si>
    <t>clifford</t>
  </si>
  <si>
    <t>orson</t>
  </si>
  <si>
    <t>nashville</t>
  </si>
  <si>
    <t>beauties</t>
  </si>
  <si>
    <t>obscure</t>
  </si>
  <si>
    <t>signora</t>
  </si>
  <si>
    <t>troublesome</t>
  </si>
  <si>
    <t>rubble</t>
  </si>
  <si>
    <t>largely</t>
  </si>
  <si>
    <t>fong</t>
  </si>
  <si>
    <t>irina</t>
  </si>
  <si>
    <t>ahn</t>
  </si>
  <si>
    <t>admiration</t>
  </si>
  <si>
    <t>lizzy</t>
  </si>
  <si>
    <t>flap</t>
  </si>
  <si>
    <t>brutality</t>
  </si>
  <si>
    <t>mariana</t>
  </si>
  <si>
    <t>prevail</t>
  </si>
  <si>
    <t>tattooed</t>
  </si>
  <si>
    <t>brats</t>
  </si>
  <si>
    <t>anguish</t>
  </si>
  <si>
    <t>whim</t>
  </si>
  <si>
    <t>nada</t>
  </si>
  <si>
    <t>leaks</t>
  </si>
  <si>
    <t>cum</t>
  </si>
  <si>
    <t>cupid</t>
  </si>
  <si>
    <t>hana</t>
  </si>
  <si>
    <t>colonial</t>
  </si>
  <si>
    <t>frau</t>
  </si>
  <si>
    <t>speeds</t>
  </si>
  <si>
    <t>uld</t>
  </si>
  <si>
    <t>perpetrator</t>
  </si>
  <si>
    <t>watermelon</t>
  </si>
  <si>
    <t>emptied</t>
  </si>
  <si>
    <t>sponsored</t>
  </si>
  <si>
    <t>rooftop</t>
  </si>
  <si>
    <t>athena</t>
  </si>
  <si>
    <t>managers</t>
  </si>
  <si>
    <t>extraction</t>
  </si>
  <si>
    <t>stat</t>
  </si>
  <si>
    <t>rhino</t>
  </si>
  <si>
    <t>diarrhea</t>
  </si>
  <si>
    <t>disregard</t>
  </si>
  <si>
    <t>warmed</t>
  </si>
  <si>
    <t>goggles</t>
  </si>
  <si>
    <t>colombia</t>
  </si>
  <si>
    <t>struggles</t>
  </si>
  <si>
    <t>fitness</t>
  </si>
  <si>
    <t>scalp</t>
  </si>
  <si>
    <t>veterans</t>
  </si>
  <si>
    <t>suitcases</t>
  </si>
  <si>
    <t>kensi</t>
  </si>
  <si>
    <t>watchman</t>
  </si>
  <si>
    <t>caress</t>
  </si>
  <si>
    <t>devlin</t>
  </si>
  <si>
    <t>exclusively</t>
  </si>
  <si>
    <t>disciple</t>
  </si>
  <si>
    <t>misty</t>
  </si>
  <si>
    <t>aura</t>
  </si>
  <si>
    <t>helm</t>
  </si>
  <si>
    <t>crockett</t>
  </si>
  <si>
    <t>inhale</t>
  </si>
  <si>
    <t>buckets</t>
  </si>
  <si>
    <t>adored</t>
  </si>
  <si>
    <t>shillings</t>
  </si>
  <si>
    <t>kari</t>
  </si>
  <si>
    <t>tents</t>
  </si>
  <si>
    <t>revoir</t>
  </si>
  <si>
    <t>hedge</t>
  </si>
  <si>
    <t>e.r.</t>
  </si>
  <si>
    <t>snorting</t>
  </si>
  <si>
    <t>viper</t>
  </si>
  <si>
    <t>digger</t>
  </si>
  <si>
    <t>breaker</t>
  </si>
  <si>
    <t>meatballs</t>
  </si>
  <si>
    <t>suppress</t>
  </si>
  <si>
    <t>witty</t>
  </si>
  <si>
    <t>wonderfully</t>
  </si>
  <si>
    <t>shogun</t>
  </si>
  <si>
    <t>encouragement</t>
  </si>
  <si>
    <t>intercepted</t>
  </si>
  <si>
    <t>goddamned</t>
  </si>
  <si>
    <t>posting</t>
  </si>
  <si>
    <t>cleanse</t>
  </si>
  <si>
    <t>f.b.i.</t>
  </si>
  <si>
    <t>no-</t>
  </si>
  <si>
    <t>competitor</t>
  </si>
  <si>
    <t>abbot</t>
  </si>
  <si>
    <t>trenches</t>
  </si>
  <si>
    <t>sizzling</t>
  </si>
  <si>
    <t>lyon</t>
  </si>
  <si>
    <t>mustang</t>
  </si>
  <si>
    <t>stewie</t>
  </si>
  <si>
    <t>kg</t>
  </si>
  <si>
    <t>rested</t>
  </si>
  <si>
    <t>reflected</t>
  </si>
  <si>
    <t>stand-up</t>
  </si>
  <si>
    <t>habitat</t>
  </si>
  <si>
    <t>molecular</t>
  </si>
  <si>
    <t>obnoxious</t>
  </si>
  <si>
    <t>24-hour</t>
  </si>
  <si>
    <t>wraith</t>
  </si>
  <si>
    <t>sarcasm</t>
  </si>
  <si>
    <t>tung</t>
  </si>
  <si>
    <t>renowned</t>
  </si>
  <si>
    <t>tofu</t>
  </si>
  <si>
    <t>wildly</t>
  </si>
  <si>
    <t>blondie</t>
  </si>
  <si>
    <t>refund</t>
  </si>
  <si>
    <t>goon</t>
  </si>
  <si>
    <t>pulp</t>
  </si>
  <si>
    <t>exaggerated</t>
  </si>
  <si>
    <t>shad0</t>
  </si>
  <si>
    <t>embedded</t>
  </si>
  <si>
    <t>chateau</t>
  </si>
  <si>
    <t>harlan</t>
  </si>
  <si>
    <t>provoked</t>
  </si>
  <si>
    <t>antony</t>
  </si>
  <si>
    <t>guido</t>
  </si>
  <si>
    <t>nile</t>
  </si>
  <si>
    <t>alfie</t>
  </si>
  <si>
    <t>cages</t>
  </si>
  <si>
    <t>skates</t>
  </si>
  <si>
    <t>resemble</t>
  </si>
  <si>
    <t>sticker</t>
  </si>
  <si>
    <t>lennox</t>
  </si>
  <si>
    <t>unstoppable</t>
  </si>
  <si>
    <t>veal</t>
  </si>
  <si>
    <t>fe</t>
  </si>
  <si>
    <t>isle</t>
  </si>
  <si>
    <t>characteristics</t>
  </si>
  <si>
    <t>earthquakes</t>
  </si>
  <si>
    <t>cold-blooded</t>
  </si>
  <si>
    <t>ambushed</t>
  </si>
  <si>
    <t>zap</t>
  </si>
  <si>
    <t>reaper</t>
  </si>
  <si>
    <t>deployed</t>
  </si>
  <si>
    <t>biblical</t>
  </si>
  <si>
    <t>puck</t>
  </si>
  <si>
    <t>mystic</t>
  </si>
  <si>
    <t>aya</t>
  </si>
  <si>
    <t>gaby</t>
  </si>
  <si>
    <t>intends</t>
  </si>
  <si>
    <t>muffins</t>
  </si>
  <si>
    <t>speedy</t>
  </si>
  <si>
    <t>course</t>
  </si>
  <si>
    <t>republicans</t>
  </si>
  <si>
    <t>bolts</t>
  </si>
  <si>
    <t>enrique</t>
  </si>
  <si>
    <t>hoax</t>
  </si>
  <si>
    <t>raided</t>
  </si>
  <si>
    <t>intersection</t>
  </si>
  <si>
    <t>presently</t>
  </si>
  <si>
    <t>supplier</t>
  </si>
  <si>
    <t>shuffle</t>
  </si>
  <si>
    <t>edited</t>
  </si>
  <si>
    <t>rubbed</t>
  </si>
  <si>
    <t>vegan</t>
  </si>
  <si>
    <t>outdoors</t>
  </si>
  <si>
    <t>distinctive</t>
  </si>
  <si>
    <t>upcoming</t>
  </si>
  <si>
    <t>brighton</t>
  </si>
  <si>
    <t>wagons</t>
  </si>
  <si>
    <t>granger</t>
  </si>
  <si>
    <t>peeing</t>
  </si>
  <si>
    <t>oracle</t>
  </si>
  <si>
    <t>glitter</t>
  </si>
  <si>
    <t>amulet</t>
  </si>
  <si>
    <t>suspend</t>
  </si>
  <si>
    <t>guild</t>
  </si>
  <si>
    <t>convertible</t>
  </si>
  <si>
    <t>squared</t>
  </si>
  <si>
    <t>battling</t>
  </si>
  <si>
    <t>steward</t>
  </si>
  <si>
    <t>weston</t>
  </si>
  <si>
    <t>gateway</t>
  </si>
  <si>
    <t>rites</t>
  </si>
  <si>
    <t>distributed</t>
  </si>
  <si>
    <t>pavement</t>
  </si>
  <si>
    <t>projector</t>
  </si>
  <si>
    <t>rugby</t>
  </si>
  <si>
    <t>jt</t>
  </si>
  <si>
    <t>fragment</t>
  </si>
  <si>
    <t>baldwin</t>
  </si>
  <si>
    <t>obscene</t>
  </si>
  <si>
    <t>zebra</t>
  </si>
  <si>
    <t>raping</t>
  </si>
  <si>
    <t>analyst</t>
  </si>
  <si>
    <t>eta</t>
  </si>
  <si>
    <t>elbows</t>
  </si>
  <si>
    <t>detonator</t>
  </si>
  <si>
    <t>disneyland</t>
  </si>
  <si>
    <t>rails</t>
  </si>
  <si>
    <t>earthly</t>
  </si>
  <si>
    <t>modesty</t>
  </si>
  <si>
    <t>assess</t>
  </si>
  <si>
    <t>vinci</t>
  </si>
  <si>
    <t>librarian</t>
  </si>
  <si>
    <t>do-</t>
  </si>
  <si>
    <t>moran</t>
  </si>
  <si>
    <t>suffice</t>
  </si>
  <si>
    <t>gravitational</t>
  </si>
  <si>
    <t>crowley</t>
  </si>
  <si>
    <t>slumber</t>
  </si>
  <si>
    <t>homie</t>
  </si>
  <si>
    <t>bribes</t>
  </si>
  <si>
    <t>aces</t>
  </si>
  <si>
    <t>sodium</t>
  </si>
  <si>
    <t>hubert</t>
  </si>
  <si>
    <t>trajectory</t>
  </si>
  <si>
    <t>credible</t>
  </si>
  <si>
    <t>declined</t>
  </si>
  <si>
    <t>canary</t>
  </si>
  <si>
    <t>eyesight</t>
  </si>
  <si>
    <t>jug</t>
  </si>
  <si>
    <t>duplicate</t>
  </si>
  <si>
    <t>developments</t>
  </si>
  <si>
    <t>capitalism</t>
  </si>
  <si>
    <t>polished</t>
  </si>
  <si>
    <t>defenses</t>
  </si>
  <si>
    <t>xi</t>
  </si>
  <si>
    <t>crates</t>
  </si>
  <si>
    <t>fences</t>
  </si>
  <si>
    <t>differ</t>
  </si>
  <si>
    <t>hodgins</t>
  </si>
  <si>
    <t>enzo</t>
  </si>
  <si>
    <t>chaotic</t>
  </si>
  <si>
    <t>gardening</t>
  </si>
  <si>
    <t>gram</t>
  </si>
  <si>
    <t>tinker</t>
  </si>
  <si>
    <t>forecast</t>
  </si>
  <si>
    <t>ti</t>
  </si>
  <si>
    <t>pinched</t>
  </si>
  <si>
    <t>tangled</t>
  </si>
  <si>
    <t>macy</t>
  </si>
  <si>
    <t>plunge</t>
  </si>
  <si>
    <t>bulletproof</t>
  </si>
  <si>
    <t>module</t>
  </si>
  <si>
    <t>firewood</t>
  </si>
  <si>
    <t>pizzas</t>
  </si>
  <si>
    <t>overly</t>
  </si>
  <si>
    <t>retail</t>
  </si>
  <si>
    <t>novak</t>
  </si>
  <si>
    <t>grover</t>
  </si>
  <si>
    <t>arturo</t>
  </si>
  <si>
    <t>appalling</t>
  </si>
  <si>
    <t>rows</t>
  </si>
  <si>
    <t>felicia</t>
  </si>
  <si>
    <t>concentrating</t>
  </si>
  <si>
    <t>transferring</t>
  </si>
  <si>
    <t>mash</t>
  </si>
  <si>
    <t>growl</t>
  </si>
  <si>
    <t>sliced</t>
  </si>
  <si>
    <t>rewards</t>
  </si>
  <si>
    <t>braces</t>
  </si>
  <si>
    <t>livestock</t>
  </si>
  <si>
    <t>users</t>
  </si>
  <si>
    <t>recruiting</t>
  </si>
  <si>
    <t>gunman</t>
  </si>
  <si>
    <t>dictate</t>
  </si>
  <si>
    <t>bathrooms</t>
  </si>
  <si>
    <t>nobles</t>
  </si>
  <si>
    <t>picky</t>
  </si>
  <si>
    <t>linus</t>
  </si>
  <si>
    <t>platter</t>
  </si>
  <si>
    <t>vultures</t>
  </si>
  <si>
    <t>organism</t>
  </si>
  <si>
    <t>sweeter</t>
  </si>
  <si>
    <t>scarecrow</t>
  </si>
  <si>
    <t>manufacturing</t>
  </si>
  <si>
    <t>pup</t>
  </si>
  <si>
    <t>mitzvah</t>
  </si>
  <si>
    <t>crackles</t>
  </si>
  <si>
    <t>proudly</t>
  </si>
  <si>
    <t>interpreter</t>
  </si>
  <si>
    <t>leigh</t>
  </si>
  <si>
    <t>genetically</t>
  </si>
  <si>
    <t>frying</t>
  </si>
  <si>
    <t>redeem</t>
  </si>
  <si>
    <t>cara</t>
  </si>
  <si>
    <t>ledge</t>
  </si>
  <si>
    <t>qing</t>
  </si>
  <si>
    <t>tyranny</t>
  </si>
  <si>
    <t>charleston</t>
  </si>
  <si>
    <t>cutest</t>
  </si>
  <si>
    <t>skins</t>
  </si>
  <si>
    <t>rosy</t>
  </si>
  <si>
    <t>nomination</t>
  </si>
  <si>
    <t>textbook</t>
  </si>
  <si>
    <t>descendants</t>
  </si>
  <si>
    <t>sabine</t>
  </si>
  <si>
    <t>saunders</t>
  </si>
  <si>
    <t>hast</t>
  </si>
  <si>
    <t>dubois</t>
  </si>
  <si>
    <t>finland</t>
  </si>
  <si>
    <t>loretta</t>
  </si>
  <si>
    <t>unsolved</t>
  </si>
  <si>
    <t>pioneer</t>
  </si>
  <si>
    <t>or-</t>
  </si>
  <si>
    <t>ramirez</t>
  </si>
  <si>
    <t>suzie</t>
  </si>
  <si>
    <t>hugged</t>
  </si>
  <si>
    <t>angelica</t>
  </si>
  <si>
    <t>cesare</t>
  </si>
  <si>
    <t>throttle</t>
  </si>
  <si>
    <t>powered</t>
  </si>
  <si>
    <t>carving</t>
  </si>
  <si>
    <t>thrive</t>
  </si>
  <si>
    <t>d.j.</t>
  </si>
  <si>
    <t>allergy</t>
  </si>
  <si>
    <t>icu</t>
  </si>
  <si>
    <t>suzy</t>
  </si>
  <si>
    <t>pong</t>
  </si>
  <si>
    <t>squares</t>
  </si>
  <si>
    <t>alphabet</t>
  </si>
  <si>
    <t>threesome</t>
  </si>
  <si>
    <t>accordingly</t>
  </si>
  <si>
    <t>sect</t>
  </si>
  <si>
    <t>maternity</t>
  </si>
  <si>
    <t>scarce</t>
  </si>
  <si>
    <t>internship</t>
  </si>
  <si>
    <t>morty</t>
  </si>
  <si>
    <t>tones</t>
  </si>
  <si>
    <t>sirs</t>
  </si>
  <si>
    <t>unwell</t>
  </si>
  <si>
    <t>nellie</t>
  </si>
  <si>
    <t>import</t>
  </si>
  <si>
    <t>temporal</t>
  </si>
  <si>
    <t>mohammed</t>
  </si>
  <si>
    <t>anticipate</t>
  </si>
  <si>
    <t>democrats</t>
  </si>
  <si>
    <t>pfft</t>
  </si>
  <si>
    <t>terminated</t>
  </si>
  <si>
    <t>spree</t>
  </si>
  <si>
    <t>ami</t>
  </si>
  <si>
    <t>interviewer</t>
  </si>
  <si>
    <t>respectfully</t>
  </si>
  <si>
    <t>futile</t>
  </si>
  <si>
    <t>dictator</t>
  </si>
  <si>
    <t>stuffy</t>
  </si>
  <si>
    <t>wai</t>
  </si>
  <si>
    <t>mammals</t>
  </si>
  <si>
    <t>fasten</t>
  </si>
  <si>
    <t>neptune</t>
  </si>
  <si>
    <t>giggle</t>
  </si>
  <si>
    <t>grandchild</t>
  </si>
  <si>
    <t>pharmaceutical</t>
  </si>
  <si>
    <t>persian</t>
  </si>
  <si>
    <t>tactic</t>
  </si>
  <si>
    <t>itching</t>
  </si>
  <si>
    <t>observer</t>
  </si>
  <si>
    <t>tesla</t>
  </si>
  <si>
    <t>wallpaper</t>
  </si>
  <si>
    <t>thorne</t>
  </si>
  <si>
    <t>jiang</t>
  </si>
  <si>
    <t>austrian</t>
  </si>
  <si>
    <t>output</t>
  </si>
  <si>
    <t>malley</t>
  </si>
  <si>
    <t>goliath</t>
  </si>
  <si>
    <t>trophies</t>
  </si>
  <si>
    <t>joyful</t>
  </si>
  <si>
    <t>spouse</t>
  </si>
  <si>
    <t>giorgio</t>
  </si>
  <si>
    <t>rightly</t>
  </si>
  <si>
    <t>hobbies</t>
  </si>
  <si>
    <t>there</t>
  </si>
  <si>
    <t>vito</t>
  </si>
  <si>
    <t>naming</t>
  </si>
  <si>
    <t>yates</t>
  </si>
  <si>
    <t>stale</t>
  </si>
  <si>
    <t>teamwork</t>
  </si>
  <si>
    <t>obedient</t>
  </si>
  <si>
    <t>switches</t>
  </si>
  <si>
    <t>rating</t>
  </si>
  <si>
    <t>regulation</t>
  </si>
  <si>
    <t>raving</t>
  </si>
  <si>
    <t>dioxide</t>
  </si>
  <si>
    <t>boner</t>
  </si>
  <si>
    <t>bc</t>
  </si>
  <si>
    <t>implant</t>
  </si>
  <si>
    <t>mari</t>
  </si>
  <si>
    <t>satisfactory</t>
  </si>
  <si>
    <t>espresso</t>
  </si>
  <si>
    <t>bach</t>
  </si>
  <si>
    <t>sleeper</t>
  </si>
  <si>
    <t>construct</t>
  </si>
  <si>
    <t>rations</t>
  </si>
  <si>
    <t>munch</t>
  </si>
  <si>
    <t>anjali</t>
  </si>
  <si>
    <t>coordinate</t>
  </si>
  <si>
    <t>stag</t>
  </si>
  <si>
    <t>dominique</t>
  </si>
  <si>
    <t>backseat</t>
  </si>
  <si>
    <t>chrissy</t>
  </si>
  <si>
    <t>analyzed</t>
  </si>
  <si>
    <t>reschedule</t>
  </si>
  <si>
    <t>uphold</t>
  </si>
  <si>
    <t>sorority</t>
  </si>
  <si>
    <t>bono</t>
  </si>
  <si>
    <t>princeton</t>
  </si>
  <si>
    <t>inconvenient</t>
  </si>
  <si>
    <t>crumbs</t>
  </si>
  <si>
    <t>reconstruction</t>
  </si>
  <si>
    <t>pipeline</t>
  </si>
  <si>
    <t>reunited</t>
  </si>
  <si>
    <t>confidentiality</t>
  </si>
  <si>
    <t>embraced</t>
  </si>
  <si>
    <t>overruled</t>
  </si>
  <si>
    <t>enlightenment</t>
  </si>
  <si>
    <t>puddle</t>
  </si>
  <si>
    <t>mortals</t>
  </si>
  <si>
    <t>comfortably</t>
  </si>
  <si>
    <t>vlad</t>
  </si>
  <si>
    <t>misha</t>
  </si>
  <si>
    <t>ukraine</t>
  </si>
  <si>
    <t>swam</t>
  </si>
  <si>
    <t>annette</t>
  </si>
  <si>
    <t>demonic</t>
  </si>
  <si>
    <t>sora</t>
  </si>
  <si>
    <t>demise</t>
  </si>
  <si>
    <t>donatello</t>
  </si>
  <si>
    <t>fungus</t>
  </si>
  <si>
    <t>barefoot</t>
  </si>
  <si>
    <t>tacos</t>
  </si>
  <si>
    <t>skeletons</t>
  </si>
  <si>
    <t>beak</t>
  </si>
  <si>
    <t>fanfare</t>
  </si>
  <si>
    <t>maryland</t>
  </si>
  <si>
    <t>felipe</t>
  </si>
  <si>
    <t>picard</t>
  </si>
  <si>
    <t>mascot</t>
  </si>
  <si>
    <t>lemonis</t>
  </si>
  <si>
    <t>drastic</t>
  </si>
  <si>
    <t>proceeding</t>
  </si>
  <si>
    <t>presidents</t>
  </si>
  <si>
    <t>intrude</t>
  </si>
  <si>
    <t>stiles</t>
  </si>
  <si>
    <t>sums</t>
  </si>
  <si>
    <t>deprived</t>
  </si>
  <si>
    <t>advertisement</t>
  </si>
  <si>
    <t>farting</t>
  </si>
  <si>
    <t>straightened</t>
  </si>
  <si>
    <t>foremost</t>
  </si>
  <si>
    <t>adjustment</t>
  </si>
  <si>
    <t>charade</t>
  </si>
  <si>
    <t>blanks</t>
  </si>
  <si>
    <t>stig</t>
  </si>
  <si>
    <t>puncture</t>
  </si>
  <si>
    <t>spank</t>
  </si>
  <si>
    <t>utah</t>
  </si>
  <si>
    <t>booing</t>
  </si>
  <si>
    <t>abs</t>
  </si>
  <si>
    <t>minimal</t>
  </si>
  <si>
    <t>gals</t>
  </si>
  <si>
    <t>flashes</t>
  </si>
  <si>
    <t>andrei</t>
  </si>
  <si>
    <t>requirements</t>
  </si>
  <si>
    <t>greenhouse</t>
  </si>
  <si>
    <t>marx</t>
  </si>
  <si>
    <t>ma</t>
  </si>
  <si>
    <t>vermont</t>
  </si>
  <si>
    <t>comprehend</t>
  </si>
  <si>
    <t>canoe</t>
  </si>
  <si>
    <t>baton</t>
  </si>
  <si>
    <t>arsehole</t>
  </si>
  <si>
    <t>graduating</t>
  </si>
  <si>
    <t>partially</t>
  </si>
  <si>
    <t>sensing</t>
  </si>
  <si>
    <t>kinky</t>
  </si>
  <si>
    <t>titans</t>
  </si>
  <si>
    <t>microscope</t>
  </si>
  <si>
    <t>intimidating</t>
  </si>
  <si>
    <t>ren</t>
  </si>
  <si>
    <t>babu</t>
  </si>
  <si>
    <t>territories</t>
  </si>
  <si>
    <t>vaguely</t>
  </si>
  <si>
    <t>geese</t>
  </si>
  <si>
    <t>hardship</t>
  </si>
  <si>
    <t>karin</t>
  </si>
  <si>
    <t>exceptions</t>
  </si>
  <si>
    <t>jing</t>
  </si>
  <si>
    <t>gramps</t>
  </si>
  <si>
    <t>florrick</t>
  </si>
  <si>
    <t>doubles</t>
  </si>
  <si>
    <t>knitting</t>
  </si>
  <si>
    <t>slowed</t>
  </si>
  <si>
    <t>administrator</t>
  </si>
  <si>
    <t>blacksmith</t>
  </si>
  <si>
    <t>ctu</t>
  </si>
  <si>
    <t>tolling</t>
  </si>
  <si>
    <t>correspondence</t>
  </si>
  <si>
    <t>fashionable</t>
  </si>
  <si>
    <t>overlooked</t>
  </si>
  <si>
    <t>siobhan</t>
  </si>
  <si>
    <t>matron</t>
  </si>
  <si>
    <t>arcade</t>
  </si>
  <si>
    <t>gestures</t>
  </si>
  <si>
    <t>lonnie</t>
  </si>
  <si>
    <t>bord0</t>
  </si>
  <si>
    <t>quits</t>
  </si>
  <si>
    <t>outnumbered</t>
  </si>
  <si>
    <t>lockhart</t>
  </si>
  <si>
    <t>verbal</t>
  </si>
  <si>
    <t>mc</t>
  </si>
  <si>
    <t>terminate</t>
  </si>
  <si>
    <t>hosts</t>
  </si>
  <si>
    <t>rye</t>
  </si>
  <si>
    <t>chirps</t>
  </si>
  <si>
    <t>presidency</t>
  </si>
  <si>
    <t>roberta</t>
  </si>
  <si>
    <t>devote</t>
  </si>
  <si>
    <t>30th</t>
  </si>
  <si>
    <t>dumps</t>
  </si>
  <si>
    <t>hallo</t>
  </si>
  <si>
    <t>improvise</t>
  </si>
  <si>
    <t>monique</t>
  </si>
  <si>
    <t>pooh</t>
  </si>
  <si>
    <t>starship</t>
  </si>
  <si>
    <t>spades</t>
  </si>
  <si>
    <t>fumes</t>
  </si>
  <si>
    <t>cawing</t>
  </si>
  <si>
    <t>aluminum</t>
  </si>
  <si>
    <t>squeak</t>
  </si>
  <si>
    <t>drafted</t>
  </si>
  <si>
    <t>ssh</t>
  </si>
  <si>
    <t>everest</t>
  </si>
  <si>
    <t>michaels</t>
  </si>
  <si>
    <t>commonwealth</t>
  </si>
  <si>
    <t>candace</t>
  </si>
  <si>
    <t>cappuccino</t>
  </si>
  <si>
    <t>cucumber</t>
  </si>
  <si>
    <t>inventor</t>
  </si>
  <si>
    <t>folder</t>
  </si>
  <si>
    <t>slamming</t>
  </si>
  <si>
    <t>favours</t>
  </si>
  <si>
    <t>peppers</t>
  </si>
  <si>
    <t>appeals</t>
  </si>
  <si>
    <t>walton</t>
  </si>
  <si>
    <t>reasoning</t>
  </si>
  <si>
    <t>adequate</t>
  </si>
  <si>
    <t>snickers</t>
  </si>
  <si>
    <t>glued</t>
  </si>
  <si>
    <t>ifs</t>
  </si>
  <si>
    <t>nets</t>
  </si>
  <si>
    <t>hangar</t>
  </si>
  <si>
    <t>godmother</t>
  </si>
  <si>
    <t>empty-handed</t>
  </si>
  <si>
    <t>sátur</t>
  </si>
  <si>
    <t>forum</t>
  </si>
  <si>
    <t>joys</t>
  </si>
  <si>
    <t>foolishness</t>
  </si>
  <si>
    <t>sybil</t>
  </si>
  <si>
    <t>crest</t>
  </si>
  <si>
    <t>playful</t>
  </si>
  <si>
    <t>peers</t>
  </si>
  <si>
    <t>horrors</t>
  </si>
  <si>
    <t>grown-ups</t>
  </si>
  <si>
    <t>bleach</t>
  </si>
  <si>
    <t>disastrous</t>
  </si>
  <si>
    <t>lineup</t>
  </si>
  <si>
    <t>glamour</t>
  </si>
  <si>
    <t>coronation</t>
  </si>
  <si>
    <t>halo</t>
  </si>
  <si>
    <t>sookie</t>
  </si>
  <si>
    <t>highlight</t>
  </si>
  <si>
    <t>ziva</t>
  </si>
  <si>
    <t>ponies</t>
  </si>
  <si>
    <t>errors</t>
  </si>
  <si>
    <t>viv</t>
  </si>
  <si>
    <t>alvarez</t>
  </si>
  <si>
    <t>pluto</t>
  </si>
  <si>
    <t>weights</t>
  </si>
  <si>
    <t>arabia</t>
  </si>
  <si>
    <t>imperative</t>
  </si>
  <si>
    <t>trader</t>
  </si>
  <si>
    <t>galileo</t>
  </si>
  <si>
    <t>tainted</t>
  </si>
  <si>
    <t>drugstore</t>
  </si>
  <si>
    <t>lenses</t>
  </si>
  <si>
    <t>obstruction</t>
  </si>
  <si>
    <t>segment</t>
  </si>
  <si>
    <t>envious</t>
  </si>
  <si>
    <t>gertrude</t>
  </si>
  <si>
    <t>twisting</t>
  </si>
  <si>
    <t>nikolai</t>
  </si>
  <si>
    <t>insured</t>
  </si>
  <si>
    <t>overlook</t>
  </si>
  <si>
    <t>icon</t>
  </si>
  <si>
    <t>rollin</t>
  </si>
  <si>
    <t>commentator</t>
  </si>
  <si>
    <t>pitt</t>
  </si>
  <si>
    <t>camilla</t>
  </si>
  <si>
    <t>cerebral</t>
  </si>
  <si>
    <t>qin</t>
  </si>
  <si>
    <t>zelda</t>
  </si>
  <si>
    <t>spoiling</t>
  </si>
  <si>
    <t>tsar</t>
  </si>
  <si>
    <t>frames</t>
  </si>
  <si>
    <t>cushion</t>
  </si>
  <si>
    <t>divers</t>
  </si>
  <si>
    <t>hallowed</t>
  </si>
  <si>
    <t>chute</t>
  </si>
  <si>
    <t>cavity</t>
  </si>
  <si>
    <t>reds</t>
  </si>
  <si>
    <t>volcanoes</t>
  </si>
  <si>
    <t>on.</t>
  </si>
  <si>
    <t>angelina</t>
  </si>
  <si>
    <t>sahib</t>
  </si>
  <si>
    <t>strung</t>
  </si>
  <si>
    <t>watts</t>
  </si>
  <si>
    <t>40s</t>
  </si>
  <si>
    <t>monopoly</t>
  </si>
  <si>
    <t>bros</t>
  </si>
  <si>
    <t>immigrant</t>
  </si>
  <si>
    <t>back-up</t>
  </si>
  <si>
    <t>apache</t>
  </si>
  <si>
    <t>caffeine</t>
  </si>
  <si>
    <t>squeezing</t>
  </si>
  <si>
    <t>postponed</t>
  </si>
  <si>
    <t>encounters</t>
  </si>
  <si>
    <t>stuttering</t>
  </si>
  <si>
    <t>rut</t>
  </si>
  <si>
    <t>calmed</t>
  </si>
  <si>
    <t>opener</t>
  </si>
  <si>
    <t>baek</t>
  </si>
  <si>
    <t>impotent</t>
  </si>
  <si>
    <t>tabs</t>
  </si>
  <si>
    <t>franchise</t>
  </si>
  <si>
    <t>entity</t>
  </si>
  <si>
    <t>slimy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</si>
</sst>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quotePrefix="1"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/>
    </row>
    <row r="3">
      <c r="C3" s="1"/>
    </row>
    <row r="4">
      <c r="C4" s="1" t="s">
        <v>0</v>
      </c>
      <c r="D4" s="2" t="s">
        <v>1</v>
      </c>
    </row>
    <row r="5">
      <c r="C5" s="1" t="s">
        <v>2</v>
      </c>
      <c r="D5" s="3" t="str">
        <f>IFERROR(__xludf.DUMMYFUNCTION("GOOGLETRANSLATE(C5,""en"",""pl"")"),"sztuka")</f>
        <v>sztuka</v>
      </c>
    </row>
    <row r="6">
      <c r="C6" s="1" t="s">
        <v>3</v>
      </c>
      <c r="D6" s="3" t="str">
        <f>IFERROR(__xludf.DUMMYFUNCTION("GOOGLETRANSLATE(C6,""en"",""pl"")"),"harriet")</f>
        <v>harriet</v>
      </c>
    </row>
    <row r="7">
      <c r="C7" s="1" t="s">
        <v>4</v>
      </c>
      <c r="D7" s="3" t="str">
        <f>IFERROR(__xludf.DUMMYFUNCTION("GOOGLETRANSLATE(C7,""en"",""pl"")"),"generator")</f>
        <v>generator</v>
      </c>
    </row>
    <row r="8">
      <c r="C8" s="1" t="s">
        <v>5</v>
      </c>
      <c r="D8" s="3" t="str">
        <f>IFERROR(__xludf.DUMMYFUNCTION("GOOGLETRANSLATE(C8,""en"",""pl"")"),"federacja")</f>
        <v>federacja</v>
      </c>
    </row>
    <row r="9">
      <c r="C9" s="1" t="s">
        <v>6</v>
      </c>
      <c r="D9" s="3" t="str">
        <f>IFERROR(__xludf.DUMMYFUNCTION("GOOGLETRANSLATE(C9,""en"",""pl"")"),"Mulder")</f>
        <v>Mulder</v>
      </c>
    </row>
    <row r="10">
      <c r="C10" s="1" t="s">
        <v>7</v>
      </c>
      <c r="D10" s="3" t="str">
        <f>IFERROR(__xludf.DUMMYFUNCTION("GOOGLETRANSLATE(C10,""en"",""pl"")"),"areszt")</f>
        <v>areszt</v>
      </c>
    </row>
    <row r="11">
      <c r="C11" s="1" t="s">
        <v>8</v>
      </c>
      <c r="D11" s="3" t="str">
        <f>IFERROR(__xludf.DUMMYFUNCTION("GOOGLETRANSLATE(C11,""en"",""pl"")"),"techniki")</f>
        <v>techniki</v>
      </c>
    </row>
    <row r="12">
      <c r="C12" s="1" t="s">
        <v>9</v>
      </c>
      <c r="D12" s="3" t="str">
        <f>IFERROR(__xludf.DUMMYFUNCTION("GOOGLETRANSLATE(C12,""en"",""pl"")"),"pióro")</f>
        <v>pióro</v>
      </c>
    </row>
    <row r="13">
      <c r="C13" s="1" t="s">
        <v>10</v>
      </c>
      <c r="D13" s="3" t="str">
        <f>IFERROR(__xludf.DUMMYFUNCTION("GOOGLETRANSLATE(C13,""en"",""pl"")"),"wydrukowany")</f>
        <v>wydrukowany</v>
      </c>
    </row>
    <row r="14">
      <c r="C14" s="1" t="s">
        <v>11</v>
      </c>
      <c r="D14" s="3" t="str">
        <f>IFERROR(__xludf.DUMMYFUNCTION("GOOGLETRANSLATE(C14,""en"",""pl"")"),"rozwiązać")</f>
        <v>rozwiązać</v>
      </c>
    </row>
    <row r="15">
      <c r="C15" s="1" t="s">
        <v>12</v>
      </c>
      <c r="D15" s="3" t="str">
        <f>IFERROR(__xludf.DUMMYFUNCTION("GOOGLETRANSLATE(C15,""en"",""pl"")"),"Jupiter")</f>
        <v>Jupiter</v>
      </c>
    </row>
    <row r="16">
      <c r="C16" s="1" t="s">
        <v>13</v>
      </c>
      <c r="D16" s="3" t="str">
        <f>IFERROR(__xludf.DUMMYFUNCTION("GOOGLETRANSLATE(C16,""en"",""pl"")"),"siano")</f>
        <v>siano</v>
      </c>
    </row>
    <row r="17">
      <c r="C17" s="1" t="s">
        <v>14</v>
      </c>
      <c r="D17" s="3" t="str">
        <f>IFERROR(__xludf.DUMMYFUNCTION("GOOGLETRANSLATE(C17,""en"",""pl"")"),"myślistwo")</f>
        <v>myślistwo</v>
      </c>
    </row>
    <row r="18">
      <c r="C18" s="1" t="s">
        <v>15</v>
      </c>
      <c r="D18" s="3" t="str">
        <f>IFERROR(__xludf.DUMMYFUNCTION("GOOGLETRANSLATE(C18,""en"",""pl"")"),"Konrad")</f>
        <v>Konrad</v>
      </c>
    </row>
    <row r="19">
      <c r="C19" s="1" t="s">
        <v>16</v>
      </c>
      <c r="D19" s="3" t="str">
        <f>IFERROR(__xludf.DUMMYFUNCTION("GOOGLETRANSLATE(C19,""en"",""pl"")"),"fałszywy")</f>
        <v>fałszywy</v>
      </c>
    </row>
    <row r="20">
      <c r="C20" s="1" t="s">
        <v>17</v>
      </c>
      <c r="D20" s="3" t="str">
        <f>IFERROR(__xludf.DUMMYFUNCTION("GOOGLETRANSLATE(C20,""en"",""pl"")"),"Brett")</f>
        <v>Brett</v>
      </c>
    </row>
    <row r="21">
      <c r="C21" s="1" t="s">
        <v>18</v>
      </c>
      <c r="D21" s="3" t="str">
        <f>IFERROR(__xludf.DUMMYFUNCTION("GOOGLETRANSLATE(C21,""en"",""pl"")"),"walnięcie")</f>
        <v>walnięcie</v>
      </c>
    </row>
    <row r="22">
      <c r="C22" s="1" t="s">
        <v>19</v>
      </c>
      <c r="D22" s="3" t="str">
        <f>IFERROR(__xludf.DUMMYFUNCTION("GOOGLETRANSLATE(C22,""en"",""pl"")"),"zdobył punkty")</f>
        <v>zdobył punkty</v>
      </c>
    </row>
    <row r="23">
      <c r="C23" s="1" t="s">
        <v>20</v>
      </c>
      <c r="D23" s="3" t="str">
        <f>IFERROR(__xludf.DUMMYFUNCTION("GOOGLETRANSLATE(C23,""en"",""pl"")"),"kontynent")</f>
        <v>kontynent</v>
      </c>
    </row>
    <row r="24">
      <c r="C24" s="1" t="s">
        <v>21</v>
      </c>
      <c r="D24" s="3" t="str">
        <f>IFERROR(__xludf.DUMMYFUNCTION("GOOGLETRANSLATE(C24,""en"",""pl"")"),"artykuły")</f>
        <v>artykuły</v>
      </c>
    </row>
    <row r="25">
      <c r="C25" s="1" t="s">
        <v>22</v>
      </c>
      <c r="D25" s="3" t="str">
        <f>IFERROR(__xludf.DUMMYFUNCTION("GOOGLETRANSLATE(C25,""en"",""pl"")"),"Oksford")</f>
        <v>Oksford</v>
      </c>
    </row>
    <row r="26">
      <c r="C26" s="1" t="s">
        <v>23</v>
      </c>
      <c r="D26" s="3" t="str">
        <f>IFERROR(__xludf.DUMMYFUNCTION("GOOGLETRANSLATE(C26,""en"",""pl"")"),"z")</f>
        <v>z</v>
      </c>
    </row>
    <row r="27">
      <c r="C27" s="1" t="s">
        <v>24</v>
      </c>
      <c r="D27" s="3" t="str">
        <f>IFERROR(__xludf.DUMMYFUNCTION("GOOGLETRANSLATE(C27,""en"",""pl"")"),"zorganizować")</f>
        <v>zorganizować</v>
      </c>
    </row>
    <row r="28">
      <c r="C28" s="1" t="s">
        <v>25</v>
      </c>
      <c r="D28" s="3" t="str">
        <f>IFERROR(__xludf.DUMMYFUNCTION("GOOGLETRANSLATE(C28,""en"",""pl"")"),"czujniki")</f>
        <v>czujniki</v>
      </c>
    </row>
    <row r="29">
      <c r="C29" s="1" t="s">
        <v>26</v>
      </c>
      <c r="D29" s="3" t="str">
        <f>IFERROR(__xludf.DUMMYFUNCTION("GOOGLETRANSLATE(C29,""en"",""pl"")"),"Szanghaj")</f>
        <v>Szanghaj</v>
      </c>
    </row>
    <row r="30">
      <c r="C30" s="1" t="s">
        <v>27</v>
      </c>
      <c r="D30" s="3" t="str">
        <f>IFERROR(__xludf.DUMMYFUNCTION("GOOGLETRANSLATE(C30,""en"",""pl"")"),"Wh")</f>
        <v>Wh</v>
      </c>
    </row>
    <row r="31">
      <c r="C31" s="1" t="s">
        <v>28</v>
      </c>
      <c r="D31" s="3" t="str">
        <f>IFERROR(__xludf.DUMMYFUNCTION("GOOGLETRANSLATE(C31,""en"",""pl"")"),"snajper")</f>
        <v>snajper</v>
      </c>
    </row>
    <row r="32">
      <c r="C32" s="1" t="s">
        <v>29</v>
      </c>
      <c r="D32" s="3" t="str">
        <f>IFERROR(__xludf.DUMMYFUNCTION("GOOGLETRANSLATE(C32,""en"",""pl"")"),"hałaśliwy")</f>
        <v>hałaśliwy</v>
      </c>
    </row>
    <row r="33">
      <c r="C33" s="1" t="s">
        <v>30</v>
      </c>
      <c r="D33" s="3" t="str">
        <f>IFERROR(__xludf.DUMMYFUNCTION("GOOGLETRANSLATE(C33,""en"",""pl"")"),"oprawiony")</f>
        <v>oprawiony</v>
      </c>
    </row>
    <row r="34">
      <c r="C34" s="1" t="s">
        <v>31</v>
      </c>
      <c r="D34" s="3" t="str">
        <f>IFERROR(__xludf.DUMMYFUNCTION("GOOGLETRANSLATE(C34,""en"",""pl"")"),"horyzont")</f>
        <v>horyzont</v>
      </c>
    </row>
    <row r="35">
      <c r="C35" s="1" t="s">
        <v>32</v>
      </c>
      <c r="D35" s="3" t="str">
        <f>IFERROR(__xludf.DUMMYFUNCTION("GOOGLETRANSLATE(C35,""en"",""pl"")"),"zmierzch")</f>
        <v>zmierzch</v>
      </c>
    </row>
    <row r="36">
      <c r="C36" s="1" t="s">
        <v>33</v>
      </c>
      <c r="D36" s="3" t="str">
        <f>IFERROR(__xludf.DUMMYFUNCTION("GOOGLETRANSLATE(C36,""en"",""pl"")"),"odbicie")</f>
        <v>odbicie</v>
      </c>
    </row>
    <row r="37">
      <c r="C37" s="1" t="s">
        <v>34</v>
      </c>
      <c r="D37" s="3" t="str">
        <f>IFERROR(__xludf.DUMMYFUNCTION("GOOGLETRANSLATE(C37,""en"",""pl"")"),"maski")</f>
        <v>maski</v>
      </c>
    </row>
    <row r="38">
      <c r="C38" s="1" t="s">
        <v>35</v>
      </c>
      <c r="D38" s="3" t="str">
        <f>IFERROR(__xludf.DUMMYFUNCTION("GOOGLETRANSLATE(C38,""en"",""pl"")"),"ojciec chrzestny")</f>
        <v>ojciec chrzestny</v>
      </c>
    </row>
    <row r="39">
      <c r="C39" s="1" t="s">
        <v>36</v>
      </c>
      <c r="D39" s="3" t="str">
        <f>IFERROR(__xludf.DUMMYFUNCTION("GOOGLETRANSLATE(C39,""en"",""pl"")"),"kupiec")</f>
        <v>kupiec</v>
      </c>
    </row>
    <row r="40">
      <c r="C40" s="1" t="s">
        <v>37</v>
      </c>
      <c r="D40" s="3" t="str">
        <f>IFERROR(__xludf.DUMMYFUNCTION("GOOGLETRANSLATE(C40,""en"",""pl"")"),"wynagrodzenie")</f>
        <v>wynagrodzenie</v>
      </c>
    </row>
    <row r="41">
      <c r="C41" s="1" t="s">
        <v>38</v>
      </c>
      <c r="D41" s="3" t="str">
        <f>IFERROR(__xludf.DUMMYFUNCTION("GOOGLETRANSLATE(C41,""en"",""pl"")"),"szata")</f>
        <v>szata</v>
      </c>
    </row>
    <row r="42">
      <c r="C42" s="1" t="s">
        <v>39</v>
      </c>
      <c r="D42" s="3" t="str">
        <f>IFERROR(__xludf.DUMMYFUNCTION("GOOGLETRANSLATE(C42,""en"",""pl"")"),"talia")</f>
        <v>talia</v>
      </c>
    </row>
    <row r="43">
      <c r="C43" s="1" t="s">
        <v>40</v>
      </c>
      <c r="D43" s="3" t="str">
        <f>IFERROR(__xludf.DUMMYFUNCTION("GOOGLETRANSLATE(C43,""en"",""pl"")"),"śmierdzący")</f>
        <v>śmierdzący</v>
      </c>
    </row>
    <row r="44">
      <c r="C44" s="1" t="s">
        <v>41</v>
      </c>
      <c r="D44" s="3" t="str">
        <f>IFERROR(__xludf.DUMMYFUNCTION("GOOGLETRANSLATE(C44,""en"",""pl"")"),"rozczarowanie")</f>
        <v>rozczarowanie</v>
      </c>
    </row>
    <row r="45">
      <c r="C45" s="1" t="s">
        <v>42</v>
      </c>
      <c r="D45" s="3" t="str">
        <f>IFERROR(__xludf.DUMMYFUNCTION("GOOGLETRANSLATE(C45,""en"",""pl"")"),"przedsięwzięcie")</f>
        <v>przedsięwzięcie</v>
      </c>
    </row>
    <row r="46">
      <c r="C46" s="1" t="s">
        <v>43</v>
      </c>
      <c r="D46" s="3" t="str">
        <f>IFERROR(__xludf.DUMMYFUNCTION("GOOGLETRANSLATE(C46,""en"",""pl"")"),"rejs")</f>
        <v>rejs</v>
      </c>
    </row>
    <row r="47">
      <c r="C47" s="1" t="s">
        <v>44</v>
      </c>
      <c r="D47" s="3" t="str">
        <f>IFERROR(__xludf.DUMMYFUNCTION("GOOGLETRANSLATE(C47,""en"",""pl"")"),"curry")</f>
        <v>curry</v>
      </c>
    </row>
    <row r="48">
      <c r="C48" s="1" t="s">
        <v>45</v>
      </c>
      <c r="D48" s="3" t="str">
        <f>IFERROR(__xludf.DUMMYFUNCTION("GOOGLETRANSLATE(C48,""en"",""pl"")"),"złowieszczy")</f>
        <v>złowieszczy</v>
      </c>
    </row>
    <row r="49">
      <c r="C49" s="1" t="s">
        <v>46</v>
      </c>
      <c r="D49" s="3" t="str">
        <f>IFERROR(__xludf.DUMMYFUNCTION("GOOGLETRANSLATE(C49,""en"",""pl"")"),"światło słoneczne")</f>
        <v>światło słoneczne</v>
      </c>
    </row>
    <row r="50">
      <c r="C50" s="1" t="s">
        <v>47</v>
      </c>
      <c r="D50" s="3" t="str">
        <f>IFERROR(__xludf.DUMMYFUNCTION("GOOGLETRANSLATE(C50,""en"",""pl"")"),"tak")</f>
        <v>tak</v>
      </c>
    </row>
    <row r="51">
      <c r="C51" s="1" t="s">
        <v>48</v>
      </c>
      <c r="D51" s="3" t="str">
        <f>IFERROR(__xludf.DUMMYFUNCTION("GOOGLETRANSLATE(C51,""en"",""pl"")"),"za granicą")</f>
        <v>za granicą</v>
      </c>
    </row>
    <row r="52">
      <c r="C52" s="1" t="s">
        <v>49</v>
      </c>
      <c r="D52" s="3" t="str">
        <f>IFERROR(__xludf.DUMMYFUNCTION("GOOGLETRANSLATE(C52,""en"",""pl"")"),"ofiary wypadku")</f>
        <v>ofiary wypadku</v>
      </c>
    </row>
    <row r="53">
      <c r="C53" s="1" t="s">
        <v>50</v>
      </c>
      <c r="D53" s="3" t="str">
        <f>IFERROR(__xludf.DUMMYFUNCTION("GOOGLETRANSLATE(C53,""en"",""pl"")"),"aaa")</f>
        <v>aaa</v>
      </c>
    </row>
    <row r="54">
      <c r="C54" s="1" t="s">
        <v>51</v>
      </c>
      <c r="D54" s="3" t="str">
        <f>IFERROR(__xludf.DUMMYFUNCTION("GOOGLETRANSLATE(C54,""en"",""pl"")"),"materac")</f>
        <v>materac</v>
      </c>
    </row>
    <row r="55">
      <c r="C55" s="1" t="s">
        <v>52</v>
      </c>
      <c r="D55" s="3" t="str">
        <f>IFERROR(__xludf.DUMMYFUNCTION("GOOGLETRANSLATE(C55,""en"",""pl"")"),"grill")</f>
        <v>grill</v>
      </c>
    </row>
    <row r="56">
      <c r="C56" s="1" t="s">
        <v>53</v>
      </c>
      <c r="D56" s="3" t="str">
        <f>IFERROR(__xludf.DUMMYFUNCTION("GOOGLETRANSLATE(C56,""en"",""pl"")"),"marketing")</f>
        <v>marketing</v>
      </c>
    </row>
    <row r="57">
      <c r="C57" s="1" t="s">
        <v>54</v>
      </c>
      <c r="D57" s="3" t="str">
        <f>IFERROR(__xludf.DUMMYFUNCTION("GOOGLETRANSLATE(C57,""en"",""pl"")"),"akceptowanie")</f>
        <v>akceptowanie</v>
      </c>
    </row>
    <row r="58">
      <c r="C58" s="1" t="s">
        <v>55</v>
      </c>
      <c r="D58" s="3" t="str">
        <f>IFERROR(__xludf.DUMMYFUNCTION("GOOGLETRANSLATE(C58,""en"",""pl"")"),"zawód")</f>
        <v>zawód</v>
      </c>
    </row>
    <row r="59">
      <c r="C59" s="1" t="s">
        <v>56</v>
      </c>
      <c r="D59" s="3" t="str">
        <f>IFERROR(__xludf.DUMMYFUNCTION("GOOGLETRANSLATE(C59,""en"",""pl"")"),"termin ostateczny")</f>
        <v>termin ostateczny</v>
      </c>
    </row>
    <row r="60">
      <c r="C60" s="1" t="s">
        <v>57</v>
      </c>
      <c r="D60" s="3" t="str">
        <f>IFERROR(__xludf.DUMMYFUNCTION("GOOGLETRANSLATE(C60,""en"",""pl"")"),"uwolniony")</f>
        <v>uwolniony</v>
      </c>
    </row>
    <row r="61">
      <c r="C61" s="1" t="s">
        <v>58</v>
      </c>
      <c r="D61" s="3" t="str">
        <f>IFERROR(__xludf.DUMMYFUNCTION("GOOGLETRANSLATE(C61,""en"",""pl"")"),"wystawa")</f>
        <v>wystawa</v>
      </c>
    </row>
    <row r="62">
      <c r="C62" s="1" t="s">
        <v>59</v>
      </c>
      <c r="D62" s="3" t="str">
        <f>IFERROR(__xludf.DUMMYFUNCTION("GOOGLETRANSLATE(C62,""en"",""pl"")"),"wiersze")</f>
        <v>wiersze</v>
      </c>
    </row>
    <row r="63">
      <c r="C63" s="1" t="s">
        <v>60</v>
      </c>
      <c r="D63" s="3" t="str">
        <f>IFERROR(__xludf.DUMMYFUNCTION("GOOGLETRANSLATE(C63,""en"",""pl"")"),"odbijanie echem")</f>
        <v>odbijanie echem</v>
      </c>
    </row>
    <row r="64">
      <c r="C64" s="1" t="s">
        <v>61</v>
      </c>
      <c r="D64" s="3" t="str">
        <f>IFERROR(__xludf.DUMMYFUNCTION("GOOGLETRANSLATE(C64,""en"",""pl"")"),"goleń")</f>
        <v>goleń</v>
      </c>
    </row>
    <row r="65">
      <c r="C65" s="1" t="s">
        <v>62</v>
      </c>
      <c r="D65" s="3" t="str">
        <f>IFERROR(__xludf.DUMMYFUNCTION("GOOGLETRANSLATE(C65,""en"",""pl"")"),"gratulacje")</f>
        <v>gratulacje</v>
      </c>
    </row>
    <row r="66">
      <c r="C66" s="1" t="s">
        <v>63</v>
      </c>
      <c r="D66" s="3" t="str">
        <f>IFERROR(__xludf.DUMMYFUNCTION("GOOGLETRANSLATE(C66,""en"",""pl"")"),"aż")</f>
        <v>aż</v>
      </c>
    </row>
    <row r="67">
      <c r="C67" s="1" t="s">
        <v>64</v>
      </c>
      <c r="D67" s="3" t="str">
        <f>IFERROR(__xludf.DUMMYFUNCTION("GOOGLETRANSLATE(C67,""en"",""pl"")"),"określić")</f>
        <v>określić</v>
      </c>
    </row>
    <row r="68">
      <c r="C68" s="1" t="s">
        <v>65</v>
      </c>
      <c r="D68" s="3" t="str">
        <f>IFERROR(__xludf.DUMMYFUNCTION("GOOGLETRANSLATE(C68,""en"",""pl"")"),"mocz")</f>
        <v>mocz</v>
      </c>
    </row>
    <row r="69">
      <c r="C69" s="1" t="s">
        <v>66</v>
      </c>
      <c r="D69" s="3" t="str">
        <f>IFERROR(__xludf.DUMMYFUNCTION("GOOGLETRANSLATE(C69,""en"",""pl"")"),"majster")</f>
        <v>majster</v>
      </c>
    </row>
    <row r="70">
      <c r="C70" s="1" t="s">
        <v>67</v>
      </c>
      <c r="D70" s="3" t="str">
        <f>IFERROR(__xludf.DUMMYFUNCTION("GOOGLETRANSLATE(C70,""en"",""pl"")"),"twarzowy")</f>
        <v>twarzowy</v>
      </c>
    </row>
    <row r="71">
      <c r="C71" s="1" t="s">
        <v>68</v>
      </c>
      <c r="D71" s="3" t="str">
        <f>IFERROR(__xludf.DUMMYFUNCTION("GOOGLETRANSLATE(C71,""en"",""pl"")"),"rocznie.")</f>
        <v>rocznie.</v>
      </c>
    </row>
    <row r="72">
      <c r="C72" s="1" t="s">
        <v>69</v>
      </c>
      <c r="D72" s="3" t="str">
        <f>IFERROR(__xludf.DUMMYFUNCTION("GOOGLETRANSLATE(C72,""en"",""pl"")"),"łączny")</f>
        <v>łączny</v>
      </c>
    </row>
    <row r="73">
      <c r="C73" s="1" t="s">
        <v>70</v>
      </c>
      <c r="D73" s="3" t="str">
        <f>IFERROR(__xludf.DUMMYFUNCTION("GOOGLETRANSLATE(C73,""en"",""pl"")"),"Brody")</f>
        <v>Brody</v>
      </c>
    </row>
    <row r="74">
      <c r="C74" s="1" t="s">
        <v>71</v>
      </c>
      <c r="D74" s="3" t="str">
        <f>IFERROR(__xludf.DUMMYFUNCTION("GOOGLETRANSLATE(C74,""en"",""pl"")"),"staż")</f>
        <v>staż</v>
      </c>
    </row>
    <row r="75">
      <c r="C75" s="1" t="s">
        <v>72</v>
      </c>
      <c r="D75" s="3" t="str">
        <f>IFERROR(__xludf.DUMMYFUNCTION("GOOGLETRANSLATE(C75,""en"",""pl"")"),"odrzucić")</f>
        <v>odrzucić</v>
      </c>
    </row>
    <row r="76">
      <c r="C76" s="1" t="s">
        <v>73</v>
      </c>
      <c r="D76" s="3" t="str">
        <f>IFERROR(__xludf.DUMMYFUNCTION("GOOGLETRANSLATE(C76,""en"",""pl"")"),"łapie")</f>
        <v>łapie</v>
      </c>
    </row>
    <row r="77">
      <c r="C77" s="1" t="s">
        <v>74</v>
      </c>
      <c r="D77" s="3" t="str">
        <f>IFERROR(__xludf.DUMMYFUNCTION("GOOGLETRANSLATE(C77,""en"",""pl"")"),"tańce")</f>
        <v>tańce</v>
      </c>
    </row>
    <row r="78">
      <c r="C78" s="1" t="s">
        <v>75</v>
      </c>
      <c r="D78" s="3" t="str">
        <f>IFERROR(__xludf.DUMMYFUNCTION("GOOGLETRANSLATE(C78,""en"",""pl"")"),"pączek")</f>
        <v>pączek</v>
      </c>
    </row>
    <row r="79">
      <c r="C79" s="1" t="s">
        <v>76</v>
      </c>
      <c r="D79" s="3" t="str">
        <f>IFERROR(__xludf.DUMMYFUNCTION("GOOGLETRANSLATE(C79,""en"",""pl"")"),"szczypta")</f>
        <v>szczypta</v>
      </c>
    </row>
    <row r="80">
      <c r="C80" s="1" t="s">
        <v>77</v>
      </c>
      <c r="D80" s="3" t="str">
        <f>IFERROR(__xludf.DUMMYFUNCTION("GOOGLETRANSLATE(C80,""en"",""pl"")"),"składniki")</f>
        <v>składniki</v>
      </c>
    </row>
    <row r="81">
      <c r="C81" s="1" t="s">
        <v>78</v>
      </c>
      <c r="D81" s="3" t="str">
        <f>IFERROR(__xludf.DUMMYFUNCTION("GOOGLETRANSLATE(C81,""en"",""pl"")"),"dzis")</f>
        <v>dzis</v>
      </c>
    </row>
    <row r="82">
      <c r="C82" s="1" t="s">
        <v>79</v>
      </c>
      <c r="D82" s="3" t="str">
        <f>IFERROR(__xludf.DUMMYFUNCTION("GOOGLETRANSLATE(C82,""en"",""pl"")"),"huragan")</f>
        <v>huragan</v>
      </c>
    </row>
    <row r="83">
      <c r="C83" s="1" t="s">
        <v>80</v>
      </c>
      <c r="D83" s="3" t="str">
        <f>IFERROR(__xludf.DUMMYFUNCTION("GOOGLETRANSLATE(C83,""en"",""pl"")"),"czatować")</f>
        <v>czatować</v>
      </c>
    </row>
    <row r="84">
      <c r="C84" s="1" t="s">
        <v>81</v>
      </c>
      <c r="D84" s="3" t="str">
        <f>IFERROR(__xludf.DUMMYFUNCTION("GOOGLETRANSLATE(C84,""en"",""pl"")"),"mały")</f>
        <v>mały</v>
      </c>
    </row>
    <row r="85">
      <c r="C85" s="1" t="s">
        <v>82</v>
      </c>
      <c r="D85" s="3" t="str">
        <f>IFERROR(__xludf.DUMMYFUNCTION("GOOGLETRANSLATE(C85,""en"",""pl"")"),"obcas")</f>
        <v>obcas</v>
      </c>
    </row>
    <row r="86">
      <c r="C86" s="1" t="s">
        <v>83</v>
      </c>
      <c r="D86" s="3" t="str">
        <f>IFERROR(__xludf.DUMMYFUNCTION("GOOGLETRANSLATE(C86,""en"",""pl"")"),"dodawanie")</f>
        <v>dodawanie</v>
      </c>
    </row>
    <row r="87">
      <c r="C87" s="1" t="s">
        <v>84</v>
      </c>
      <c r="D87" s="3" t="str">
        <f>IFERROR(__xludf.DUMMYFUNCTION("GOOGLETRANSLATE(C87,""en"",""pl"")"),"bandyta")</f>
        <v>bandyta</v>
      </c>
    </row>
    <row r="88">
      <c r="C88" s="1" t="s">
        <v>85</v>
      </c>
      <c r="D88" s="3" t="str">
        <f>IFERROR(__xludf.DUMMYFUNCTION("GOOGLETRANSLATE(C88,""en"",""pl"")"),"przeznaczony")</f>
        <v>przeznaczony</v>
      </c>
    </row>
    <row r="89">
      <c r="C89" s="1" t="s">
        <v>86</v>
      </c>
      <c r="D89" s="3" t="str">
        <f>IFERROR(__xludf.DUMMYFUNCTION("GOOGLETRANSLATE(C89,""en"",""pl"")"),"limuzyna")</f>
        <v>limuzyna</v>
      </c>
    </row>
    <row r="90">
      <c r="C90" s="1" t="s">
        <v>87</v>
      </c>
      <c r="D90" s="3" t="str">
        <f>IFERROR(__xludf.DUMMYFUNCTION("GOOGLETRANSLATE(C90,""en"",""pl"")"),"spa")</f>
        <v>spa</v>
      </c>
    </row>
    <row r="91">
      <c r="C91" s="1" t="s">
        <v>88</v>
      </c>
      <c r="D91" s="3" t="str">
        <f>IFERROR(__xludf.DUMMYFUNCTION("GOOGLETRANSLATE(C91,""en"",""pl"")"),"groby")</f>
        <v>groby</v>
      </c>
    </row>
    <row r="92">
      <c r="C92" s="1" t="s">
        <v>89</v>
      </c>
      <c r="D92" s="3" t="str">
        <f>IFERROR(__xludf.DUMMYFUNCTION("GOOGLETRANSLATE(C92,""en"",""pl"")"),"turecki")</f>
        <v>turecki</v>
      </c>
    </row>
    <row r="93">
      <c r="C93" s="1" t="s">
        <v>90</v>
      </c>
      <c r="D93" s="3" t="str">
        <f>IFERROR(__xludf.DUMMYFUNCTION("GOOGLETRANSLATE(C93,""en"",""pl"")"),"katalogowany")</f>
        <v>katalogowany</v>
      </c>
    </row>
    <row r="94">
      <c r="C94" s="1" t="s">
        <v>91</v>
      </c>
      <c r="D94" s="3" t="str">
        <f>IFERROR(__xludf.DUMMYFUNCTION("GOOGLETRANSLATE(C94,""en"",""pl"")"),"trupy")</f>
        <v>trupy</v>
      </c>
    </row>
    <row r="95">
      <c r="C95" s="1" t="s">
        <v>92</v>
      </c>
      <c r="D95" s="3" t="str">
        <f>IFERROR(__xludf.DUMMYFUNCTION("GOOGLETRANSLATE(C95,""en"",""pl"")"),"matowy")</f>
        <v>matowy</v>
      </c>
    </row>
    <row r="96">
      <c r="C96" s="1" t="s">
        <v>93</v>
      </c>
      <c r="D96" s="3" t="str">
        <f>IFERROR(__xludf.DUMMYFUNCTION("GOOGLETRANSLATE(C96,""en"",""pl"")"),"ewakuuję")</f>
        <v>ewakuuję</v>
      </c>
    </row>
    <row r="97">
      <c r="C97" s="1" t="s">
        <v>94</v>
      </c>
      <c r="D97" s="3" t="str">
        <f>IFERROR(__xludf.DUMMYFUNCTION("GOOGLETRANSLATE(C97,""en"",""pl"")"),"publikować")</f>
        <v>publikować</v>
      </c>
    </row>
    <row r="98">
      <c r="C98" s="1" t="s">
        <v>95</v>
      </c>
      <c r="D98" s="3" t="str">
        <f>IFERROR(__xludf.DUMMYFUNCTION("GOOGLETRANSLATE(C98,""en"",""pl"")"),"Judyta")</f>
        <v>Judyta</v>
      </c>
    </row>
    <row r="99">
      <c r="C99" s="1" t="s">
        <v>96</v>
      </c>
      <c r="D99" s="3" t="str">
        <f>IFERROR(__xludf.DUMMYFUNCTION("GOOGLETRANSLATE(C99,""en"",""pl"")"),"zakazany")</f>
        <v>zakazany</v>
      </c>
    </row>
    <row r="100">
      <c r="C100" s="1" t="s">
        <v>97</v>
      </c>
      <c r="D100" s="3" t="str">
        <f>IFERROR(__xludf.DUMMYFUNCTION("GOOGLETRANSLATE(C100,""en"",""pl"")"),"pstryknięcia")</f>
        <v>pstryknięcia</v>
      </c>
    </row>
    <row r="101">
      <c r="C101" s="1" t="s">
        <v>98</v>
      </c>
      <c r="D101" s="3" t="str">
        <f>IFERROR(__xludf.DUMMYFUNCTION("GOOGLETRANSLATE(C101,""en"",""pl"")"),"policzki")</f>
        <v>policzki</v>
      </c>
    </row>
    <row r="102">
      <c r="C102" s="1" t="s">
        <v>99</v>
      </c>
      <c r="D102" s="3" t="str">
        <f>IFERROR(__xludf.DUMMYFUNCTION("GOOGLETRANSLATE(C102,""en"",""pl"")"),"przewidywać")</f>
        <v>przewidywać</v>
      </c>
    </row>
    <row r="103">
      <c r="C103" s="1" t="s">
        <v>100</v>
      </c>
      <c r="D103" s="3" t="str">
        <f>IFERROR(__xludf.DUMMYFUNCTION("GOOGLETRANSLATE(C103,""en"",""pl"")"),"Ohio")</f>
        <v>Ohio</v>
      </c>
    </row>
    <row r="104">
      <c r="C104" s="1" t="s">
        <v>101</v>
      </c>
      <c r="D104" s="3" t="str">
        <f>IFERROR(__xludf.DUMMYFUNCTION("GOOGLETRANSLATE(C104,""en"",""pl"")"),"Holandia")</f>
        <v>Holandia</v>
      </c>
    </row>
    <row r="105">
      <c r="C105" s="1" t="s">
        <v>102</v>
      </c>
      <c r="D105" s="3" t="str">
        <f>IFERROR(__xludf.DUMMYFUNCTION("GOOGLETRANSLATE(C105,""en"",""pl"")"),"konfrontować")</f>
        <v>konfrontować</v>
      </c>
    </row>
    <row r="106">
      <c r="C106" s="1" t="s">
        <v>103</v>
      </c>
      <c r="D106" s="3" t="str">
        <f>IFERROR(__xludf.DUMMYFUNCTION("GOOGLETRANSLATE(C106,""en"",""pl"")"),"całkowicie")</f>
        <v>całkowicie</v>
      </c>
    </row>
    <row r="107">
      <c r="C107" s="1" t="s">
        <v>104</v>
      </c>
      <c r="D107" s="3" t="str">
        <f>IFERROR(__xludf.DUMMYFUNCTION("GOOGLETRANSLATE(C107,""en"",""pl"")"),"kumple")</f>
        <v>kumple</v>
      </c>
    </row>
    <row r="108">
      <c r="C108" s="1" t="s">
        <v>105</v>
      </c>
      <c r="D108" s="3" t="str">
        <f>IFERROR(__xludf.DUMMYFUNCTION("GOOGLETRANSLATE(C108,""en"",""pl"")"),"piloci")</f>
        <v>piloci</v>
      </c>
    </row>
    <row r="109">
      <c r="C109" s="1" t="s">
        <v>106</v>
      </c>
      <c r="D109" s="3" t="str">
        <f>IFERROR(__xludf.DUMMYFUNCTION("GOOGLETRANSLATE(C109,""en"",""pl"")"),"hmmmm")</f>
        <v>hmmmm</v>
      </c>
    </row>
    <row r="110">
      <c r="C110" s="1" t="s">
        <v>107</v>
      </c>
      <c r="D110" s="3" t="str">
        <f>IFERROR(__xludf.DUMMYFUNCTION("GOOGLETRANSLATE(C110,""en"",""pl"")"),"Jonasz")</f>
        <v>Jonasz</v>
      </c>
    </row>
    <row r="111">
      <c r="C111" s="1" t="s">
        <v>108</v>
      </c>
      <c r="D111" s="3" t="str">
        <f>IFERROR(__xludf.DUMMYFUNCTION("GOOGLETRANSLATE(C111,""en"",""pl"")"),"ironiczny")</f>
        <v>ironiczny</v>
      </c>
    </row>
    <row r="112">
      <c r="C112" s="1" t="s">
        <v>109</v>
      </c>
      <c r="D112" s="3" t="str">
        <f>IFERROR(__xludf.DUMMYFUNCTION("GOOGLETRANSLATE(C112,""en"",""pl"")"),"ulepszony")</f>
        <v>ulepszony</v>
      </c>
    </row>
    <row r="113">
      <c r="C113" s="1" t="s">
        <v>110</v>
      </c>
      <c r="D113" s="3" t="str">
        <f>IFERROR(__xludf.DUMMYFUNCTION("GOOGLETRANSLATE(C113,""en"",""pl"")"),"pękanie")</f>
        <v>pękanie</v>
      </c>
    </row>
    <row r="114">
      <c r="C114" s="1" t="s">
        <v>111</v>
      </c>
      <c r="D114" s="3" t="str">
        <f>IFERROR(__xludf.DUMMYFUNCTION("GOOGLETRANSLATE(C114,""en"",""pl"")"),"młyny")</f>
        <v>młyny</v>
      </c>
    </row>
    <row r="115">
      <c r="C115" s="1" t="s">
        <v>112</v>
      </c>
      <c r="D115" s="3" t="str">
        <f>IFERROR(__xludf.DUMMYFUNCTION("GOOGLETRANSLATE(C115,""en"",""pl"")"),"dalej")</f>
        <v>dalej</v>
      </c>
    </row>
    <row r="116">
      <c r="C116" s="1" t="s">
        <v>113</v>
      </c>
      <c r="D116" s="3" t="str">
        <f>IFERROR(__xludf.DUMMYFUNCTION("GOOGLETRANSLATE(C116,""en"",""pl"")"),"dostarczanie")</f>
        <v>dostarczanie</v>
      </c>
    </row>
    <row r="117">
      <c r="C117" s="1" t="s">
        <v>114</v>
      </c>
      <c r="D117" s="3" t="str">
        <f>IFERROR(__xludf.DUMMYFUNCTION("GOOGLETRANSLATE(C117,""en"",""pl"")"),"szyper")</f>
        <v>szyper</v>
      </c>
    </row>
    <row r="118">
      <c r="C118" s="1" t="s">
        <v>115</v>
      </c>
      <c r="D118" s="3" t="str">
        <f>IFERROR(__xludf.DUMMYFUNCTION("GOOGLETRANSLATE(C118,""en"",""pl"")"),"pochlebiony")</f>
        <v>pochlebiony</v>
      </c>
    </row>
    <row r="119">
      <c r="C119" s="1" t="s">
        <v>116</v>
      </c>
      <c r="D119" s="3" t="str">
        <f>IFERROR(__xludf.DUMMYFUNCTION("GOOGLETRANSLATE(C119,""en"",""pl"")"),"orzech kokosowy")</f>
        <v>orzech kokosowy</v>
      </c>
    </row>
    <row r="120">
      <c r="C120" s="1" t="s">
        <v>117</v>
      </c>
      <c r="D120" s="3" t="str">
        <f>IFERROR(__xludf.DUMMYFUNCTION("GOOGLETRANSLATE(C120,""en"",""pl"")"),"uznawać")</f>
        <v>uznawać</v>
      </c>
    </row>
    <row r="121">
      <c r="C121" s="1" t="s">
        <v>118</v>
      </c>
      <c r="D121" s="3" t="str">
        <f>IFERROR(__xludf.DUMMYFUNCTION("GOOGLETRANSLATE(C121,""en"",""pl"")"),"zamyka")</f>
        <v>zamyka</v>
      </c>
    </row>
    <row r="122">
      <c r="C122" s="1" t="s">
        <v>119</v>
      </c>
      <c r="D122" s="3" t="str">
        <f>IFERROR(__xludf.DUMMYFUNCTION("GOOGLETRANSLATE(C122,""en"",""pl"")"),"Szwecja")</f>
        <v>Szwecja</v>
      </c>
    </row>
    <row r="123">
      <c r="C123" s="1" t="s">
        <v>120</v>
      </c>
      <c r="D123" s="3" t="str">
        <f>IFERROR(__xludf.DUMMYFUNCTION("GOOGLETRANSLATE(C123,""en"",""pl"")"),"hurra")</f>
        <v>hurra</v>
      </c>
    </row>
    <row r="124">
      <c r="C124" s="1" t="s">
        <v>121</v>
      </c>
      <c r="D124" s="3" t="str">
        <f>IFERROR(__xludf.DUMMYFUNCTION("GOOGLETRANSLATE(C124,""en"",""pl"")"),"łyk")</f>
        <v>łyk</v>
      </c>
    </row>
    <row r="125">
      <c r="C125" s="1" t="s">
        <v>122</v>
      </c>
      <c r="D125" s="3" t="str">
        <f>IFERROR(__xludf.DUMMYFUNCTION("GOOGLETRANSLATE(C125,""en"",""pl"")"),"błogosławieństwa")</f>
        <v>błogosławieństwa</v>
      </c>
    </row>
    <row r="126">
      <c r="C126" s="1" t="s">
        <v>123</v>
      </c>
      <c r="D126" s="3" t="str">
        <f>IFERROR(__xludf.DUMMYFUNCTION("GOOGLETRANSLATE(C126,""en"",""pl"")"),"sklep spożywczy")</f>
        <v>sklep spożywczy</v>
      </c>
    </row>
    <row r="127">
      <c r="C127" s="1" t="s">
        <v>124</v>
      </c>
      <c r="D127" s="3" t="str">
        <f>IFERROR(__xludf.DUMMYFUNCTION("GOOGLETRANSLATE(C127,""en"",""pl"")"),"terminal")</f>
        <v>terminal</v>
      </c>
    </row>
    <row r="128">
      <c r="C128" s="1" t="s">
        <v>125</v>
      </c>
      <c r="D128" s="3" t="str">
        <f>IFERROR(__xludf.DUMMYFUNCTION("GOOGLETRANSLATE(C128,""en"",""pl"")"),"parki")</f>
        <v>parki</v>
      </c>
    </row>
    <row r="129">
      <c r="C129" s="1" t="s">
        <v>126</v>
      </c>
      <c r="D129" s="3" t="str">
        <f>IFERROR(__xludf.DUMMYFUNCTION("GOOGLETRANSLATE(C129,""en"",""pl"")"),"bez znaczenia")</f>
        <v>bez znaczenia</v>
      </c>
    </row>
    <row r="130">
      <c r="C130" s="1" t="s">
        <v>127</v>
      </c>
      <c r="D130" s="3" t="str">
        <f>IFERROR(__xludf.DUMMYFUNCTION("GOOGLETRANSLATE(C130,""en"",""pl"")"),"nagrody")</f>
        <v>nagrody</v>
      </c>
    </row>
    <row r="131">
      <c r="C131" s="1" t="s">
        <v>128</v>
      </c>
      <c r="D131" s="3" t="str">
        <f>IFERROR(__xludf.DUMMYFUNCTION("GOOGLETRANSLATE(C131,""en"",""pl"")"),"znikać")</f>
        <v>znikać</v>
      </c>
    </row>
    <row r="132">
      <c r="C132" s="1" t="s">
        <v>129</v>
      </c>
      <c r="D132" s="3" t="str">
        <f>IFERROR(__xludf.DUMMYFUNCTION("GOOGLETRANSLATE(C132,""en"",""pl"")"),"wynajmowanie")</f>
        <v>wynajmowanie</v>
      </c>
    </row>
    <row r="133">
      <c r="C133" s="1" t="s">
        <v>130</v>
      </c>
      <c r="D133" s="3" t="str">
        <f>IFERROR(__xludf.DUMMYFUNCTION("GOOGLETRANSLATE(C133,""en"",""pl"")"),"Burton")</f>
        <v>Burton</v>
      </c>
    </row>
    <row r="134">
      <c r="C134" s="1" t="s">
        <v>131</v>
      </c>
      <c r="D134" s="3" t="str">
        <f>IFERROR(__xludf.DUMMYFUNCTION("GOOGLETRANSLATE(C134,""en"",""pl"")"),"opłaty")</f>
        <v>opłaty</v>
      </c>
    </row>
    <row r="135">
      <c r="C135" s="1" t="s">
        <v>132</v>
      </c>
      <c r="D135" s="3" t="str">
        <f>IFERROR(__xludf.DUMMYFUNCTION("GOOGLETRANSLATE(C135,""en"",""pl"")"),"nędzny")</f>
        <v>nędzny</v>
      </c>
    </row>
    <row r="136">
      <c r="C136" s="1" t="s">
        <v>133</v>
      </c>
      <c r="D136" s="3" t="str">
        <f>IFERROR(__xludf.DUMMYFUNCTION("GOOGLETRANSLATE(C136,""en"",""pl"")"),"Kryszna")</f>
        <v>Kryszna</v>
      </c>
    </row>
    <row r="137">
      <c r="C137" s="1" t="s">
        <v>134</v>
      </c>
      <c r="D137" s="3" t="str">
        <f>IFERROR(__xludf.DUMMYFUNCTION("GOOGLETRANSLATE(C137,""en"",""pl"")"),"dokładnie")</f>
        <v>dokładnie</v>
      </c>
    </row>
    <row r="138">
      <c r="C138" s="1" t="s">
        <v>135</v>
      </c>
      <c r="D138" s="3" t="str">
        <f>IFERROR(__xludf.DUMMYFUNCTION("GOOGLETRANSLATE(C138,""en"",""pl"")"),"wystawa")</f>
        <v>wystawa</v>
      </c>
    </row>
    <row r="139">
      <c r="C139" s="1" t="s">
        <v>136</v>
      </c>
      <c r="D139" s="3" t="str">
        <f>IFERROR(__xludf.DUMMYFUNCTION("GOOGLETRANSLATE(C139,""en"",""pl"")"),"spędza")</f>
        <v>spędza</v>
      </c>
    </row>
    <row r="140">
      <c r="C140" s="1" t="s">
        <v>137</v>
      </c>
      <c r="D140" s="3" t="str">
        <f>IFERROR(__xludf.DUMMYFUNCTION("GOOGLETRANSLATE(C140,""en"",""pl"")"),"Denver")</f>
        <v>Denver</v>
      </c>
    </row>
    <row r="141">
      <c r="C141" s="1" t="s">
        <v>138</v>
      </c>
      <c r="D141" s="3" t="str">
        <f>IFERROR(__xludf.DUMMYFUNCTION("GOOGLETRANSLATE(C141,""en"",""pl"")"),"Lata 80.")</f>
        <v>Lata 80.</v>
      </c>
    </row>
    <row r="142">
      <c r="C142" s="1" t="s">
        <v>139</v>
      </c>
      <c r="D142" s="3" t="str">
        <f>IFERROR(__xludf.DUMMYFUNCTION("GOOGLETRANSLATE(C142,""en"",""pl"")"),"zwycięzcy")</f>
        <v>zwycięzcy</v>
      </c>
    </row>
    <row r="143">
      <c r="C143" s="1" t="s">
        <v>140</v>
      </c>
      <c r="D143" s="3" t="str">
        <f>IFERROR(__xludf.DUMMYFUNCTION("GOOGLETRANSLATE(C143,""en"",""pl"")"),"Doris")</f>
        <v>Doris</v>
      </c>
    </row>
    <row r="144">
      <c r="C144" s="1" t="s">
        <v>141</v>
      </c>
      <c r="D144" s="3" t="str">
        <f>IFERROR(__xludf.DUMMYFUNCTION("GOOGLETRANSLATE(C144,""en"",""pl"")"),"Luter")</f>
        <v>Luter</v>
      </c>
    </row>
    <row r="145">
      <c r="C145" s="1" t="s">
        <v>142</v>
      </c>
      <c r="D145" s="3" t="str">
        <f>IFERROR(__xludf.DUMMYFUNCTION("GOOGLETRANSLATE(C145,""en"",""pl"")"),"zanik")</f>
        <v>zanik</v>
      </c>
    </row>
    <row r="146">
      <c r="C146" s="1" t="s">
        <v>143</v>
      </c>
      <c r="D146" s="3" t="str">
        <f>IFERROR(__xludf.DUMMYFUNCTION("GOOGLETRANSLATE(C146,""en"",""pl"")"),"Madryt")</f>
        <v>Madryt</v>
      </c>
    </row>
    <row r="147">
      <c r="C147" s="1" t="s">
        <v>144</v>
      </c>
      <c r="D147" s="3" t="str">
        <f>IFERROR(__xludf.DUMMYFUNCTION("GOOGLETRANSLATE(C147,""en"",""pl"")"),"utrzymany")</f>
        <v>utrzymany</v>
      </c>
    </row>
    <row r="148">
      <c r="C148" s="1" t="s">
        <v>145</v>
      </c>
      <c r="D148" s="3" t="str">
        <f>IFERROR(__xludf.DUMMYFUNCTION("GOOGLETRANSLATE(C148,""en"",""pl"")"),"rozmyślny")</f>
        <v>rozmyślny</v>
      </c>
    </row>
    <row r="149">
      <c r="C149" s="1" t="s">
        <v>146</v>
      </c>
      <c r="D149" s="3" t="str">
        <f>IFERROR(__xludf.DUMMYFUNCTION("GOOGLETRANSLATE(C149,""en"",""pl"")"),"królowa")</f>
        <v>królowa</v>
      </c>
    </row>
    <row r="150">
      <c r="C150" s="1" t="s">
        <v>147</v>
      </c>
      <c r="D150" s="3" t="str">
        <f>IFERROR(__xludf.DUMMYFUNCTION("GOOGLETRANSLATE(C150,""en"",""pl"")"),"supermarket")</f>
        <v>supermarket</v>
      </c>
    </row>
    <row r="151">
      <c r="C151" s="1" t="s">
        <v>148</v>
      </c>
      <c r="D151" s="3" t="str">
        <f>IFERROR(__xludf.DUMMYFUNCTION("GOOGLETRANSLATE(C151,""en"",""pl"")"),"niniejszym")</f>
        <v>niniejszym</v>
      </c>
    </row>
    <row r="152">
      <c r="C152" s="1" t="s">
        <v>149</v>
      </c>
      <c r="D152" s="3" t="str">
        <f>IFERROR(__xludf.DUMMYFUNCTION("GOOGLETRANSLATE(C152,""en"",""pl"")"),"molo")</f>
        <v>molo</v>
      </c>
    </row>
    <row r="153">
      <c r="C153" s="1" t="s">
        <v>150</v>
      </c>
      <c r="D153" s="3" t="str">
        <f>IFERROR(__xludf.DUMMYFUNCTION("GOOGLETRANSLATE(C153,""en"",""pl"")"),"krótszy")</f>
        <v>krótszy</v>
      </c>
    </row>
    <row r="154">
      <c r="C154" s="1" t="s">
        <v>151</v>
      </c>
      <c r="D154" s="3" t="str">
        <f>IFERROR(__xludf.DUMMYFUNCTION("GOOGLETRANSLATE(C154,""en"",""pl"")"),"zdrada")</f>
        <v>zdrada</v>
      </c>
    </row>
    <row r="155">
      <c r="C155" s="1" t="s">
        <v>152</v>
      </c>
      <c r="D155" s="3" t="str">
        <f>IFERROR(__xludf.DUMMYFUNCTION("GOOGLETRANSLATE(C155,""en"",""pl"")"),"Filadelfia")</f>
        <v>Filadelfia</v>
      </c>
    </row>
    <row r="156">
      <c r="C156" s="1" t="s">
        <v>153</v>
      </c>
      <c r="D156" s="3" t="str">
        <f>IFERROR(__xludf.DUMMYFUNCTION("GOOGLETRANSLATE(C156,""en"",""pl"")"),"chrześcijanie")</f>
        <v>chrześcijanie</v>
      </c>
    </row>
    <row r="157">
      <c r="C157" s="1" t="s">
        <v>154</v>
      </c>
      <c r="D157" s="3" t="str">
        <f>IFERROR(__xludf.DUMMYFUNCTION("GOOGLETRANSLATE(C157,""en"",""pl"")"),"psychologia")</f>
        <v>psychologia</v>
      </c>
    </row>
    <row r="158">
      <c r="C158" s="1" t="s">
        <v>155</v>
      </c>
      <c r="D158" s="3" t="str">
        <f>IFERROR(__xludf.DUMMYFUNCTION("GOOGLETRANSLATE(C158,""en"",""pl"")"),"daniella")</f>
        <v>daniella</v>
      </c>
    </row>
    <row r="159">
      <c r="C159" s="1" t="s">
        <v>156</v>
      </c>
      <c r="D159" s="3" t="str">
        <f>IFERROR(__xludf.DUMMYFUNCTION("GOOGLETRANSLATE(C159,""en"",""pl"")"),"trenować")</f>
        <v>trenować</v>
      </c>
    </row>
    <row r="160">
      <c r="C160" s="1" t="s">
        <v>157</v>
      </c>
      <c r="D160" s="3" t="str">
        <f>IFERROR(__xludf.DUMMYFUNCTION("GOOGLETRANSLATE(C160,""en"",""pl"")"),"opiekun")</f>
        <v>opiekun</v>
      </c>
    </row>
    <row r="161">
      <c r="C161" s="1" t="s">
        <v>158</v>
      </c>
      <c r="D161" s="3" t="str">
        <f>IFERROR(__xludf.DUMMYFUNCTION("GOOGLETRANSLATE(C161,""en"",""pl"")"),"detroit")</f>
        <v>detroit</v>
      </c>
    </row>
    <row r="162">
      <c r="C162" s="1" t="s">
        <v>159</v>
      </c>
      <c r="D162" s="3" t="str">
        <f>IFERROR(__xludf.DUMMYFUNCTION("GOOGLETRANSLATE(C162,""en"",""pl"")"),"kanadyjski")</f>
        <v>kanadyjski</v>
      </c>
    </row>
    <row r="163">
      <c r="C163" s="1" t="s">
        <v>160</v>
      </c>
      <c r="D163" s="3" t="str">
        <f>IFERROR(__xludf.DUMMYFUNCTION("GOOGLETRANSLATE(C163,""en"",""pl"")"),"su")</f>
        <v>su</v>
      </c>
    </row>
    <row r="164">
      <c r="C164" s="1" t="s">
        <v>161</v>
      </c>
      <c r="D164" s="3" t="str">
        <f>IFERROR(__xludf.DUMMYFUNCTION("GOOGLETRANSLATE(C164,""en"",""pl"")"),"współpracownicy")</f>
        <v>współpracownicy</v>
      </c>
    </row>
    <row r="165">
      <c r="C165" s="1" t="s">
        <v>162</v>
      </c>
      <c r="D165" s="3" t="str">
        <f>IFERROR(__xludf.DUMMYFUNCTION("GOOGLETRANSLATE(C165,""en"",""pl"")"),"gerry")</f>
        <v>gerry</v>
      </c>
    </row>
    <row r="166">
      <c r="C166" s="1" t="s">
        <v>163</v>
      </c>
      <c r="D166" s="3" t="str">
        <f>IFERROR(__xludf.DUMMYFUNCTION("GOOGLETRANSLATE(C166,""en"",""pl"")"),"niespokojny")</f>
        <v>niespokojny</v>
      </c>
    </row>
    <row r="167">
      <c r="C167" s="1" t="s">
        <v>164</v>
      </c>
      <c r="D167" s="3" t="str">
        <f>IFERROR(__xludf.DUMMYFUNCTION("GOOGLETRANSLATE(C167,""en"",""pl"")"),"kolektor")</f>
        <v>kolektor</v>
      </c>
    </row>
    <row r="168">
      <c r="C168" s="1" t="s">
        <v>165</v>
      </c>
      <c r="D168" s="3" t="str">
        <f>IFERROR(__xludf.DUMMYFUNCTION("GOOGLETRANSLATE(C168,""en"",""pl"")"),"cudowny")</f>
        <v>cudowny</v>
      </c>
    </row>
    <row r="169">
      <c r="C169" s="1" t="s">
        <v>166</v>
      </c>
      <c r="D169" s="3" t="str">
        <f>IFERROR(__xludf.DUMMYFUNCTION("GOOGLETRANSLATE(C169,""en"",""pl"")"),"lekarz")</f>
        <v>lekarz</v>
      </c>
    </row>
    <row r="170">
      <c r="C170" s="1" t="s">
        <v>167</v>
      </c>
      <c r="D170" s="3" t="str">
        <f>IFERROR(__xludf.DUMMYFUNCTION("GOOGLETRANSLATE(C170,""en"",""pl"")"),"narażenie")</f>
        <v>narażenie</v>
      </c>
    </row>
    <row r="171">
      <c r="C171" s="1" t="s">
        <v>168</v>
      </c>
      <c r="D171" s="3" t="str">
        <f>IFERROR(__xludf.DUMMYFUNCTION("GOOGLETRANSLATE(C171,""en"",""pl"")"),"uraza")</f>
        <v>uraza</v>
      </c>
    </row>
    <row r="172">
      <c r="C172" s="1" t="s">
        <v>169</v>
      </c>
      <c r="D172" s="3" t="str">
        <f>IFERROR(__xludf.DUMMYFUNCTION("GOOGLETRANSLATE(C172,""en"",""pl"")"),"pokrywa")</f>
        <v>pokrywa</v>
      </c>
    </row>
    <row r="173">
      <c r="C173" s="1" t="s">
        <v>170</v>
      </c>
      <c r="D173" s="3" t="str">
        <f>IFERROR(__xludf.DUMMYFUNCTION("GOOGLETRANSLATE(C173,""en"",""pl"")"),"świta")</f>
        <v>świta</v>
      </c>
    </row>
    <row r="174">
      <c r="C174" s="1" t="s">
        <v>171</v>
      </c>
      <c r="D174" s="3" t="str">
        <f>IFERROR(__xludf.DUMMYFUNCTION("GOOGLETRANSLATE(C174,""en"",""pl"")"),"blask")</f>
        <v>blask</v>
      </c>
    </row>
    <row r="175">
      <c r="C175" s="1" t="s">
        <v>172</v>
      </c>
      <c r="D175" s="3" t="str">
        <f>IFERROR(__xludf.DUMMYFUNCTION("GOOGLETRANSLATE(C175,""en"",""pl"")"),"podwodny")</f>
        <v>podwodny</v>
      </c>
    </row>
    <row r="176">
      <c r="C176" s="1" t="s">
        <v>173</v>
      </c>
      <c r="D176" s="3" t="str">
        <f>IFERROR(__xludf.DUMMYFUNCTION("GOOGLETRANSLATE(C176,""en"",""pl"")"),"miasta")</f>
        <v>miasta</v>
      </c>
    </row>
    <row r="177">
      <c r="C177" s="1" t="s">
        <v>174</v>
      </c>
      <c r="D177" s="3" t="str">
        <f>IFERROR(__xludf.DUMMYFUNCTION("GOOGLETRANSLATE(C177,""en"",""pl"")"),"pionek")</f>
        <v>pionek</v>
      </c>
    </row>
    <row r="178">
      <c r="C178" s="1" t="s">
        <v>175</v>
      </c>
      <c r="D178" s="3" t="str">
        <f>IFERROR(__xludf.DUMMYFUNCTION("GOOGLETRANSLATE(C178,""en"",""pl"")"),"Edyta")</f>
        <v>Edyta</v>
      </c>
    </row>
    <row r="179">
      <c r="C179" s="1" t="s">
        <v>176</v>
      </c>
      <c r="D179" s="3" t="str">
        <f>IFERROR(__xludf.DUMMYFUNCTION("GOOGLETRANSLATE(C179,""en"",""pl"")"),"obejmuje")</f>
        <v>obejmuje</v>
      </c>
    </row>
    <row r="180">
      <c r="C180" s="1" t="s">
        <v>177</v>
      </c>
      <c r="D180" s="3" t="str">
        <f>IFERROR(__xludf.DUMMYFUNCTION("GOOGLETRANSLATE(C180,""en"",""pl"")"),"kocham")</f>
        <v>kocham</v>
      </c>
    </row>
    <row r="181">
      <c r="C181" s="1" t="s">
        <v>178</v>
      </c>
      <c r="D181" s="3" t="str">
        <f>IFERROR(__xludf.DUMMYFUNCTION("GOOGLETRANSLATE(C181,""en"",""pl"")"),"propozycja")</f>
        <v>propozycja</v>
      </c>
    </row>
    <row r="182">
      <c r="C182" s="1" t="s">
        <v>179</v>
      </c>
      <c r="D182" s="3" t="str">
        <f>IFERROR(__xludf.DUMMYFUNCTION("GOOGLETRANSLATE(C182,""en"",""pl"")"),"żartowniś")</f>
        <v>żartowniś</v>
      </c>
    </row>
    <row r="183">
      <c r="C183" s="1" t="s">
        <v>180</v>
      </c>
      <c r="D183" s="3" t="str">
        <f>IFERROR(__xludf.DUMMYFUNCTION("GOOGLETRANSLATE(C183,""en"",""pl"")"),"rozlany")</f>
        <v>rozlany</v>
      </c>
    </row>
    <row r="184">
      <c r="C184" s="1" t="s">
        <v>181</v>
      </c>
      <c r="D184" s="3" t="str">
        <f>IFERROR(__xludf.DUMMYFUNCTION("GOOGLETRANSLATE(C184,""en"",""pl"")"),"sprzeciw")</f>
        <v>sprzeciw</v>
      </c>
    </row>
    <row r="185">
      <c r="C185" s="1" t="s">
        <v>182</v>
      </c>
      <c r="D185" s="3" t="str">
        <f>IFERROR(__xludf.DUMMYFUNCTION("GOOGLETRANSLATE(C185,""en"",""pl"")"),"jango")</f>
        <v>jango</v>
      </c>
    </row>
    <row r="186">
      <c r="C186" s="1" t="s">
        <v>183</v>
      </c>
      <c r="D186" s="3" t="str">
        <f>IFERROR(__xludf.DUMMYFUNCTION("GOOGLETRANSLATE(C186,""en"",""pl"")"),"Haley")</f>
        <v>Haley</v>
      </c>
    </row>
    <row r="187">
      <c r="C187" s="1" t="s">
        <v>184</v>
      </c>
      <c r="D187" s="3" t="str">
        <f>IFERROR(__xludf.DUMMYFUNCTION("GOOGLETRANSLATE(C187,""en"",""pl"")"),"wąż gumowy")</f>
        <v>wąż gumowy</v>
      </c>
    </row>
    <row r="188">
      <c r="C188" s="1" t="s">
        <v>185</v>
      </c>
      <c r="D188" s="3" t="str">
        <f>IFERROR(__xludf.DUMMYFUNCTION("GOOGLETRANSLATE(C188,""en"",""pl"")"),"współpraca")</f>
        <v>współpraca</v>
      </c>
    </row>
    <row r="189">
      <c r="C189" s="1" t="s">
        <v>186</v>
      </c>
      <c r="D189" s="3" t="str">
        <f>IFERROR(__xludf.DUMMYFUNCTION("GOOGLETRANSLATE(C189,""en"",""pl"")"),"USA")</f>
        <v>USA</v>
      </c>
    </row>
    <row r="190">
      <c r="C190" s="1" t="s">
        <v>187</v>
      </c>
      <c r="D190" s="3" t="str">
        <f>IFERROR(__xludf.DUMMYFUNCTION("GOOGLETRANSLATE(C190,""en"",""pl"")"),"Tymek")</f>
        <v>Tymek</v>
      </c>
    </row>
    <row r="191">
      <c r="C191" s="1" t="s">
        <v>188</v>
      </c>
      <c r="D191" s="3" t="str">
        <f>IFERROR(__xludf.DUMMYFUNCTION("GOOGLETRANSLATE(C191,""en"",""pl"")"),"oddycha")</f>
        <v>oddycha</v>
      </c>
    </row>
    <row r="192">
      <c r="C192" s="1" t="s">
        <v>189</v>
      </c>
      <c r="D192" s="3" t="str">
        <f>IFERROR(__xludf.DUMMYFUNCTION("GOOGLETRANSLATE(C192,""en"",""pl"")"),"ups")</f>
        <v>ups</v>
      </c>
    </row>
    <row r="193">
      <c r="C193" s="1" t="s">
        <v>190</v>
      </c>
      <c r="D193" s="3" t="str">
        <f>IFERROR(__xludf.DUMMYFUNCTION("GOOGLETRANSLATE(C193,""en"",""pl"")"),"astronauta")</f>
        <v>astronauta</v>
      </c>
    </row>
    <row r="194">
      <c r="C194" s="1" t="s">
        <v>191</v>
      </c>
      <c r="D194" s="3" t="str">
        <f>IFERROR(__xludf.DUMMYFUNCTION("GOOGLETRANSLATE(C194,""en"",""pl"")"),"ganek")</f>
        <v>ganek</v>
      </c>
    </row>
    <row r="195">
      <c r="C195" s="1" t="s">
        <v>192</v>
      </c>
      <c r="D195" s="3" t="str">
        <f>IFERROR(__xludf.DUMMYFUNCTION("GOOGLETRANSLATE(C195,""en"",""pl"")"),"Leonardo")</f>
        <v>Leonardo</v>
      </c>
    </row>
    <row r="196">
      <c r="C196" s="1" t="s">
        <v>193</v>
      </c>
      <c r="D196" s="3" t="str">
        <f>IFERROR(__xludf.DUMMYFUNCTION("GOOGLETRANSLATE(C196,""en"",""pl"")"),"odpowiadanie")</f>
        <v>odpowiadanie</v>
      </c>
    </row>
    <row r="197">
      <c r="C197" s="1" t="s">
        <v>194</v>
      </c>
      <c r="D197" s="3" t="str">
        <f>IFERROR(__xludf.DUMMYFUNCTION("GOOGLETRANSLATE(C197,""en"",""pl"")"),"życzyć")</f>
        <v>życzyć</v>
      </c>
    </row>
    <row r="198">
      <c r="C198" s="1" t="s">
        <v>195</v>
      </c>
      <c r="D198" s="3" t="str">
        <f>IFERROR(__xludf.DUMMYFUNCTION("GOOGLETRANSLATE(C198,""en"",""pl"")"),"gotować")</f>
        <v>gotować</v>
      </c>
    </row>
    <row r="199">
      <c r="C199" s="1" t="s">
        <v>196</v>
      </c>
      <c r="D199" s="3" t="str">
        <f>IFERROR(__xludf.DUMMYFUNCTION("GOOGLETRANSLATE(C199,""en"",""pl"")"),"klęczeć")</f>
        <v>klęczeć</v>
      </c>
    </row>
    <row r="200">
      <c r="C200" s="1" t="s">
        <v>197</v>
      </c>
      <c r="D200" s="3" t="str">
        <f>IFERROR(__xludf.DUMMYFUNCTION("GOOGLETRANSLATE(C200,""en"",""pl"")"),"tami")</f>
        <v>tami</v>
      </c>
    </row>
    <row r="201">
      <c r="C201" s="1" t="s">
        <v>198</v>
      </c>
      <c r="D201" s="3" t="str">
        <f>IFERROR(__xludf.DUMMYFUNCTION("GOOGLETRANSLATE(C201,""en"",""pl"")"),"niezdarny")</f>
        <v>niezdarny</v>
      </c>
    </row>
    <row r="202">
      <c r="C202" s="1" t="s">
        <v>199</v>
      </c>
      <c r="D202" s="3" t="str">
        <f>IFERROR(__xludf.DUMMYFUNCTION("GOOGLETRANSLATE(C202,""en"",""pl"")"),"szybki")</f>
        <v>szybki</v>
      </c>
    </row>
    <row r="203">
      <c r="C203" s="1" t="s">
        <v>200</v>
      </c>
      <c r="D203" s="3" t="str">
        <f>IFERROR(__xludf.DUMMYFUNCTION("GOOGLETRANSLATE(C203,""en"",""pl"")"),"xiao")</f>
        <v>xiao</v>
      </c>
    </row>
    <row r="204">
      <c r="C204" s="1" t="s">
        <v>201</v>
      </c>
      <c r="D204" s="3" t="str">
        <f>IFERROR(__xludf.DUMMYFUNCTION("GOOGLETRANSLATE(C204,""en"",""pl"")"),"Stevens")</f>
        <v>Stevens</v>
      </c>
    </row>
    <row r="205">
      <c r="C205" s="1" t="s">
        <v>202</v>
      </c>
      <c r="D205" s="3" t="str">
        <f>IFERROR(__xludf.DUMMYFUNCTION("GOOGLETRANSLATE(C205,""en"",""pl"")"),"zainwestowany")</f>
        <v>zainwestowany</v>
      </c>
    </row>
    <row r="206">
      <c r="C206" s="1" t="s">
        <v>203</v>
      </c>
      <c r="D206" s="3" t="str">
        <f>IFERROR(__xludf.DUMMYFUNCTION("GOOGLETRANSLATE(C206,""en"",""pl"")"),"Janice")</f>
        <v>Janice</v>
      </c>
    </row>
    <row r="207">
      <c r="C207" s="1" t="s">
        <v>204</v>
      </c>
      <c r="D207" s="3" t="str">
        <f>IFERROR(__xludf.DUMMYFUNCTION("GOOGLETRANSLATE(C207,""en"",""pl"")"),"wałek")</f>
        <v>wałek</v>
      </c>
    </row>
    <row r="208">
      <c r="C208" s="1" t="s">
        <v>205</v>
      </c>
      <c r="D208" s="3" t="str">
        <f>IFERROR(__xludf.DUMMYFUNCTION("GOOGLETRANSLATE(C208,""en"",""pl"")"),"tajski")</f>
        <v>tajski</v>
      </c>
    </row>
    <row r="209">
      <c r="C209" s="1" t="s">
        <v>206</v>
      </c>
      <c r="D209" s="3" t="str">
        <f>IFERROR(__xludf.DUMMYFUNCTION("GOOGLETRANSLATE(C209,""en"",""pl"")"),"uzasadniać")</f>
        <v>uzasadniać</v>
      </c>
    </row>
    <row r="210">
      <c r="C210" s="1" t="s">
        <v>207</v>
      </c>
      <c r="D210" s="3" t="str">
        <f>IFERROR(__xludf.DUMMYFUNCTION("GOOGLETRANSLATE(C210,""en"",""pl"")"),"czosnek")</f>
        <v>czosnek</v>
      </c>
    </row>
    <row r="211">
      <c r="C211" s="1" t="s">
        <v>208</v>
      </c>
      <c r="D211" s="3" t="str">
        <f>IFERROR(__xludf.DUMMYFUNCTION("GOOGLETRANSLATE(C211,""en"",""pl"")"),"krzyknął")</f>
        <v>krzyknął</v>
      </c>
    </row>
    <row r="212">
      <c r="C212" s="1" t="s">
        <v>209</v>
      </c>
      <c r="D212" s="3" t="str">
        <f>IFERROR(__xludf.DUMMYFUNCTION("GOOGLETRANSLATE(C212,""en"",""pl"")"),"Szymon")</f>
        <v>Szymon</v>
      </c>
    </row>
    <row r="213">
      <c r="C213" s="1" t="s">
        <v>210</v>
      </c>
      <c r="D213" s="3" t="str">
        <f>IFERROR(__xludf.DUMMYFUNCTION("GOOGLETRANSLATE(C213,""en"",""pl"")"),"amunicja")</f>
        <v>amunicja</v>
      </c>
    </row>
    <row r="214">
      <c r="C214" s="1" t="s">
        <v>211</v>
      </c>
      <c r="D214" s="3" t="str">
        <f>IFERROR(__xludf.DUMMYFUNCTION("GOOGLETRANSLATE(C214,""en"",""pl"")"),"sushi")</f>
        <v>sushi</v>
      </c>
    </row>
    <row r="215">
      <c r="C215" s="1" t="s">
        <v>212</v>
      </c>
      <c r="D215" s="3" t="str">
        <f>IFERROR(__xludf.DUMMYFUNCTION("GOOGLETRANSLATE(C215,""en"",""pl"")"),"wał")</f>
        <v>wał</v>
      </c>
    </row>
    <row r="216">
      <c r="C216" s="1" t="s">
        <v>213</v>
      </c>
      <c r="D216" s="3" t="str">
        <f>IFERROR(__xludf.DUMMYFUNCTION("GOOGLETRANSLATE(C216,""en"",""pl"")"),"definicja")</f>
        <v>definicja</v>
      </c>
    </row>
    <row r="217">
      <c r="C217" s="1" t="s">
        <v>214</v>
      </c>
      <c r="D217" s="3" t="str">
        <f>IFERROR(__xludf.DUMMYFUNCTION("GOOGLETRANSLATE(C217,""en"",""pl"")"),"ogród botaniczny")</f>
        <v>ogród botaniczny</v>
      </c>
    </row>
    <row r="218">
      <c r="C218" s="1" t="s">
        <v>215</v>
      </c>
      <c r="D218" s="3" t="str">
        <f>IFERROR(__xludf.DUMMYFUNCTION("GOOGLETRANSLATE(C218,""en"",""pl"")"),"kupiec")</f>
        <v>kupiec</v>
      </c>
    </row>
    <row r="219">
      <c r="C219" s="1" t="s">
        <v>216</v>
      </c>
      <c r="D219" s="3" t="str">
        <f>IFERROR(__xludf.DUMMYFUNCTION("GOOGLETRANSLATE(C219,""en"",""pl"")"),"nie")</f>
        <v>nie</v>
      </c>
    </row>
    <row r="220">
      <c r="C220" s="1" t="s">
        <v>217</v>
      </c>
      <c r="D220" s="3" t="str">
        <f>IFERROR(__xludf.DUMMYFUNCTION("GOOGLETRANSLATE(C220,""en"",""pl"")"),"notyfikować")</f>
        <v>notyfikować</v>
      </c>
    </row>
    <row r="221">
      <c r="C221" s="1" t="s">
        <v>218</v>
      </c>
      <c r="D221" s="3" t="str">
        <f>IFERROR(__xludf.DUMMYFUNCTION("GOOGLETRANSLATE(C221,""en"",""pl"")"),"bradzo")</f>
        <v>bradzo</v>
      </c>
    </row>
    <row r="222">
      <c r="C222" s="1" t="s">
        <v>219</v>
      </c>
      <c r="D222" s="3" t="str">
        <f>IFERROR(__xludf.DUMMYFUNCTION("GOOGLETRANSLATE(C222,""en"",""pl"")"),"bestie")</f>
        <v>bestie</v>
      </c>
    </row>
    <row r="223">
      <c r="C223" s="1" t="s">
        <v>220</v>
      </c>
      <c r="D223" s="3" t="str">
        <f>IFERROR(__xludf.DUMMYFUNCTION("GOOGLETRANSLATE(C223,""en"",""pl"")"),"organizować coś")</f>
        <v>organizować coś</v>
      </c>
    </row>
    <row r="224">
      <c r="C224" s="1" t="s">
        <v>221</v>
      </c>
      <c r="D224" s="3" t="str">
        <f>IFERROR(__xludf.DUMMYFUNCTION("GOOGLETRANSLATE(C224,""en"",""pl"")"),"chciwość")</f>
        <v>chciwość</v>
      </c>
    </row>
    <row r="225">
      <c r="C225" s="1" t="s">
        <v>222</v>
      </c>
      <c r="D225" s="3" t="str">
        <f>IFERROR(__xludf.DUMMYFUNCTION("GOOGLETRANSLATE(C225,""en"",""pl"")"),"odważył się")</f>
        <v>odważył się</v>
      </c>
    </row>
    <row r="226">
      <c r="C226" s="1" t="s">
        <v>223</v>
      </c>
      <c r="D226" s="3" t="str">
        <f>IFERROR(__xludf.DUMMYFUNCTION("GOOGLETRANSLATE(C226,""en"",""pl"")"),"pechowy")</f>
        <v>pechowy</v>
      </c>
    </row>
    <row r="227">
      <c r="C227" s="1" t="s">
        <v>224</v>
      </c>
      <c r="D227" s="3" t="str">
        <f>IFERROR(__xludf.DUMMYFUNCTION("GOOGLETRANSLATE(C227,""en"",""pl"")"),"klasa")</f>
        <v>klasa</v>
      </c>
    </row>
    <row r="228">
      <c r="C228" s="1" t="s">
        <v>225</v>
      </c>
      <c r="D228" s="3" t="str">
        <f>IFERROR(__xludf.DUMMYFUNCTION("GOOGLETRANSLATE(C228,""en"",""pl"")"),"traktat")</f>
        <v>traktat</v>
      </c>
    </row>
    <row r="229">
      <c r="C229" s="1" t="s">
        <v>226</v>
      </c>
      <c r="D229" s="3" t="str">
        <f>IFERROR(__xludf.DUMMYFUNCTION("GOOGLETRANSLATE(C229,""en"",""pl"")"),"wycieczka")</f>
        <v>wycieczka</v>
      </c>
    </row>
    <row r="230">
      <c r="C230" s="1" t="s">
        <v>227</v>
      </c>
      <c r="D230" s="3" t="str">
        <f>IFERROR(__xludf.DUMMYFUNCTION("GOOGLETRANSLATE(C230,""en"",""pl"")"),"sztylet")</f>
        <v>sztylet</v>
      </c>
    </row>
    <row r="231">
      <c r="C231" s="1" t="s">
        <v>228</v>
      </c>
      <c r="D231" s="3" t="str">
        <f>IFERROR(__xludf.DUMMYFUNCTION("GOOGLETRANSLATE(C231,""en"",""pl"")"),"kręgosłup")</f>
        <v>kręgosłup</v>
      </c>
    </row>
    <row r="232">
      <c r="C232" s="1" t="s">
        <v>229</v>
      </c>
      <c r="D232" s="3" t="str">
        <f>IFERROR(__xludf.DUMMYFUNCTION("GOOGLETRANSLATE(C232,""en"",""pl"")"),"wykryć")</f>
        <v>wykryć</v>
      </c>
    </row>
    <row r="233">
      <c r="C233" s="1" t="s">
        <v>230</v>
      </c>
      <c r="D233" s="3" t="str">
        <f>IFERROR(__xludf.DUMMYFUNCTION("GOOGLETRANSLATE(C233,""en"",""pl"")"),"chow")</f>
        <v>chow</v>
      </c>
    </row>
    <row r="234">
      <c r="C234" s="1" t="s">
        <v>231</v>
      </c>
      <c r="D234" s="3" t="str">
        <f>IFERROR(__xludf.DUMMYFUNCTION("GOOGLETRANSLATE(C234,""en"",""pl"")"),"des")</f>
        <v>des</v>
      </c>
    </row>
    <row r="235">
      <c r="C235" s="1" t="s">
        <v>232</v>
      </c>
      <c r="D235" s="3" t="str">
        <f>IFERROR(__xludf.DUMMYFUNCTION("GOOGLETRANSLATE(C235,""en"",""pl"")"),"nastolatki")</f>
        <v>nastolatki</v>
      </c>
    </row>
    <row r="236">
      <c r="C236" s="1" t="s">
        <v>233</v>
      </c>
      <c r="D236" s="3" t="str">
        <f>IFERROR(__xludf.DUMMYFUNCTION("GOOGLETRANSLATE(C236,""en"",""pl"")"),"pismo")</f>
        <v>pismo</v>
      </c>
    </row>
    <row r="237">
      <c r="C237" s="1" t="s">
        <v>234</v>
      </c>
      <c r="D237" s="3" t="str">
        <f>IFERROR(__xludf.DUMMYFUNCTION("GOOGLETRANSLATE(C237,""en"",""pl"")"),"kpina")</f>
        <v>kpina</v>
      </c>
    </row>
    <row r="238">
      <c r="C238" s="1" t="s">
        <v>235</v>
      </c>
      <c r="D238" s="3" t="str">
        <f>IFERROR(__xludf.DUMMYFUNCTION("GOOGLETRANSLATE(C238,""en"",""pl"")"),"wyzywający")</f>
        <v>wyzywający</v>
      </c>
    </row>
    <row r="239">
      <c r="C239" s="1" t="s">
        <v>236</v>
      </c>
      <c r="D239" s="3" t="str">
        <f>IFERROR(__xludf.DUMMYFUNCTION("GOOGLETRANSLATE(C239,""en"",""pl"")"),"salon")</f>
        <v>salon</v>
      </c>
    </row>
    <row r="240">
      <c r="C240" s="1" t="s">
        <v>237</v>
      </c>
      <c r="D240" s="3" t="str">
        <f>IFERROR(__xludf.DUMMYFUNCTION("GOOGLETRANSLATE(C240,""en"",""pl"")"),"cnota")</f>
        <v>cnota</v>
      </c>
    </row>
    <row r="241">
      <c r="C241" s="1" t="s">
        <v>238</v>
      </c>
      <c r="D241" s="3" t="str">
        <f>IFERROR(__xludf.DUMMYFUNCTION("GOOGLETRANSLATE(C241,""en"",""pl"")"),"proces sądowy")</f>
        <v>proces sądowy</v>
      </c>
    </row>
    <row r="242">
      <c r="C242" s="1" t="s">
        <v>239</v>
      </c>
      <c r="D242" s="3" t="str">
        <f>IFERROR(__xludf.DUMMYFUNCTION("GOOGLETRANSLATE(C242,""en"",""pl"")"),"muszla")</f>
        <v>muszla</v>
      </c>
    </row>
    <row r="243">
      <c r="C243" s="1" t="s">
        <v>240</v>
      </c>
      <c r="D243" s="3" t="str">
        <f>IFERROR(__xludf.DUMMYFUNCTION("GOOGLETRANSLATE(C243,""en"",""pl"")"),"klaskać")</f>
        <v>klaskać</v>
      </c>
    </row>
    <row r="244">
      <c r="C244" s="1" t="s">
        <v>241</v>
      </c>
      <c r="D244" s="3" t="str">
        <f>IFERROR(__xludf.DUMMYFUNCTION("GOOGLETRANSLATE(C244,""en"",""pl"")"),"wąsy")</f>
        <v>wąsy</v>
      </c>
    </row>
    <row r="245">
      <c r="C245" s="1" t="s">
        <v>242</v>
      </c>
      <c r="D245" s="3" t="str">
        <f>IFERROR(__xludf.DUMMYFUNCTION("GOOGLETRANSLATE(C245,""en"",""pl"")"),"wykroczenie")</f>
        <v>wykroczenie</v>
      </c>
    </row>
    <row r="246">
      <c r="C246" s="1" t="s">
        <v>243</v>
      </c>
      <c r="D246" s="3" t="str">
        <f>IFERROR(__xludf.DUMMYFUNCTION("GOOGLETRANSLATE(C246,""en"",""pl"")"),"średni")</f>
        <v>średni</v>
      </c>
    </row>
    <row r="247">
      <c r="C247" s="1" t="s">
        <v>244</v>
      </c>
      <c r="D247" s="3" t="str">
        <f>IFERROR(__xludf.DUMMYFUNCTION("GOOGLETRANSLATE(C247,""en"",""pl"")"),"sułtan")</f>
        <v>sułtan</v>
      </c>
    </row>
    <row r="248">
      <c r="C248" s="1" t="s">
        <v>245</v>
      </c>
      <c r="D248" s="3" t="str">
        <f>IFERROR(__xludf.DUMMYFUNCTION("GOOGLETRANSLATE(C248,""en"",""pl"")"),"atrakcja")</f>
        <v>atrakcja</v>
      </c>
    </row>
    <row r="249">
      <c r="C249" s="1" t="s">
        <v>246</v>
      </c>
      <c r="D249" s="3" t="str">
        <f>IFERROR(__xludf.DUMMYFUNCTION("GOOGLETRANSLATE(C249,""en"",""pl"")"),"francuski")</f>
        <v>francuski</v>
      </c>
    </row>
    <row r="250">
      <c r="C250" s="1" t="s">
        <v>247</v>
      </c>
      <c r="D250" s="3" t="str">
        <f>IFERROR(__xludf.DUMMYFUNCTION("GOOGLETRANSLATE(C250,""en"",""pl"")"),"sądy")</f>
        <v>sądy</v>
      </c>
    </row>
    <row r="251">
      <c r="C251" s="1" t="s">
        <v>248</v>
      </c>
      <c r="D251" s="3" t="str">
        <f>IFERROR(__xludf.DUMMYFUNCTION("GOOGLETRANSLATE(C251,""en"",""pl"")"),"twierdza")</f>
        <v>twierdza</v>
      </c>
    </row>
    <row r="252">
      <c r="C252" s="1" t="s">
        <v>249</v>
      </c>
      <c r="D252" s="3" t="str">
        <f>IFERROR(__xludf.DUMMYFUNCTION("GOOGLETRANSLATE(C252,""en"",""pl"")"),"kawiarnia")</f>
        <v>kawiarnia</v>
      </c>
    </row>
    <row r="253">
      <c r="C253" s="1" t="s">
        <v>250</v>
      </c>
      <c r="D253" s="3" t="str">
        <f>IFERROR(__xludf.DUMMYFUNCTION("GOOGLETRANSLATE(C253,""en"",""pl"")"),"obierać")</f>
        <v>obierać</v>
      </c>
    </row>
    <row r="254">
      <c r="C254" s="1" t="s">
        <v>251</v>
      </c>
      <c r="D254" s="3" t="str">
        <f>IFERROR(__xludf.DUMMYFUNCTION("GOOGLETRANSLATE(C254,""en"",""pl"")"),"benzyna")</f>
        <v>benzyna</v>
      </c>
    </row>
    <row r="255">
      <c r="C255" s="1" t="s">
        <v>252</v>
      </c>
      <c r="D255" s="3" t="str">
        <f>IFERROR(__xludf.DUMMYFUNCTION("GOOGLETRANSLATE(C255,""en"",""pl"")"),"znika")</f>
        <v>znika</v>
      </c>
    </row>
    <row r="256">
      <c r="C256" s="1" t="s">
        <v>253</v>
      </c>
      <c r="D256" s="3" t="str">
        <f>IFERROR(__xludf.DUMMYFUNCTION("GOOGLETRANSLATE(C256,""en"",""pl"")"),"zaleta")</f>
        <v>zaleta</v>
      </c>
    </row>
    <row r="257">
      <c r="C257" s="1" t="s">
        <v>254</v>
      </c>
      <c r="D257" s="3" t="str">
        <f>IFERROR(__xludf.DUMMYFUNCTION("GOOGLETRANSLATE(C257,""en"",""pl"")"),"osnowa")</f>
        <v>osnowa</v>
      </c>
    </row>
    <row r="258">
      <c r="C258" s="1" t="s">
        <v>255</v>
      </c>
      <c r="D258" s="3" t="str">
        <f>IFERROR(__xludf.DUMMYFUNCTION("GOOGLETRANSLATE(C258,""en"",""pl"")"),"warsztat")</f>
        <v>warsztat</v>
      </c>
    </row>
    <row r="259">
      <c r="C259" s="1" t="s">
        <v>256</v>
      </c>
      <c r="D259" s="3" t="str">
        <f>IFERROR(__xludf.DUMMYFUNCTION("GOOGLETRANSLATE(C259,""en"",""pl"")"),"majdan")</f>
        <v>majdan</v>
      </c>
    </row>
    <row r="260">
      <c r="C260" s="1" t="s">
        <v>257</v>
      </c>
      <c r="D260" s="3" t="str">
        <f>IFERROR(__xludf.DUMMYFUNCTION("GOOGLETRANSLATE(C260,""en"",""pl"")"),"Żaneta")</f>
        <v>Żaneta</v>
      </c>
    </row>
    <row r="261">
      <c r="C261" s="1" t="s">
        <v>258</v>
      </c>
      <c r="D261" s="3" t="str">
        <f>IFERROR(__xludf.DUMMYFUNCTION("GOOGLETRANSLATE(C261,""en"",""pl"")"),"doceniony")</f>
        <v>doceniony</v>
      </c>
    </row>
    <row r="262">
      <c r="C262" s="1" t="s">
        <v>259</v>
      </c>
      <c r="D262" s="3" t="str">
        <f>IFERROR(__xludf.DUMMYFUNCTION("GOOGLETRANSLATE(C262,""en"",""pl"")"),"skazany")</f>
        <v>skazany</v>
      </c>
    </row>
    <row r="263">
      <c r="C263" s="1" t="s">
        <v>260</v>
      </c>
      <c r="D263" s="3" t="str">
        <f>IFERROR(__xludf.DUMMYFUNCTION("GOOGLETRANSLATE(C263,""en"",""pl"")"),"Garrett")</f>
        <v>Garrett</v>
      </c>
    </row>
    <row r="264">
      <c r="C264" s="1" t="s">
        <v>261</v>
      </c>
      <c r="D264" s="3" t="str">
        <f>IFERROR(__xludf.DUMMYFUNCTION("GOOGLETRANSLATE(C264,""en"",""pl"")"),"mamroczący")</f>
        <v>mamroczący</v>
      </c>
    </row>
    <row r="265">
      <c r="C265" s="1" t="s">
        <v>262</v>
      </c>
      <c r="D265" s="3" t="str">
        <f>IFERROR(__xludf.DUMMYFUNCTION("GOOGLETRANSLATE(C265,""en"",""pl"")"),"wstrząsnął")</f>
        <v>wstrząsnął</v>
      </c>
    </row>
    <row r="266">
      <c r="C266" s="1" t="s">
        <v>263</v>
      </c>
      <c r="D266" s="3" t="str">
        <f>IFERROR(__xludf.DUMMYFUNCTION("GOOGLETRANSLATE(C266,""en"",""pl"")"),"morski")</f>
        <v>morski</v>
      </c>
    </row>
    <row r="267">
      <c r="C267" s="1" t="s">
        <v>264</v>
      </c>
      <c r="D267" s="3" t="str">
        <f>IFERROR(__xludf.DUMMYFUNCTION("GOOGLETRANSLATE(C267,""en"",""pl"")"),"Egipcjanin")</f>
        <v>Egipcjanin</v>
      </c>
    </row>
    <row r="268">
      <c r="C268" s="1" t="s">
        <v>265</v>
      </c>
      <c r="D268" s="3" t="str">
        <f>IFERROR(__xludf.DUMMYFUNCTION("GOOGLETRANSLATE(C268,""en"",""pl"")"),"zwiększać")</f>
        <v>zwiększać</v>
      </c>
    </row>
    <row r="269">
      <c r="C269" s="1" t="s">
        <v>266</v>
      </c>
      <c r="D269" s="3" t="str">
        <f>IFERROR(__xludf.DUMMYFUNCTION("GOOGLETRANSLATE(C269,""en"",""pl"")"),"wschód słońca")</f>
        <v>wschód słońca</v>
      </c>
    </row>
    <row r="270">
      <c r="C270" s="1" t="s">
        <v>267</v>
      </c>
      <c r="D270" s="3" t="str">
        <f>IFERROR(__xludf.DUMMYFUNCTION("GOOGLETRANSLATE(C270,""en"",""pl"")"),"wieprz")</f>
        <v>wieprz</v>
      </c>
    </row>
    <row r="271">
      <c r="C271" s="1" t="s">
        <v>268</v>
      </c>
      <c r="D271" s="3" t="str">
        <f>IFERROR(__xludf.DUMMYFUNCTION("GOOGLETRANSLATE(C271,""en"",""pl"")"),"brzęk")</f>
        <v>brzęk</v>
      </c>
    </row>
    <row r="272">
      <c r="C272" s="1" t="s">
        <v>269</v>
      </c>
      <c r="D272" s="3" t="str">
        <f>IFERROR(__xludf.DUMMYFUNCTION("GOOGLETRANSLATE(C272,""en"",""pl"")"),"panowanie")</f>
        <v>panowanie</v>
      </c>
    </row>
    <row r="273">
      <c r="C273" s="1" t="s">
        <v>270</v>
      </c>
      <c r="D273" s="3" t="str">
        <f>IFERROR(__xludf.DUMMYFUNCTION("GOOGLETRANSLATE(C273,""en"",""pl"")"),"brzoskwinia")</f>
        <v>brzoskwinia</v>
      </c>
    </row>
    <row r="274">
      <c r="C274" s="1" t="s">
        <v>271</v>
      </c>
      <c r="D274" s="3" t="str">
        <f>IFERROR(__xludf.DUMMYFUNCTION("GOOGLETRANSLATE(C274,""en"",""pl"")"),"sfilmowany")</f>
        <v>sfilmowany</v>
      </c>
    </row>
    <row r="275">
      <c r="C275" s="1" t="s">
        <v>272</v>
      </c>
      <c r="D275" s="3" t="str">
        <f>IFERROR(__xludf.DUMMYFUNCTION("GOOGLETRANSLATE(C275,""en"",""pl"")"),"Pakistan")</f>
        <v>Pakistan</v>
      </c>
    </row>
    <row r="276">
      <c r="C276" s="1" t="s">
        <v>273</v>
      </c>
      <c r="D276" s="3" t="str">
        <f>IFERROR(__xludf.DUMMYFUNCTION("GOOGLETRANSLATE(C276,""en"",""pl"")"),"powinienem")</f>
        <v>powinienem</v>
      </c>
    </row>
    <row r="277">
      <c r="C277" s="1" t="s">
        <v>274</v>
      </c>
      <c r="D277" s="3" t="str">
        <f>IFERROR(__xludf.DUMMYFUNCTION("GOOGLETRANSLATE(C277,""en"",""pl"")"),"wybór")</f>
        <v>wybór</v>
      </c>
    </row>
    <row r="278">
      <c r="C278" s="1" t="s">
        <v>275</v>
      </c>
      <c r="D278" s="3" t="str">
        <f>IFERROR(__xludf.DUMMYFUNCTION("GOOGLETRANSLATE(C278,""en"",""pl"")"),"skrzypienie")</f>
        <v>skrzypienie</v>
      </c>
    </row>
    <row r="279">
      <c r="C279" s="1" t="s">
        <v>276</v>
      </c>
      <c r="D279" s="3" t="str">
        <f>IFERROR(__xludf.DUMMYFUNCTION("GOOGLETRANSLATE(C279,""en"",""pl"")"),"prezerwatywa")</f>
        <v>prezerwatywa</v>
      </c>
    </row>
    <row r="280">
      <c r="C280" s="1" t="s">
        <v>277</v>
      </c>
      <c r="D280" s="3" t="str">
        <f>IFERROR(__xludf.DUMMYFUNCTION("GOOGLETRANSLATE(C280,""en"",""pl"")"),"Sadie")</f>
        <v>Sadie</v>
      </c>
    </row>
    <row r="281">
      <c r="C281" s="1" t="s">
        <v>278</v>
      </c>
      <c r="D281" s="3" t="str">
        <f>IFERROR(__xludf.DUMMYFUNCTION("GOOGLETRANSLATE(C281,""en"",""pl"")"),"lalka Barbie")</f>
        <v>lalka Barbie</v>
      </c>
    </row>
    <row r="282">
      <c r="C282" s="1" t="s">
        <v>279</v>
      </c>
      <c r="D282" s="3" t="str">
        <f>IFERROR(__xludf.DUMMYFUNCTION("GOOGLETRANSLATE(C282,""en"",""pl"")"),"wzdłuż")</f>
        <v>wzdłuż</v>
      </c>
    </row>
    <row r="283">
      <c r="C283" s="1" t="s">
        <v>280</v>
      </c>
      <c r="D283" s="3" t="str">
        <f>IFERROR(__xludf.DUMMYFUNCTION("GOOGLETRANSLATE(C283,""en"",""pl"")"),"ryzykować")</f>
        <v>ryzykować</v>
      </c>
    </row>
    <row r="284">
      <c r="C284" s="1" t="s">
        <v>281</v>
      </c>
      <c r="D284" s="3" t="str">
        <f>IFERROR(__xludf.DUMMYFUNCTION("GOOGLETRANSLATE(C284,""en"",""pl"")"),"demokratyczny")</f>
        <v>demokratyczny</v>
      </c>
    </row>
    <row r="285">
      <c r="C285" s="1" t="s">
        <v>282</v>
      </c>
      <c r="D285" s="3" t="str">
        <f>IFERROR(__xludf.DUMMYFUNCTION("GOOGLETRANSLATE(C285,""en"",""pl"")"),"kujon")</f>
        <v>kujon</v>
      </c>
    </row>
    <row r="286">
      <c r="C286" s="1" t="s">
        <v>283</v>
      </c>
      <c r="D286" s="3" t="str">
        <f>IFERROR(__xludf.DUMMYFUNCTION("GOOGLETRANSLATE(C286,""en"",""pl"")"),"tancerze")</f>
        <v>tancerze</v>
      </c>
    </row>
    <row r="287">
      <c r="C287" s="1" t="s">
        <v>284</v>
      </c>
      <c r="D287" s="3" t="str">
        <f>IFERROR(__xludf.DUMMYFUNCTION("GOOGLETRANSLATE(C287,""en"",""pl"")"),"oszust")</f>
        <v>oszust</v>
      </c>
    </row>
    <row r="288">
      <c r="C288" s="1" t="s">
        <v>285</v>
      </c>
      <c r="D288" s="3" t="str">
        <f>IFERROR(__xludf.DUMMYFUNCTION("GOOGLETRANSLATE(C288,""en"",""pl"")"),"macek")</f>
        <v>macek</v>
      </c>
    </row>
    <row r="289">
      <c r="C289" s="1" t="s">
        <v>286</v>
      </c>
      <c r="D289" s="3" t="str">
        <f>IFERROR(__xludf.DUMMYFUNCTION("GOOGLETRANSLATE(C289,""en"",""pl"")"),"chwyt")</f>
        <v>chwyt</v>
      </c>
    </row>
    <row r="290">
      <c r="C290" s="1" t="s">
        <v>287</v>
      </c>
      <c r="D290" s="3" t="str">
        <f>IFERROR(__xludf.DUMMYFUNCTION("GOOGLETRANSLATE(C290,""en"",""pl"")"),"tłumaczyć")</f>
        <v>tłumaczyć</v>
      </c>
    </row>
    <row r="291">
      <c r="C291" s="1" t="s">
        <v>288</v>
      </c>
      <c r="D291" s="3" t="str">
        <f>IFERROR(__xludf.DUMMYFUNCTION("GOOGLETRANSLATE(C291,""en"",""pl"")"),"zachowywać się")</f>
        <v>zachowywać się</v>
      </c>
    </row>
    <row r="292">
      <c r="C292" s="1" t="s">
        <v>289</v>
      </c>
      <c r="D292" s="3" t="str">
        <f>IFERROR(__xludf.DUMMYFUNCTION("GOOGLETRANSLATE(C292,""en"",""pl"")"),"poniżający")</f>
        <v>poniżający</v>
      </c>
    </row>
    <row r="293">
      <c r="C293" s="1" t="s">
        <v>290</v>
      </c>
      <c r="D293" s="3" t="str">
        <f>IFERROR(__xludf.DUMMYFUNCTION("GOOGLETRANSLATE(C293,""en"",""pl"")"),"kłócić się")</f>
        <v>kłócić się</v>
      </c>
    </row>
    <row r="294">
      <c r="C294" s="1" t="s">
        <v>291</v>
      </c>
      <c r="D294" s="3" t="str">
        <f>IFERROR(__xludf.DUMMYFUNCTION("GOOGLETRANSLATE(C294,""en"",""pl"")"),"pełen życia")</f>
        <v>pełen życia</v>
      </c>
    </row>
    <row r="295">
      <c r="C295" s="1" t="s">
        <v>292</v>
      </c>
      <c r="D295" s="3" t="str">
        <f>IFERROR(__xludf.DUMMYFUNCTION("GOOGLETRANSLATE(C295,""en"",""pl"")"),"furia")</f>
        <v>furia</v>
      </c>
    </row>
    <row r="296">
      <c r="C296" s="1" t="s">
        <v>293</v>
      </c>
      <c r="D296" s="3" t="str">
        <f>IFERROR(__xludf.DUMMYFUNCTION("GOOGLETRANSLATE(C296,""en"",""pl"")"),"policjanci")</f>
        <v>policjanci</v>
      </c>
    </row>
    <row r="297">
      <c r="C297" s="1" t="s">
        <v>294</v>
      </c>
      <c r="D297" s="3" t="str">
        <f>IFERROR(__xludf.DUMMYFUNCTION("GOOGLETRANSLATE(C297,""en"",""pl"")"),"sensi")</f>
        <v>sensi</v>
      </c>
    </row>
    <row r="298">
      <c r="C298" s="1" t="s">
        <v>295</v>
      </c>
      <c r="D298" s="3" t="str">
        <f>IFERROR(__xludf.DUMMYFUNCTION("GOOGLETRANSLATE(C298,""en"",""pl"")"),"starsi")</f>
        <v>starsi</v>
      </c>
    </row>
    <row r="299">
      <c r="C299" s="1" t="s">
        <v>296</v>
      </c>
      <c r="D299" s="3" t="str">
        <f>IFERROR(__xludf.DUMMYFUNCTION("GOOGLETRANSLATE(C299,""en"",""pl"")"),"pole bitwy")</f>
        <v>pole bitwy</v>
      </c>
    </row>
    <row r="300">
      <c r="C300" s="1" t="s">
        <v>297</v>
      </c>
      <c r="D300" s="3" t="str">
        <f>IFERROR(__xludf.DUMMYFUNCTION("GOOGLETRANSLATE(C300,""en"",""pl"")"),"lepki")</f>
        <v>lepki</v>
      </c>
    </row>
    <row r="301">
      <c r="C301" s="1" t="s">
        <v>298</v>
      </c>
      <c r="D301" s="3" t="str">
        <f>IFERROR(__xludf.DUMMYFUNCTION("GOOGLETRANSLATE(C301,""en"",""pl"")"),"dolina górska")</f>
        <v>dolina górska</v>
      </c>
    </row>
    <row r="302">
      <c r="C302" s="1" t="s">
        <v>299</v>
      </c>
      <c r="D302" s="3" t="str">
        <f>IFERROR(__xludf.DUMMYFUNCTION("GOOGLETRANSLATE(C302,""en"",""pl"")"),"liu")</f>
        <v>liu</v>
      </c>
    </row>
    <row r="303">
      <c r="C303" s="1" t="s">
        <v>300</v>
      </c>
      <c r="D303" s="3" t="str">
        <f>IFERROR(__xludf.DUMMYFUNCTION("GOOGLETRANSLATE(C303,""en"",""pl"")"),"prymitywny")</f>
        <v>prymitywny</v>
      </c>
    </row>
    <row r="304">
      <c r="C304" s="1" t="s">
        <v>301</v>
      </c>
      <c r="D304" s="3" t="str">
        <f>IFERROR(__xludf.DUMMYFUNCTION("GOOGLETRANSLATE(C304,""en"",""pl"")"),"królować")</f>
        <v>królować</v>
      </c>
    </row>
    <row r="305">
      <c r="C305" s="1" t="s">
        <v>302</v>
      </c>
      <c r="D305" s="3" t="str">
        <f>IFERROR(__xludf.DUMMYFUNCTION("GOOGLETRANSLATE(C305,""en"",""pl"")"),"Eugeniusz")</f>
        <v>Eugeniusz</v>
      </c>
    </row>
    <row r="306">
      <c r="C306" s="1" t="s">
        <v>303</v>
      </c>
      <c r="D306" s="3" t="str">
        <f>IFERROR(__xludf.DUMMYFUNCTION("GOOGLETRANSLATE(C306,""en"",""pl"")"),"chować na potem")</f>
        <v>chować na potem</v>
      </c>
    </row>
    <row r="307">
      <c r="C307" s="1" t="s">
        <v>304</v>
      </c>
      <c r="D307" s="3" t="str">
        <f>IFERROR(__xludf.DUMMYFUNCTION("GOOGLETRANSLATE(C307,""en"",""pl"")"),"ewoluował")</f>
        <v>ewoluował</v>
      </c>
    </row>
    <row r="308">
      <c r="C308" s="1" t="s">
        <v>305</v>
      </c>
      <c r="D308" s="3" t="str">
        <f>IFERROR(__xludf.DUMMYFUNCTION("GOOGLETRANSLATE(C308,""en"",""pl"")"),"zmiany")</f>
        <v>zmiany</v>
      </c>
    </row>
    <row r="309">
      <c r="C309" s="1" t="s">
        <v>306</v>
      </c>
      <c r="D309" s="3" t="str">
        <f>IFERROR(__xludf.DUMMYFUNCTION("GOOGLETRANSLATE(C309,""en"",""pl"")"),"odblokować")</f>
        <v>odblokować</v>
      </c>
    </row>
    <row r="310">
      <c r="C310" s="1" t="s">
        <v>307</v>
      </c>
      <c r="D310" s="3" t="str">
        <f>IFERROR(__xludf.DUMMYFUNCTION("GOOGLETRANSLATE(C310,""en"",""pl"")"),"urządzenia")</f>
        <v>urządzenia</v>
      </c>
    </row>
    <row r="311">
      <c r="C311" s="1" t="s">
        <v>308</v>
      </c>
      <c r="D311" s="3" t="str">
        <f>IFERROR(__xludf.DUMMYFUNCTION("GOOGLETRANSLATE(C311,""en"",""pl"")"),"osobliwy")</f>
        <v>osobliwy</v>
      </c>
    </row>
    <row r="312">
      <c r="C312" s="1" t="s">
        <v>309</v>
      </c>
      <c r="D312" s="3" t="str">
        <f>IFERROR(__xludf.DUMMYFUNCTION("GOOGLETRANSLATE(C312,""en"",""pl"")"),"talenty")</f>
        <v>talenty</v>
      </c>
    </row>
    <row r="313">
      <c r="C313" s="1" t="s">
        <v>310</v>
      </c>
      <c r="D313" s="3" t="str">
        <f>IFERROR(__xludf.DUMMYFUNCTION("GOOGLETRANSLATE(C313,""en"",""pl"")"),"Anita")</f>
        <v>Anita</v>
      </c>
    </row>
    <row r="314">
      <c r="C314" s="1" t="s">
        <v>311</v>
      </c>
      <c r="D314" s="3" t="str">
        <f>IFERROR(__xludf.DUMMYFUNCTION("GOOGLETRANSLATE(C314,""en"",""pl"")"),"cudzoziemcy")</f>
        <v>cudzoziemcy</v>
      </c>
    </row>
    <row r="315">
      <c r="C315" s="1" t="s">
        <v>312</v>
      </c>
      <c r="D315" s="3" t="str">
        <f>IFERROR(__xludf.DUMMYFUNCTION("GOOGLETRANSLATE(C315,""en"",""pl"")"),"przekąski")</f>
        <v>przekąski</v>
      </c>
    </row>
    <row r="316">
      <c r="C316" s="1" t="s">
        <v>313</v>
      </c>
      <c r="D316" s="3" t="str">
        <f>IFERROR(__xludf.DUMMYFUNCTION("GOOGLETRANSLATE(C316,""en"",""pl"")"),"mennica")</f>
        <v>mennica</v>
      </c>
    </row>
    <row r="317">
      <c r="C317" s="1" t="s">
        <v>314</v>
      </c>
      <c r="D317" s="3" t="str">
        <f>IFERROR(__xludf.DUMMYFUNCTION("GOOGLETRANSLATE(C317,""en"",""pl"")"),"sikanie")</f>
        <v>sikanie</v>
      </c>
    </row>
    <row r="318">
      <c r="C318" s="1" t="s">
        <v>315</v>
      </c>
      <c r="D318" s="3" t="str">
        <f>IFERROR(__xludf.DUMMYFUNCTION("GOOGLETRANSLATE(C318,""en"",""pl"")"),"bezpiecznik")</f>
        <v>bezpiecznik</v>
      </c>
    </row>
    <row r="319">
      <c r="C319" s="1" t="s">
        <v>316</v>
      </c>
      <c r="D319" s="3" t="str">
        <f>IFERROR(__xludf.DUMMYFUNCTION("GOOGLETRANSLATE(C319,""en"",""pl"")"),"podręcznik")</f>
        <v>podręcznik</v>
      </c>
    </row>
    <row r="320">
      <c r="C320" s="1" t="s">
        <v>317</v>
      </c>
      <c r="D320" s="3" t="str">
        <f>IFERROR(__xludf.DUMMYFUNCTION("GOOGLETRANSLATE(C320,""en"",""pl"")"),"wieże")</f>
        <v>wieże</v>
      </c>
    </row>
    <row r="321">
      <c r="C321" s="1" t="s">
        <v>318</v>
      </c>
      <c r="D321" s="3" t="str">
        <f>IFERROR(__xludf.DUMMYFUNCTION("GOOGLETRANSLATE(C321,""en"",""pl"")"),"zamrażarka")</f>
        <v>zamrażarka</v>
      </c>
    </row>
    <row r="322">
      <c r="C322" s="1" t="s">
        <v>319</v>
      </c>
      <c r="D322" s="3" t="str">
        <f>IFERROR(__xludf.DUMMYFUNCTION("GOOGLETRANSLATE(C322,""en"",""pl"")"),"dziedzictwo")</f>
        <v>dziedzictwo</v>
      </c>
    </row>
    <row r="323">
      <c r="C323" s="1" t="s">
        <v>320</v>
      </c>
      <c r="D323" s="3" t="str">
        <f>IFERROR(__xludf.DUMMYFUNCTION("GOOGLETRANSLATE(C323,""en"",""pl"")"),"wsie")</f>
        <v>wsie</v>
      </c>
    </row>
    <row r="324">
      <c r="C324" s="1" t="s">
        <v>321</v>
      </c>
      <c r="D324" s="3" t="str">
        <f>IFERROR(__xludf.DUMMYFUNCTION("GOOGLETRANSLATE(C324,""en"",""pl"")"),"beckett")</f>
        <v>beckett</v>
      </c>
    </row>
    <row r="325">
      <c r="C325" s="1" t="s">
        <v>322</v>
      </c>
      <c r="D325" s="3" t="str">
        <f>IFERROR(__xludf.DUMMYFUNCTION("GOOGLETRANSLATE(C325,""en"",""pl"")"),"klejnot")</f>
        <v>klejnot</v>
      </c>
    </row>
    <row r="326">
      <c r="C326" s="1" t="s">
        <v>323</v>
      </c>
      <c r="D326" s="3" t="str">
        <f>IFERROR(__xludf.DUMMYFUNCTION("GOOGLETRANSLATE(C326,""en"",""pl"")"),"bzdury")</f>
        <v>bzdury</v>
      </c>
    </row>
    <row r="327">
      <c r="C327" s="1" t="s">
        <v>324</v>
      </c>
      <c r="D327" s="3" t="str">
        <f>IFERROR(__xludf.DUMMYFUNCTION("GOOGLETRANSLATE(C327,""en"",""pl"")"),"muszle")</f>
        <v>muszle</v>
      </c>
    </row>
    <row r="328">
      <c r="C328" s="1" t="s">
        <v>325</v>
      </c>
      <c r="D328" s="3" t="str">
        <f>IFERROR(__xludf.DUMMYFUNCTION("GOOGLETRANSLATE(C328,""en"",""pl"")"),"zmieciony")</f>
        <v>zmieciony</v>
      </c>
    </row>
    <row r="329">
      <c r="C329" s="1" t="s">
        <v>326</v>
      </c>
      <c r="D329" s="3" t="str">
        <f>IFERROR(__xludf.DUMMYFUNCTION("GOOGLETRANSLATE(C329,""en"",""pl"")"),"uznanie")</f>
        <v>uznanie</v>
      </c>
    </row>
    <row r="330">
      <c r="C330" s="1" t="s">
        <v>327</v>
      </c>
      <c r="D330" s="3" t="str">
        <f>IFERROR(__xludf.DUMMYFUNCTION("GOOGLETRANSLATE(C330,""en"",""pl"")"),"łopata")</f>
        <v>łopata</v>
      </c>
    </row>
    <row r="331">
      <c r="C331" s="1" t="s">
        <v>328</v>
      </c>
      <c r="D331" s="3" t="str">
        <f>IFERROR(__xludf.DUMMYFUNCTION("GOOGLETRANSLATE(C331,""en"",""pl"")"),"artystyczny")</f>
        <v>artystyczny</v>
      </c>
    </row>
    <row r="332">
      <c r="C332" s="1" t="s">
        <v>329</v>
      </c>
      <c r="D332" s="3" t="str">
        <f>IFERROR(__xludf.DUMMYFUNCTION("GOOGLETRANSLATE(C332,""en"",""pl"")"),"cechy")</f>
        <v>cechy</v>
      </c>
    </row>
    <row r="333">
      <c r="C333" s="1" t="s">
        <v>330</v>
      </c>
      <c r="D333" s="3" t="str">
        <f>IFERROR(__xludf.DUMMYFUNCTION("GOOGLETRANSLATE(C333,""en"",""pl"")"),"prom")</f>
        <v>prom</v>
      </c>
    </row>
    <row r="334">
      <c r="C334" s="1" t="s">
        <v>331</v>
      </c>
      <c r="D334" s="3" t="str">
        <f>IFERROR(__xludf.DUMMYFUNCTION("GOOGLETRANSLATE(C334,""en"",""pl"")"),"Darren")</f>
        <v>Darren</v>
      </c>
    </row>
    <row r="335">
      <c r="C335" s="1" t="s">
        <v>332</v>
      </c>
      <c r="D335" s="3" t="str">
        <f>IFERROR(__xludf.DUMMYFUNCTION("GOOGLETRANSLATE(C335,""en"",""pl"")"),"niezrozumiany")</f>
        <v>niezrozumiany</v>
      </c>
    </row>
    <row r="336">
      <c r="C336" s="1" t="s">
        <v>333</v>
      </c>
      <c r="D336" s="3" t="str">
        <f>IFERROR(__xludf.DUMMYFUNCTION("GOOGLETRANSLATE(C336,""en"",""pl"")"),"portal")</f>
        <v>portal</v>
      </c>
    </row>
    <row r="337">
      <c r="C337" s="1" t="s">
        <v>334</v>
      </c>
      <c r="D337" s="3" t="str">
        <f>IFERROR(__xludf.DUMMYFUNCTION("GOOGLETRANSLATE(C337,""en"",""pl"")"),"atomowy")</f>
        <v>atomowy</v>
      </c>
    </row>
    <row r="338">
      <c r="C338" s="1" t="s">
        <v>335</v>
      </c>
      <c r="D338" s="3" t="str">
        <f>IFERROR(__xludf.DUMMYFUNCTION("GOOGLETRANSLATE(C338,""en"",""pl"")"),"Javier")</f>
        <v>Javier</v>
      </c>
    </row>
    <row r="339">
      <c r="C339" s="1" t="s">
        <v>336</v>
      </c>
      <c r="D339" s="3" t="str">
        <f>IFERROR(__xludf.DUMMYFUNCTION("GOOGLETRANSLATE(C339,""en"",""pl"")"),"awatar")</f>
        <v>awatar</v>
      </c>
    </row>
    <row r="340">
      <c r="C340" s="1" t="s">
        <v>337</v>
      </c>
      <c r="D340" s="3" t="str">
        <f>IFERROR(__xludf.DUMMYFUNCTION("GOOGLETRANSLATE(C340,""en"",""pl"")"),"roszczenie")</f>
        <v>roszczenie</v>
      </c>
    </row>
    <row r="341">
      <c r="C341" s="1" t="s">
        <v>338</v>
      </c>
      <c r="D341" s="3" t="str">
        <f>IFERROR(__xludf.DUMMYFUNCTION("GOOGLETRANSLATE(C341,""en"",""pl"")"),"badany")</f>
        <v>badany</v>
      </c>
    </row>
    <row r="342">
      <c r="C342" s="1" t="s">
        <v>339</v>
      </c>
      <c r="D342" s="3" t="str">
        <f>IFERROR(__xludf.DUMMYFUNCTION("GOOGLETRANSLATE(C342,""en"",""pl"")"),"obronny")</f>
        <v>obronny</v>
      </c>
    </row>
    <row r="343">
      <c r="C343" s="1" t="s">
        <v>340</v>
      </c>
      <c r="D343" s="3" t="str">
        <f>IFERROR(__xludf.DUMMYFUNCTION("GOOGLETRANSLATE(C343,""en"",""pl"")"),"Kenneth")</f>
        <v>Kenneth</v>
      </c>
    </row>
    <row r="344">
      <c r="C344" s="1" t="s">
        <v>341</v>
      </c>
      <c r="D344" s="3" t="str">
        <f>IFERROR(__xludf.DUMMYFUNCTION("GOOGLETRANSLATE(C344,""en"",""pl"")"),"kot")</f>
        <v>kot</v>
      </c>
    </row>
    <row r="345">
      <c r="C345" s="1" t="s">
        <v>342</v>
      </c>
      <c r="D345" s="3" t="str">
        <f>IFERROR(__xludf.DUMMYFUNCTION("GOOGLETRANSLATE(C345,""en"",""pl"")"),"uczucie")</f>
        <v>uczucie</v>
      </c>
    </row>
    <row r="346">
      <c r="C346" s="1" t="s">
        <v>343</v>
      </c>
      <c r="D346" s="3" t="str">
        <f>IFERROR(__xludf.DUMMYFUNCTION("GOOGLETRANSLATE(C346,""en"",""pl"")"),"aaa")</f>
        <v>aaa</v>
      </c>
    </row>
    <row r="347">
      <c r="C347" s="1" t="s">
        <v>344</v>
      </c>
      <c r="D347" s="3" t="str">
        <f>IFERROR(__xludf.DUMMYFUNCTION("GOOGLETRANSLATE(C347,""en"",""pl"")"),"5.")</f>
        <v>5.</v>
      </c>
    </row>
    <row r="348">
      <c r="C348" s="1" t="s">
        <v>345</v>
      </c>
      <c r="D348" s="3" t="str">
        <f>IFERROR(__xludf.DUMMYFUNCTION("GOOGLETRANSLATE(C348,""en"",""pl"")"),"wzrastający")</f>
        <v>wzrastający</v>
      </c>
    </row>
    <row r="349">
      <c r="C349" s="1" t="s">
        <v>346</v>
      </c>
      <c r="D349" s="3" t="str">
        <f>IFERROR(__xludf.DUMMYFUNCTION("GOOGLETRANSLATE(C349,""en"",""pl"")"),"zbieg")</f>
        <v>zbieg</v>
      </c>
    </row>
    <row r="350">
      <c r="C350" s="1" t="s">
        <v>347</v>
      </c>
      <c r="D350" s="3" t="str">
        <f>IFERROR(__xludf.DUMMYFUNCTION("GOOGLETRANSLATE(C350,""en"",""pl"")"),"miejski")</f>
        <v>miejski</v>
      </c>
    </row>
    <row r="351">
      <c r="C351" s="1" t="s">
        <v>348</v>
      </c>
      <c r="D351" s="3" t="str">
        <f>IFERROR(__xludf.DUMMYFUNCTION("GOOGLETRANSLATE(C351,""en"",""pl"")"),"wizje")</f>
        <v>wizje</v>
      </c>
    </row>
    <row r="352">
      <c r="C352" s="1" t="s">
        <v>349</v>
      </c>
      <c r="D352" s="3" t="str">
        <f>IFERROR(__xludf.DUMMYFUNCTION("GOOGLETRANSLATE(C352,""en"",""pl"")"),"kąpielowy")</f>
        <v>kąpielowy</v>
      </c>
    </row>
    <row r="353">
      <c r="C353" s="1" t="s">
        <v>350</v>
      </c>
      <c r="D353" s="3" t="str">
        <f>IFERROR(__xludf.DUMMYFUNCTION("GOOGLETRANSLATE(C353,""en"",""pl"")"),"Grzegorz")</f>
        <v>Grzegorz</v>
      </c>
    </row>
    <row r="354">
      <c r="C354" s="1" t="s">
        <v>351</v>
      </c>
      <c r="D354" s="3" t="str">
        <f>IFERROR(__xludf.DUMMYFUNCTION("GOOGLETRANSLATE(C354,""en"",""pl"")"),"rozkosz")</f>
        <v>rozkosz</v>
      </c>
    </row>
    <row r="355">
      <c r="C355" s="1" t="s">
        <v>352</v>
      </c>
      <c r="D355" s="3" t="str">
        <f>IFERROR(__xludf.DUMMYFUNCTION("GOOGLETRANSLATE(C355,""en"",""pl"")"),"internet rzeczy")</f>
        <v>internet rzeczy</v>
      </c>
    </row>
    <row r="356">
      <c r="C356" s="1" t="s">
        <v>353</v>
      </c>
      <c r="D356" s="3" t="str">
        <f>IFERROR(__xludf.DUMMYFUNCTION("GOOGLETRANSLATE(C356,""en"",""pl"")"),"geny")</f>
        <v>geny</v>
      </c>
    </row>
    <row r="357">
      <c r="C357" s="1" t="s">
        <v>354</v>
      </c>
      <c r="D357" s="3" t="str">
        <f>IFERROR(__xludf.DUMMYFUNCTION("GOOGLETRANSLATE(C357,""en"",""pl"")"),"granice")</f>
        <v>granice</v>
      </c>
    </row>
    <row r="358">
      <c r="C358" s="1" t="s">
        <v>355</v>
      </c>
      <c r="D358" s="3" t="str">
        <f>IFERROR(__xludf.DUMMYFUNCTION("GOOGLETRANSLATE(C358,""en"",""pl"")"),"ostrożność")</f>
        <v>ostrożność</v>
      </c>
    </row>
    <row r="359">
      <c r="C359" s="1" t="s">
        <v>356</v>
      </c>
      <c r="D359" s="3" t="str">
        <f>IFERROR(__xludf.DUMMYFUNCTION("GOOGLETRANSLATE(C359,""en"",""pl"")"),"Ellisa")</f>
        <v>Ellisa</v>
      </c>
    </row>
    <row r="360">
      <c r="C360" s="1" t="s">
        <v>357</v>
      </c>
      <c r="D360" s="3" t="str">
        <f>IFERROR(__xludf.DUMMYFUNCTION("GOOGLETRANSLATE(C360,""en"",""pl"")"),"uduszony")</f>
        <v>uduszony</v>
      </c>
    </row>
    <row r="361">
      <c r="C361" s="1" t="s">
        <v>358</v>
      </c>
      <c r="D361" s="3" t="str">
        <f>IFERROR(__xludf.DUMMYFUNCTION("GOOGLETRANSLATE(C361,""en"",""pl"")"),"dokładny")</f>
        <v>dokładny</v>
      </c>
    </row>
    <row r="362">
      <c r="C362" s="1" t="s">
        <v>359</v>
      </c>
      <c r="D362" s="3" t="str">
        <f>IFERROR(__xludf.DUMMYFUNCTION("GOOGLETRANSLATE(C362,""en"",""pl"")"),"lubię")</f>
        <v>lubię</v>
      </c>
    </row>
    <row r="363">
      <c r="C363" s="1" t="s">
        <v>360</v>
      </c>
      <c r="D363" s="3" t="str">
        <f>IFERROR(__xludf.DUMMYFUNCTION("GOOGLETRANSLATE(C363,""en"",""pl"")"),"ugryzienia")</f>
        <v>ugryzienia</v>
      </c>
    </row>
    <row r="364">
      <c r="C364" s="1" t="s">
        <v>361</v>
      </c>
      <c r="D364" s="3" t="str">
        <f>IFERROR(__xludf.DUMMYFUNCTION("GOOGLETRANSLATE(C364,""en"",""pl"")"),"nagi")</f>
        <v>nagi</v>
      </c>
    </row>
    <row r="365">
      <c r="C365" s="1" t="s">
        <v>362</v>
      </c>
      <c r="D365" s="3" t="str">
        <f>IFERROR(__xludf.DUMMYFUNCTION("GOOGLETRANSLATE(C365,""en"",""pl"")"),"czysty")</f>
        <v>czysty</v>
      </c>
    </row>
    <row r="366">
      <c r="C366" s="1" t="s">
        <v>363</v>
      </c>
      <c r="D366" s="3" t="str">
        <f>IFERROR(__xludf.DUMMYFUNCTION("GOOGLETRANSLATE(C366,""en"",""pl"")"),"Patrycja")</f>
        <v>Patrycja</v>
      </c>
    </row>
    <row r="367">
      <c r="C367" s="1" t="s">
        <v>364</v>
      </c>
      <c r="D367" s="3" t="str">
        <f>IFERROR(__xludf.DUMMYFUNCTION("GOOGLETRANSLATE(C367,""en"",""pl"")"),"Tata")</f>
        <v>Tata</v>
      </c>
    </row>
    <row r="368">
      <c r="C368" s="1" t="s">
        <v>365</v>
      </c>
      <c r="D368" s="3" t="str">
        <f>IFERROR(__xludf.DUMMYFUNCTION("GOOGLETRANSLATE(C368,""en"",""pl"")"),"obowiązek")</f>
        <v>obowiązek</v>
      </c>
    </row>
    <row r="369">
      <c r="C369" s="1" t="s">
        <v>366</v>
      </c>
      <c r="D369" s="3" t="str">
        <f>IFERROR(__xludf.DUMMYFUNCTION("GOOGLETRANSLATE(C369,""en"",""pl"")"),"ari")</f>
        <v>ari</v>
      </c>
    </row>
    <row r="370">
      <c r="C370" s="1" t="s">
        <v>367</v>
      </c>
      <c r="D370" s="3" t="str">
        <f>IFERROR(__xludf.DUMMYFUNCTION("GOOGLETRANSLATE(C370,""en"",""pl"")"),"luz")</f>
        <v>luz</v>
      </c>
    </row>
    <row r="371">
      <c r="C371" s="1" t="s">
        <v>368</v>
      </c>
      <c r="D371" s="3" t="str">
        <f>IFERROR(__xludf.DUMMYFUNCTION("GOOGLETRANSLATE(C371,""en"",""pl"")"),"skryty")</f>
        <v>skryty</v>
      </c>
    </row>
    <row r="372">
      <c r="C372" s="1" t="s">
        <v>369</v>
      </c>
      <c r="D372" s="3" t="str">
        <f>IFERROR(__xludf.DUMMYFUNCTION("GOOGLETRANSLATE(C372,""en"",""pl"")"),"nasa")</f>
        <v>nasa</v>
      </c>
    </row>
    <row r="373">
      <c r="C373" s="1" t="s">
        <v>370</v>
      </c>
      <c r="D373" s="3" t="str">
        <f>IFERROR(__xludf.DUMMYFUNCTION("GOOGLETRANSLATE(C373,""en"",""pl"")"),"szopka")</f>
        <v>szopka</v>
      </c>
    </row>
    <row r="374">
      <c r="C374" s="1" t="s">
        <v>371</v>
      </c>
      <c r="D374" s="3" t="str">
        <f>IFERROR(__xludf.DUMMYFUNCTION("GOOGLETRANSLATE(C374,""en"",""pl"")"),"Marionka")</f>
        <v>Marionka</v>
      </c>
    </row>
    <row r="375">
      <c r="C375" s="1" t="s">
        <v>372</v>
      </c>
      <c r="D375" s="3" t="str">
        <f>IFERROR(__xludf.DUMMYFUNCTION("GOOGLETRANSLATE(C375,""en"",""pl"")"),"Ten-")</f>
        <v>Ten-</v>
      </c>
    </row>
    <row r="376">
      <c r="C376" s="1" t="s">
        <v>373</v>
      </c>
      <c r="D376" s="3" t="str">
        <f>IFERROR(__xludf.DUMMYFUNCTION("GOOGLETRANSLATE(C376,""en"",""pl"")"),"odbijać")</f>
        <v>odbijać</v>
      </c>
    </row>
    <row r="377">
      <c r="C377" s="1" t="s">
        <v>374</v>
      </c>
      <c r="D377" s="3" t="str">
        <f>IFERROR(__xludf.DUMMYFUNCTION("GOOGLETRANSLATE(C377,""en"",""pl"")"),"zacięty")</f>
        <v>zacięty</v>
      </c>
    </row>
    <row r="378">
      <c r="C378" s="1" t="s">
        <v>375</v>
      </c>
      <c r="D378" s="3" t="str">
        <f>IFERROR(__xludf.DUMMYFUNCTION("GOOGLETRANSLATE(C378,""en"",""pl"")"),"rękaw")</f>
        <v>rękaw</v>
      </c>
    </row>
    <row r="379">
      <c r="C379" s="1" t="s">
        <v>376</v>
      </c>
      <c r="D379" s="3" t="str">
        <f>IFERROR(__xludf.DUMMYFUNCTION("GOOGLETRANSLATE(C379,""en"",""pl"")"),"elegancki")</f>
        <v>elegancki</v>
      </c>
    </row>
    <row r="380">
      <c r="C380" s="1" t="s">
        <v>377</v>
      </c>
      <c r="D380" s="3" t="str">
        <f>IFERROR(__xludf.DUMMYFUNCTION("GOOGLETRANSLATE(C380,""en"",""pl"")"),"papieros")</f>
        <v>papieros</v>
      </c>
    </row>
    <row r="381">
      <c r="C381" s="1" t="s">
        <v>378</v>
      </c>
      <c r="D381" s="3" t="str">
        <f>IFERROR(__xludf.DUMMYFUNCTION("GOOGLETRANSLATE(C381,""en"",""pl"")"),"Anioł")</f>
        <v>Anioł</v>
      </c>
    </row>
    <row r="382">
      <c r="C382" s="1" t="s">
        <v>379</v>
      </c>
      <c r="D382" s="3" t="str">
        <f>IFERROR(__xludf.DUMMYFUNCTION("GOOGLETRANSLATE(C382,""en"",""pl"")"),"bradley")</f>
        <v>bradley</v>
      </c>
    </row>
    <row r="383">
      <c r="C383" s="1" t="s">
        <v>380</v>
      </c>
      <c r="D383" s="3" t="str">
        <f>IFERROR(__xludf.DUMMYFUNCTION("GOOGLETRANSLATE(C383,""en"",""pl"")"),"banany")</f>
        <v>banany</v>
      </c>
    </row>
    <row r="384">
      <c r="C384" s="1" t="s">
        <v>381</v>
      </c>
      <c r="D384" s="3" t="str">
        <f>IFERROR(__xludf.DUMMYFUNCTION("GOOGLETRANSLATE(C384,""en"",""pl"")"),"były mąż")</f>
        <v>były mąż</v>
      </c>
    </row>
    <row r="385">
      <c r="C385" s="1" t="s">
        <v>382</v>
      </c>
      <c r="D385" s="3" t="str">
        <f>IFERROR(__xludf.DUMMYFUNCTION("GOOGLETRANSLATE(C385,""en"",""pl"")"),"święci")</f>
        <v>święci</v>
      </c>
    </row>
    <row r="386">
      <c r="C386" s="1" t="s">
        <v>383</v>
      </c>
      <c r="D386" s="3" t="str">
        <f>IFERROR(__xludf.DUMMYFUNCTION("GOOGLETRANSLATE(C386,""en"",""pl"")"),"najdłuższy")</f>
        <v>najdłuższy</v>
      </c>
    </row>
    <row r="387">
      <c r="C387" s="1" t="s">
        <v>384</v>
      </c>
      <c r="D387" s="3" t="str">
        <f>IFERROR(__xludf.DUMMYFUNCTION("GOOGLETRANSLATE(C387,""en"",""pl"")"),"potwierdzenie")</f>
        <v>potwierdzenie</v>
      </c>
    </row>
    <row r="388">
      <c r="C388" s="1" t="s">
        <v>385</v>
      </c>
      <c r="D388" s="3" t="str">
        <f>IFERROR(__xludf.DUMMYFUNCTION("GOOGLETRANSLATE(C388,""en"",""pl"")"),"grzyby")</f>
        <v>grzyby</v>
      </c>
    </row>
    <row r="389">
      <c r="C389" s="1" t="s">
        <v>386</v>
      </c>
      <c r="D389" s="3" t="str">
        <f>IFERROR(__xludf.DUMMYFUNCTION("GOOGLETRANSLATE(C389,""en"",""pl"")"),"Cyrus")</f>
        <v>Cyrus</v>
      </c>
    </row>
    <row r="390">
      <c r="C390" s="1" t="s">
        <v>387</v>
      </c>
      <c r="D390" s="3" t="str">
        <f>IFERROR(__xludf.DUMMYFUNCTION("GOOGLETRANSLATE(C390,""en"",""pl"")"),"toni")</f>
        <v>toni</v>
      </c>
    </row>
    <row r="391">
      <c r="C391" s="1" t="s">
        <v>388</v>
      </c>
      <c r="D391" s="3" t="str">
        <f>IFERROR(__xludf.DUMMYFUNCTION("GOOGLETRANSLATE(C391,""en"",""pl"")"),"P.")</f>
        <v>P.</v>
      </c>
    </row>
    <row r="392">
      <c r="C392" s="1" t="s">
        <v>389</v>
      </c>
      <c r="D392" s="3" t="str">
        <f>IFERROR(__xludf.DUMMYFUNCTION("GOOGLETRANSLATE(C392,""en"",""pl"")"),"egzaminy końcowe")</f>
        <v>egzaminy końcowe</v>
      </c>
    </row>
    <row r="393">
      <c r="C393" s="1" t="s">
        <v>390</v>
      </c>
      <c r="D393" s="3" t="str">
        <f>IFERROR(__xludf.DUMMYFUNCTION("GOOGLETRANSLATE(C393,""en"",""pl"")"),"milioner")</f>
        <v>milioner</v>
      </c>
    </row>
    <row r="394">
      <c r="C394" s="1" t="s">
        <v>391</v>
      </c>
      <c r="D394" s="3" t="str">
        <f>IFERROR(__xludf.DUMMYFUNCTION("GOOGLETRANSLATE(C394,""en"",""pl"")"),"przyjęcie")</f>
        <v>przyjęcie</v>
      </c>
    </row>
    <row r="395">
      <c r="C395" s="1" t="s">
        <v>392</v>
      </c>
      <c r="D395" s="3" t="str">
        <f>IFERROR(__xludf.DUMMYFUNCTION("GOOGLETRANSLATE(C395,""en"",""pl"")"),"przewodowy")</f>
        <v>przewodowy</v>
      </c>
    </row>
    <row r="396">
      <c r="C396" s="1" t="s">
        <v>393</v>
      </c>
      <c r="D396" s="3" t="str">
        <f>IFERROR(__xludf.DUMMYFUNCTION("GOOGLETRANSLATE(C396,""en"",""pl"")"),"kometa")</f>
        <v>kometa</v>
      </c>
    </row>
    <row r="397">
      <c r="C397" s="1" t="s">
        <v>394</v>
      </c>
      <c r="D397" s="3" t="str">
        <f>IFERROR(__xludf.DUMMYFUNCTION("GOOGLETRANSLATE(C397,""en"",""pl"")"),"wręczanie")</f>
        <v>wręczanie</v>
      </c>
    </row>
    <row r="398">
      <c r="C398" s="1" t="s">
        <v>395</v>
      </c>
      <c r="D398" s="3" t="str">
        <f>IFERROR(__xludf.DUMMYFUNCTION("GOOGLETRANSLATE(C398,""en"",""pl"")"),"wesoły")</f>
        <v>wesoły</v>
      </c>
    </row>
    <row r="399">
      <c r="C399" s="1" t="s">
        <v>396</v>
      </c>
      <c r="D399" s="3" t="str">
        <f>IFERROR(__xludf.DUMMYFUNCTION("GOOGLETRANSLATE(C399,""en"",""pl"")"),"Debata")</f>
        <v>Debata</v>
      </c>
    </row>
    <row r="400">
      <c r="C400" s="1" t="s">
        <v>397</v>
      </c>
      <c r="D400" s="3" t="str">
        <f>IFERROR(__xludf.DUMMYFUNCTION("GOOGLETRANSLATE(C400,""en"",""pl"")"),"do przyjęcia")</f>
        <v>do przyjęcia</v>
      </c>
    </row>
    <row r="401">
      <c r="C401" s="1" t="s">
        <v>398</v>
      </c>
      <c r="D401" s="3" t="str">
        <f>IFERROR(__xludf.DUMMYFUNCTION("GOOGLETRANSLATE(C401,""en"",""pl"")"),"realistyczny")</f>
        <v>realistyczny</v>
      </c>
    </row>
    <row r="402">
      <c r="C402" s="1" t="s">
        <v>399</v>
      </c>
      <c r="D402" s="3" t="str">
        <f>IFERROR(__xludf.DUMMYFUNCTION("GOOGLETRANSLATE(C402,""en"",""pl"")"),"czeka")</f>
        <v>czeka</v>
      </c>
    </row>
    <row r="403">
      <c r="C403" s="1" t="s">
        <v>400</v>
      </c>
      <c r="D403" s="3" t="str">
        <f>IFERROR(__xludf.DUMMYFUNCTION("GOOGLETRANSLATE(C403,""en"",""pl"")"),"wystarczający")</f>
        <v>wystarczający</v>
      </c>
    </row>
    <row r="404">
      <c r="C404" s="1" t="s">
        <v>401</v>
      </c>
      <c r="D404" s="3" t="str">
        <f>IFERROR(__xludf.DUMMYFUNCTION("GOOGLETRANSLATE(C404,""en"",""pl"")"),"kosmiczny")</f>
        <v>kosmiczny</v>
      </c>
    </row>
    <row r="405">
      <c r="C405" s="1" t="s">
        <v>402</v>
      </c>
      <c r="D405" s="3" t="str">
        <f>IFERROR(__xludf.DUMMYFUNCTION("GOOGLETRANSLATE(C405,""en"",""pl"")"),"Nolan")</f>
        <v>Nolan</v>
      </c>
    </row>
    <row r="406">
      <c r="C406" s="1" t="s">
        <v>403</v>
      </c>
      <c r="D406" s="3" t="str">
        <f>IFERROR(__xludf.DUMMYFUNCTION("GOOGLETRANSLATE(C406,""en"",""pl"")"),"Gabe")</f>
        <v>Gabe</v>
      </c>
    </row>
    <row r="407">
      <c r="C407" s="1" t="s">
        <v>404</v>
      </c>
      <c r="D407" s="3" t="str">
        <f>IFERROR(__xludf.DUMMYFUNCTION("GOOGLETRANSLATE(C407,""en"",""pl"")"),"intelektualny")</f>
        <v>intelektualny</v>
      </c>
    </row>
    <row r="408">
      <c r="C408" s="4" t="s">
        <v>405</v>
      </c>
      <c r="D408" s="3" t="str">
        <f>IFERROR(__xludf.DUMMYFUNCTION("GOOGLETRANSLATE(C408,""en"",""pl"")"),"My")</f>
        <v>My</v>
      </c>
    </row>
    <row r="409">
      <c r="C409" s="1" t="s">
        <v>406</v>
      </c>
      <c r="D409" s="3" t="str">
        <f>IFERROR(__xludf.DUMMYFUNCTION("GOOGLETRANSLATE(C409,""en"",""pl"")"),"wymiotować")</f>
        <v>wymiotować</v>
      </c>
    </row>
    <row r="410">
      <c r="C410" s="1" t="s">
        <v>407</v>
      </c>
      <c r="D410" s="3" t="str">
        <f>IFERROR(__xludf.DUMMYFUNCTION("GOOGLETRANSLATE(C410,""en"",""pl"")"),"ciepło")</f>
        <v>ciepło</v>
      </c>
    </row>
    <row r="411">
      <c r="C411" s="1" t="s">
        <v>408</v>
      </c>
      <c r="D411" s="3" t="str">
        <f>IFERROR(__xludf.DUMMYFUNCTION("GOOGLETRANSLATE(C411,""en"",""pl"")"),"Magnum")</f>
        <v>Magnum</v>
      </c>
    </row>
    <row r="412">
      <c r="C412" s="1" t="s">
        <v>409</v>
      </c>
      <c r="D412" s="3" t="str">
        <f>IFERROR(__xludf.DUMMYFUNCTION("GOOGLETRANSLATE(C412,""en"",""pl"")"),"powiązany")</f>
        <v>powiązany</v>
      </c>
    </row>
    <row r="413">
      <c r="C413" s="1" t="s">
        <v>410</v>
      </c>
      <c r="D413" s="3" t="str">
        <f>IFERROR(__xludf.DUMMYFUNCTION("GOOGLETRANSLATE(C413,""en"",""pl"")"),"Niestety")</f>
        <v>Niestety</v>
      </c>
    </row>
    <row r="414">
      <c r="C414" s="1" t="s">
        <v>411</v>
      </c>
      <c r="D414" s="3" t="str">
        <f>IFERROR(__xludf.DUMMYFUNCTION("GOOGLETRANSLATE(C414,""en"",""pl"")"),"inżynierowie")</f>
        <v>inżynierowie</v>
      </c>
    </row>
    <row r="415">
      <c r="C415" s="1" t="s">
        <v>412</v>
      </c>
      <c r="D415" s="3" t="str">
        <f>IFERROR(__xludf.DUMMYFUNCTION("GOOGLETRANSLATE(C415,""en"",""pl"")"),"obrazić")</f>
        <v>obrazić</v>
      </c>
    </row>
    <row r="416">
      <c r="C416" s="1" t="s">
        <v>413</v>
      </c>
      <c r="D416" s="3" t="str">
        <f>IFERROR(__xludf.DUMMYFUNCTION("GOOGLETRANSLATE(C416,""en"",""pl"")"),"przytłaczający")</f>
        <v>przytłaczający</v>
      </c>
    </row>
    <row r="417">
      <c r="C417" s="1" t="s">
        <v>414</v>
      </c>
      <c r="D417" s="3" t="str">
        <f>IFERROR(__xludf.DUMMYFUNCTION("GOOGLETRANSLATE(C417,""en"",""pl"")"),"sherry")</f>
        <v>sherry</v>
      </c>
    </row>
    <row r="418">
      <c r="C418" s="1" t="s">
        <v>415</v>
      </c>
      <c r="D418" s="3" t="str">
        <f>IFERROR(__xludf.DUMMYFUNCTION("GOOGLETRANSLATE(C418,""en"",""pl"")"),"dziedziczny")</f>
        <v>dziedziczny</v>
      </c>
    </row>
    <row r="419">
      <c r="C419" s="1" t="s">
        <v>416</v>
      </c>
      <c r="D419" s="3" t="str">
        <f>IFERROR(__xludf.DUMMYFUNCTION("GOOGLETRANSLATE(C419,""en"",""pl"")"),"Antoni")</f>
        <v>Antoni</v>
      </c>
    </row>
    <row r="420">
      <c r="C420" s="1" t="s">
        <v>417</v>
      </c>
      <c r="D420" s="3" t="str">
        <f>IFERROR(__xludf.DUMMYFUNCTION("GOOGLETRANSLATE(C420,""en"",""pl"")"),"krztusić się")</f>
        <v>krztusić się</v>
      </c>
    </row>
    <row r="421">
      <c r="C421" s="1" t="s">
        <v>418</v>
      </c>
      <c r="D421" s="3" t="str">
        <f>IFERROR(__xludf.DUMMYFUNCTION("GOOGLETRANSLATE(C421,""en"",""pl"")"),"blizny")</f>
        <v>blizny</v>
      </c>
    </row>
    <row r="422">
      <c r="C422" s="1" t="s">
        <v>419</v>
      </c>
      <c r="D422" s="3" t="str">
        <f>IFERROR(__xludf.DUMMYFUNCTION("GOOGLETRANSLATE(C422,""en"",""pl"")"),"Sheldona")</f>
        <v>Sheldona</v>
      </c>
    </row>
    <row r="423">
      <c r="C423" s="1" t="s">
        <v>420</v>
      </c>
      <c r="D423" s="3" t="str">
        <f>IFERROR(__xludf.DUMMYFUNCTION("GOOGLETRANSLATE(C423,""en"",""pl"")"),"cele")</f>
        <v>cele</v>
      </c>
    </row>
    <row r="424">
      <c r="C424" s="1" t="s">
        <v>421</v>
      </c>
      <c r="D424" s="3" t="str">
        <f>IFERROR(__xludf.DUMMYFUNCTION("GOOGLETRANSLATE(C424,""en"",""pl"")"),"okradanie")</f>
        <v>okradanie</v>
      </c>
    </row>
    <row r="425">
      <c r="C425" s="1" t="s">
        <v>422</v>
      </c>
      <c r="D425" s="3" t="str">
        <f>IFERROR(__xludf.DUMMYFUNCTION("GOOGLETRANSLATE(C425,""en"",""pl"")"),"lodówka")</f>
        <v>lodówka</v>
      </c>
    </row>
    <row r="426">
      <c r="C426" s="1" t="s">
        <v>423</v>
      </c>
      <c r="D426" s="3" t="str">
        <f>IFERROR(__xludf.DUMMYFUNCTION("GOOGLETRANSLATE(C426,""en"",""pl"")"),"instruktor")</f>
        <v>instruktor</v>
      </c>
    </row>
    <row r="427">
      <c r="C427" s="1" t="s">
        <v>424</v>
      </c>
      <c r="D427" s="3" t="str">
        <f>IFERROR(__xludf.DUMMYFUNCTION("GOOGLETRANSLATE(C427,""en"",""pl"")"),"darrin")</f>
        <v>darrin</v>
      </c>
    </row>
    <row r="428">
      <c r="C428" s="1" t="s">
        <v>425</v>
      </c>
      <c r="D428" s="3" t="str">
        <f>IFERROR(__xludf.DUMMYFUNCTION("GOOGLETRANSLATE(C428,""en"",""pl"")"),"mamy")</f>
        <v>mamy</v>
      </c>
    </row>
    <row r="429">
      <c r="C429" s="1" t="s">
        <v>426</v>
      </c>
      <c r="D429" s="3" t="str">
        <f>IFERROR(__xludf.DUMMYFUNCTION("GOOGLETRANSLATE(C429,""en"",""pl"")"),"nadgodziny")</f>
        <v>nadgodziny</v>
      </c>
    </row>
    <row r="430">
      <c r="C430" s="1" t="s">
        <v>427</v>
      </c>
      <c r="D430" s="3" t="str">
        <f>IFERROR(__xludf.DUMMYFUNCTION("GOOGLETRANSLATE(C430,""en"",""pl"")"),"Percy’ego")</f>
        <v>Percy’ego</v>
      </c>
    </row>
    <row r="431">
      <c r="C431" s="1" t="s">
        <v>428</v>
      </c>
      <c r="D431" s="3" t="str">
        <f>IFERROR(__xludf.DUMMYFUNCTION("GOOGLETRANSLATE(C431,""en"",""pl"")"),"laur")</f>
        <v>laur</v>
      </c>
    </row>
    <row r="432">
      <c r="C432" s="1" t="s">
        <v>429</v>
      </c>
      <c r="D432" s="3" t="str">
        <f>IFERROR(__xludf.DUMMYFUNCTION("GOOGLETRANSLATE(C432,""en"",""pl"")"),"samice")</f>
        <v>samice</v>
      </c>
    </row>
    <row r="433">
      <c r="C433" s="1" t="s">
        <v>430</v>
      </c>
      <c r="D433" s="3" t="str">
        <f>IFERROR(__xludf.DUMMYFUNCTION("GOOGLETRANSLATE(C433,""en"",""pl"")"),"ofiary")</f>
        <v>ofiary</v>
      </c>
    </row>
    <row r="434">
      <c r="C434" s="1" t="s">
        <v>431</v>
      </c>
      <c r="D434" s="3" t="str">
        <f>IFERROR(__xludf.DUMMYFUNCTION("GOOGLETRANSLATE(C434,""en"",""pl"")"),"reprezentujący")</f>
        <v>reprezentujący</v>
      </c>
    </row>
    <row r="435">
      <c r="C435" s="1" t="s">
        <v>432</v>
      </c>
      <c r="D435" s="3" t="str">
        <f>IFERROR(__xludf.DUMMYFUNCTION("GOOGLETRANSLATE(C435,""en"",""pl"")"),"dryf")</f>
        <v>dryf</v>
      </c>
    </row>
    <row r="436">
      <c r="C436" s="1" t="s">
        <v>433</v>
      </c>
      <c r="D436" s="3" t="str">
        <f>IFERROR(__xludf.DUMMYFUNCTION("GOOGLETRANSLATE(C436,""en"",""pl"")"),"bezwzględny")</f>
        <v>bezwzględny</v>
      </c>
    </row>
    <row r="437">
      <c r="C437" s="4" t="s">
        <v>434</v>
      </c>
      <c r="D437" s="3" t="str">
        <f>IFERROR(__xludf.DUMMYFUNCTION("GOOGLETRANSLATE(C437,""en"",""pl"")"),"A")</f>
        <v>A</v>
      </c>
    </row>
    <row r="438">
      <c r="C438" s="1" t="s">
        <v>435</v>
      </c>
      <c r="D438" s="3" t="str">
        <f>IFERROR(__xludf.DUMMYFUNCTION("GOOGLETRANSLATE(C438,""en"",""pl"")"),"po")</f>
        <v>po</v>
      </c>
    </row>
    <row r="439">
      <c r="C439" s="1" t="s">
        <v>436</v>
      </c>
      <c r="D439" s="3" t="str">
        <f>IFERROR(__xludf.DUMMYFUNCTION("GOOGLETRANSLATE(C439,""en"",""pl"")"),"argumenty")</f>
        <v>argumenty</v>
      </c>
    </row>
    <row r="440">
      <c r="C440" s="1" t="s">
        <v>437</v>
      </c>
      <c r="D440" s="3" t="str">
        <f>IFERROR(__xludf.DUMMYFUNCTION("GOOGLETRANSLATE(C440,""en"",""pl"")"),"kiepski")</f>
        <v>kiepski</v>
      </c>
    </row>
    <row r="441">
      <c r="C441" s="1" t="s">
        <v>438</v>
      </c>
      <c r="D441" s="3" t="str">
        <f>IFERROR(__xludf.DUMMYFUNCTION("GOOGLETRANSLATE(C441,""en"",""pl"")"),"muzycy")</f>
        <v>muzycy</v>
      </c>
    </row>
    <row r="442">
      <c r="C442" s="1" t="s">
        <v>439</v>
      </c>
      <c r="D442" s="3" t="str">
        <f>IFERROR(__xludf.DUMMYFUNCTION("GOOGLETRANSLATE(C442,""en"",""pl"")"),"Sidney")</f>
        <v>Sidney</v>
      </c>
    </row>
    <row r="443">
      <c r="C443" s="1" t="s">
        <v>440</v>
      </c>
      <c r="D443" s="3" t="str">
        <f>IFERROR(__xludf.DUMMYFUNCTION("GOOGLETRANSLATE(C443,""en"",""pl"")"),"przygnębiający")</f>
        <v>przygnębiający</v>
      </c>
    </row>
    <row r="444">
      <c r="C444" s="1" t="s">
        <v>441</v>
      </c>
      <c r="D444" s="3" t="str">
        <f>IFERROR(__xludf.DUMMYFUNCTION("GOOGLETRANSLATE(C444,""en"",""pl"")"),"trwa")</f>
        <v>trwa</v>
      </c>
    </row>
    <row r="445">
      <c r="C445" s="1" t="s">
        <v>442</v>
      </c>
      <c r="D445" s="3" t="str">
        <f>IFERROR(__xludf.DUMMYFUNCTION("GOOGLETRANSLATE(C445,""en"",""pl"")"),"los")</f>
        <v>los</v>
      </c>
    </row>
    <row r="446">
      <c r="C446" s="1" t="s">
        <v>443</v>
      </c>
      <c r="D446" s="3" t="str">
        <f>IFERROR(__xludf.DUMMYFUNCTION("GOOGLETRANSLATE(C446,""en"",""pl"")"),"Milo")</f>
        <v>Milo</v>
      </c>
    </row>
    <row r="447">
      <c r="C447" s="1" t="s">
        <v>444</v>
      </c>
      <c r="D447" s="3" t="str">
        <f>IFERROR(__xludf.DUMMYFUNCTION("GOOGLETRANSLATE(C447,""en"",""pl"")"),"żargon")</f>
        <v>żargon</v>
      </c>
    </row>
    <row r="448">
      <c r="C448" s="1" t="s">
        <v>445</v>
      </c>
      <c r="D448" s="3" t="str">
        <f>IFERROR(__xludf.DUMMYFUNCTION("GOOGLETRANSLATE(C448,""en"",""pl"")"),"plecak")</f>
        <v>plecak</v>
      </c>
    </row>
    <row r="449">
      <c r="C449" s="1" t="s">
        <v>446</v>
      </c>
      <c r="D449" s="3" t="str">
        <f>IFERROR(__xludf.DUMMYFUNCTION("GOOGLETRANSLATE(C449,""en"",""pl"")"),"nawa")</f>
        <v>nawa</v>
      </c>
    </row>
    <row r="450">
      <c r="C450" s="1" t="s">
        <v>447</v>
      </c>
      <c r="D450" s="3" t="str">
        <f>IFERROR(__xludf.DUMMYFUNCTION("GOOGLETRANSLATE(C450,""en"",""pl"")"),"obraźliwy")</f>
        <v>obraźliwy</v>
      </c>
    </row>
    <row r="451">
      <c r="C451" s="1" t="s">
        <v>448</v>
      </c>
      <c r="D451" s="3" t="str">
        <f>IFERROR(__xludf.DUMMYFUNCTION("GOOGLETRANSLATE(C451,""en"",""pl"")"),"wydanie")</f>
        <v>wydanie</v>
      </c>
    </row>
    <row r="452">
      <c r="C452" s="1" t="s">
        <v>449</v>
      </c>
      <c r="D452" s="3" t="str">
        <f>IFERROR(__xludf.DUMMYFUNCTION("GOOGLETRANSLATE(C452,""en"",""pl"")"),"straty")</f>
        <v>straty</v>
      </c>
    </row>
    <row r="453">
      <c r="C453" s="1" t="s">
        <v>450</v>
      </c>
      <c r="D453" s="3" t="str">
        <f>IFERROR(__xludf.DUMMYFUNCTION("GOOGLETRANSLATE(C453,""en"",""pl"")"),"cii")</f>
        <v>cii</v>
      </c>
    </row>
    <row r="454">
      <c r="C454" s="1" t="s">
        <v>451</v>
      </c>
      <c r="D454" s="3" t="str">
        <f>IFERROR(__xludf.DUMMYFUNCTION("GOOGLETRANSLATE(C454,""en"",""pl"")"),"kaznodzieja")</f>
        <v>kaznodzieja</v>
      </c>
    </row>
    <row r="455">
      <c r="C455" s="1" t="s">
        <v>452</v>
      </c>
      <c r="D455" s="3" t="str">
        <f>IFERROR(__xludf.DUMMYFUNCTION("GOOGLETRANSLATE(C455,""en"",""pl"")"),"Szmidt")</f>
        <v>Szmidt</v>
      </c>
    </row>
    <row r="456">
      <c r="C456" s="1" t="s">
        <v>453</v>
      </c>
      <c r="D456" s="3" t="str">
        <f>IFERROR(__xludf.DUMMYFUNCTION("GOOGLETRANSLATE(C456,""en"",""pl"")"),"wahadłowy")</f>
        <v>wahadłowy</v>
      </c>
    </row>
    <row r="457">
      <c r="C457" s="1" t="s">
        <v>454</v>
      </c>
      <c r="D457" s="3" t="str">
        <f>IFERROR(__xludf.DUMMYFUNCTION("GOOGLETRANSLATE(C457,""en"",""pl"")"),"zarządzający")</f>
        <v>zarządzający</v>
      </c>
    </row>
    <row r="458">
      <c r="C458" s="1" t="s">
        <v>455</v>
      </c>
      <c r="D458" s="3" t="str">
        <f>IFERROR(__xludf.DUMMYFUNCTION("GOOGLETRANSLATE(C458,""en"",""pl"")"),"tonący")</f>
        <v>tonący</v>
      </c>
    </row>
    <row r="459">
      <c r="C459" s="1" t="s">
        <v>456</v>
      </c>
      <c r="D459" s="3" t="str">
        <f>IFERROR(__xludf.DUMMYFUNCTION("GOOGLETRANSLATE(C459,""en"",""pl"")"),"koronkowy")</f>
        <v>koronkowy</v>
      </c>
    </row>
    <row r="460">
      <c r="C460" s="1" t="s">
        <v>457</v>
      </c>
      <c r="D460" s="3" t="str">
        <f>IFERROR(__xludf.DUMMYFUNCTION("GOOGLETRANSLATE(C460,""en"",""pl"")"),"odlew")</f>
        <v>odlew</v>
      </c>
    </row>
    <row r="461">
      <c r="C461" s="1" t="s">
        <v>458</v>
      </c>
      <c r="D461" s="3" t="str">
        <f>IFERROR(__xludf.DUMMYFUNCTION("GOOGLETRANSLATE(C461,""en"",""pl"")"),"próby")</f>
        <v>próby</v>
      </c>
    </row>
    <row r="462">
      <c r="C462" s="1" t="s">
        <v>459</v>
      </c>
      <c r="D462" s="3" t="str">
        <f>IFERROR(__xludf.DUMMYFUNCTION("GOOGLETRANSLATE(C462,""en"",""pl"")"),"wykazać")</f>
        <v>wykazać</v>
      </c>
    </row>
    <row r="463">
      <c r="C463" s="1" t="s">
        <v>460</v>
      </c>
      <c r="D463" s="3" t="str">
        <f>IFERROR(__xludf.DUMMYFUNCTION("GOOGLETRANSLATE(C463,""en"",""pl"")"),"choroby")</f>
        <v>choroby</v>
      </c>
    </row>
    <row r="464">
      <c r="C464" s="1" t="s">
        <v>461</v>
      </c>
      <c r="D464" s="3" t="str">
        <f>IFERROR(__xludf.DUMMYFUNCTION("GOOGLETRANSLATE(C464,""en"",""pl"")"),"żebrak")</f>
        <v>żebrak</v>
      </c>
    </row>
    <row r="465">
      <c r="C465" s="1" t="s">
        <v>462</v>
      </c>
      <c r="D465" s="3" t="str">
        <f>IFERROR(__xludf.DUMMYFUNCTION("GOOGLETRANSLATE(C465,""en"",""pl"")"),"ilości")</f>
        <v>ilości</v>
      </c>
    </row>
    <row r="466">
      <c r="C466" s="1" t="s">
        <v>463</v>
      </c>
      <c r="D466" s="3" t="str">
        <f>IFERROR(__xludf.DUMMYFUNCTION("GOOGLETRANSLATE(C466,""en"",""pl"")"),"śledzony")</f>
        <v>śledzony</v>
      </c>
    </row>
    <row r="467">
      <c r="C467" s="1" t="s">
        <v>464</v>
      </c>
      <c r="D467" s="3" t="str">
        <f>IFERROR(__xludf.DUMMYFUNCTION("GOOGLETRANSLATE(C467,""en"",""pl"")"),"kruk")</f>
        <v>kruk</v>
      </c>
    </row>
    <row r="468">
      <c r="C468" s="1" t="s">
        <v>465</v>
      </c>
      <c r="D468" s="3" t="str">
        <f>IFERROR(__xludf.DUMMYFUNCTION("GOOGLETRANSLATE(C468,""en"",""pl"")"),"aktywować")</f>
        <v>aktywować</v>
      </c>
    </row>
    <row r="469">
      <c r="C469" s="1" t="s">
        <v>466</v>
      </c>
      <c r="D469" s="3" t="str">
        <f>IFERROR(__xludf.DUMMYFUNCTION("GOOGLETRANSLATE(C469,""en"",""pl"")"),"uderzył")</f>
        <v>uderzył</v>
      </c>
    </row>
    <row r="470">
      <c r="C470" s="1" t="s">
        <v>467</v>
      </c>
      <c r="D470" s="3" t="str">
        <f>IFERROR(__xludf.DUMMYFUNCTION("GOOGLETRANSLATE(C470,""en"",""pl"")"),"heroiczny")</f>
        <v>heroiczny</v>
      </c>
    </row>
    <row r="471">
      <c r="C471" s="1" t="s">
        <v>468</v>
      </c>
      <c r="D471" s="3" t="str">
        <f>IFERROR(__xludf.DUMMYFUNCTION("GOOGLETRANSLATE(C471,""en"",""pl"")"),"ryk")</f>
        <v>ryk</v>
      </c>
    </row>
    <row r="472">
      <c r="C472" s="1" t="s">
        <v>469</v>
      </c>
      <c r="D472" s="3" t="str">
        <f>IFERROR(__xludf.DUMMYFUNCTION("GOOGLETRANSLATE(C472,""en"",""pl"")"),"queer")</f>
        <v>queer</v>
      </c>
    </row>
    <row r="473">
      <c r="C473" s="1" t="s">
        <v>470</v>
      </c>
      <c r="D473" s="3" t="str">
        <f>IFERROR(__xludf.DUMMYFUNCTION("GOOGLETRANSLATE(C473,""en"",""pl"")"),"Wielka Brytania")</f>
        <v>Wielka Brytania</v>
      </c>
    </row>
    <row r="474">
      <c r="C474" s="1" t="s">
        <v>471</v>
      </c>
      <c r="D474" s="3" t="str">
        <f>IFERROR(__xludf.DUMMYFUNCTION("GOOGLETRANSLATE(C474,""en"",""pl"")"),"dopasowanie")</f>
        <v>dopasowanie</v>
      </c>
    </row>
    <row r="475">
      <c r="C475" s="1" t="s">
        <v>472</v>
      </c>
      <c r="D475" s="3" t="str">
        <f>IFERROR(__xludf.DUMMYFUNCTION("GOOGLETRANSLATE(C475,""en"",""pl"")"),"atut")</f>
        <v>atut</v>
      </c>
    </row>
    <row r="476">
      <c r="C476" s="1" t="s">
        <v>473</v>
      </c>
      <c r="D476" s="3" t="str">
        <f>IFERROR(__xludf.DUMMYFUNCTION("GOOGLETRANSLATE(C476,""en"",""pl"")"),"rezygnacja")</f>
        <v>rezygnacja</v>
      </c>
    </row>
    <row r="477">
      <c r="C477" s="1" t="s">
        <v>474</v>
      </c>
      <c r="D477" s="3" t="str">
        <f>IFERROR(__xludf.DUMMYFUNCTION("GOOGLETRANSLATE(C477,""en"",""pl"")"),"niuton")</f>
        <v>niuton</v>
      </c>
    </row>
    <row r="478">
      <c r="C478" s="1" t="s">
        <v>475</v>
      </c>
      <c r="D478" s="3" t="str">
        <f>IFERROR(__xludf.DUMMYFUNCTION("GOOGLETRANSLATE(C478,""en"",""pl"")"),"z poważaniem")</f>
        <v>z poważaniem</v>
      </c>
    </row>
    <row r="479">
      <c r="C479" s="1" t="s">
        <v>476</v>
      </c>
      <c r="D479" s="3" t="str">
        <f>IFERROR(__xludf.DUMMYFUNCTION("GOOGLETRANSLATE(C479,""en"",""pl"")"),"Stacy")</f>
        <v>Stacy</v>
      </c>
    </row>
    <row r="480">
      <c r="C480" s="1" t="s">
        <v>477</v>
      </c>
      <c r="D480" s="3" t="str">
        <f>IFERROR(__xludf.DUMMYFUNCTION("GOOGLETRANSLATE(C480,""en"",""pl"")"),"Szaweł")</f>
        <v>Szaweł</v>
      </c>
    </row>
    <row r="481">
      <c r="C481" s="1" t="s">
        <v>478</v>
      </c>
      <c r="D481" s="3" t="str">
        <f>IFERROR(__xludf.DUMMYFUNCTION("GOOGLETRANSLATE(C481,""en"",""pl"")"),"szaleniec")</f>
        <v>szaleniec</v>
      </c>
    </row>
    <row r="482">
      <c r="C482" s="1" t="s">
        <v>479</v>
      </c>
      <c r="D482" s="3" t="str">
        <f>IFERROR(__xludf.DUMMYFUNCTION("GOOGLETRANSLATE(C482,""en"",""pl"")"),"Jenkins")</f>
        <v>Jenkins</v>
      </c>
    </row>
    <row r="483">
      <c r="C483" s="1" t="s">
        <v>480</v>
      </c>
      <c r="D483" s="3" t="str">
        <f>IFERROR(__xludf.DUMMYFUNCTION("GOOGLETRANSLATE(C483,""en"",""pl"")"),"grzebać")</f>
        <v>grzebać</v>
      </c>
    </row>
    <row r="484">
      <c r="C484" s="1" t="s">
        <v>481</v>
      </c>
      <c r="D484" s="3" t="str">
        <f>IFERROR(__xludf.DUMMYFUNCTION("GOOGLETRANSLATE(C484,""en"",""pl"")"),"pikantny")</f>
        <v>pikantny</v>
      </c>
    </row>
    <row r="485">
      <c r="C485" s="1" t="s">
        <v>482</v>
      </c>
      <c r="D485" s="3" t="str">
        <f>IFERROR(__xludf.DUMMYFUNCTION("GOOGLETRANSLATE(C485,""en"",""pl"")"),"zamieniać")</f>
        <v>zamieniać</v>
      </c>
    </row>
    <row r="486">
      <c r="C486" s="1" t="s">
        <v>483</v>
      </c>
      <c r="D486" s="3" t="str">
        <f>IFERROR(__xludf.DUMMYFUNCTION("GOOGLETRANSLATE(C486,""en"",""pl"")"),"programy")</f>
        <v>programy</v>
      </c>
    </row>
    <row r="487">
      <c r="C487" s="1" t="s">
        <v>484</v>
      </c>
      <c r="D487" s="3" t="str">
        <f>IFERROR(__xludf.DUMMYFUNCTION("GOOGLETRANSLATE(C487,""en"",""pl"")"),"zwykły")</f>
        <v>zwykły</v>
      </c>
    </row>
    <row r="488">
      <c r="C488" s="1" t="s">
        <v>485</v>
      </c>
      <c r="D488" s="3" t="str">
        <f>IFERROR(__xludf.DUMMYFUNCTION("GOOGLETRANSLATE(C488,""en"",""pl"")"),"statek kosmiczny")</f>
        <v>statek kosmiczny</v>
      </c>
    </row>
    <row r="489">
      <c r="C489" s="1" t="s">
        <v>486</v>
      </c>
      <c r="D489" s="3" t="str">
        <f>IFERROR(__xludf.DUMMYFUNCTION("GOOGLETRANSLATE(C489,""en"",""pl"")"),"Schulz")</f>
        <v>Schulz</v>
      </c>
    </row>
    <row r="490">
      <c r="C490" s="1" t="s">
        <v>487</v>
      </c>
      <c r="D490" s="3" t="str">
        <f>IFERROR(__xludf.DUMMYFUNCTION("GOOGLETRANSLATE(C490,""en"",""pl"")"),"migać")</f>
        <v>migać</v>
      </c>
    </row>
    <row r="491">
      <c r="C491" s="1" t="s">
        <v>488</v>
      </c>
      <c r="D491" s="3" t="str">
        <f>IFERROR(__xludf.DUMMYFUNCTION("GOOGLETRANSLATE(C491,""en"",""pl"")"),"sterować")</f>
        <v>sterować</v>
      </c>
    </row>
    <row r="492">
      <c r="C492" s="1" t="s">
        <v>489</v>
      </c>
      <c r="D492" s="3" t="str">
        <f>IFERROR(__xludf.DUMMYFUNCTION("GOOGLETRANSLATE(C492,""en"",""pl"")"),"mężczyźni")</f>
        <v>mężczyźni</v>
      </c>
    </row>
    <row r="493">
      <c r="C493" s="1" t="s">
        <v>490</v>
      </c>
      <c r="D493" s="3" t="str">
        <f>IFERROR(__xludf.DUMMYFUNCTION("GOOGLETRANSLATE(C493,""en"",""pl"")"),"zastrzyk")</f>
        <v>zastrzyk</v>
      </c>
    </row>
    <row r="494">
      <c r="C494" s="1" t="s">
        <v>491</v>
      </c>
      <c r="D494" s="3" t="str">
        <f>IFERROR(__xludf.DUMMYFUNCTION("GOOGLETRANSLATE(C494,""en"",""pl"")"),"wiedzieć-")</f>
        <v>wiedzieć-</v>
      </c>
    </row>
    <row r="495">
      <c r="C495" s="1" t="s">
        <v>492</v>
      </c>
      <c r="D495" s="3" t="str">
        <f>IFERROR(__xludf.DUMMYFUNCTION("GOOGLETRANSLATE(C495,""en"",""pl"")"),"mrówka")</f>
        <v>mrówka</v>
      </c>
    </row>
    <row r="496">
      <c r="C496" s="1" t="s">
        <v>493</v>
      </c>
      <c r="D496" s="3" t="str">
        <f>IFERROR(__xludf.DUMMYFUNCTION("GOOGLETRANSLATE(C496,""en"",""pl"")"),"reforma")</f>
        <v>reforma</v>
      </c>
    </row>
    <row r="497">
      <c r="C497" s="1" t="s">
        <v>494</v>
      </c>
      <c r="D497" s="3" t="str">
        <f>IFERROR(__xludf.DUMMYFUNCTION("GOOGLETRANSLATE(C497,""en"",""pl"")"),"teściowa")</f>
        <v>teściowa</v>
      </c>
    </row>
    <row r="498">
      <c r="C498" s="1" t="s">
        <v>495</v>
      </c>
      <c r="D498" s="3" t="str">
        <f>IFERROR(__xludf.DUMMYFUNCTION("GOOGLETRANSLATE(C498,""en"",""pl"")"),"Właściwości")</f>
        <v>Właściwości</v>
      </c>
    </row>
    <row r="499">
      <c r="C499" s="1" t="s">
        <v>496</v>
      </c>
      <c r="D499" s="3" t="str">
        <f>IFERROR(__xludf.DUMMYFUNCTION("GOOGLETRANSLATE(C499,""en"",""pl"")"),"prawie")</f>
        <v>prawie</v>
      </c>
    </row>
    <row r="500">
      <c r="C500" s="1" t="s">
        <v>497</v>
      </c>
      <c r="D500" s="3" t="str">
        <f>IFERROR(__xludf.DUMMYFUNCTION("GOOGLETRANSLATE(C500,""en"",""pl"")"),"obozy")</f>
        <v>obozy</v>
      </c>
    </row>
    <row r="501">
      <c r="C501" s="1" t="s">
        <v>498</v>
      </c>
      <c r="D501" s="3" t="str">
        <f>IFERROR(__xludf.DUMMYFUNCTION("GOOGLETRANSLATE(C501,""en"",""pl"")"),"stukający")</f>
        <v>stukający</v>
      </c>
    </row>
    <row r="502">
      <c r="C502" s="1" t="s">
        <v>499</v>
      </c>
      <c r="D502" s="3" t="str">
        <f>IFERROR(__xludf.DUMMYFUNCTION("GOOGLETRANSLATE(C502,""en"",""pl"")"),"tequila")</f>
        <v>tequila</v>
      </c>
    </row>
    <row r="503">
      <c r="C503" s="1" t="s">
        <v>500</v>
      </c>
      <c r="D503" s="3" t="str">
        <f>IFERROR(__xludf.DUMMYFUNCTION("GOOGLETRANSLATE(C503,""en"",""pl"")"),"zapytanie")</f>
        <v>zapytanie</v>
      </c>
    </row>
    <row r="504">
      <c r="C504" s="1" t="s">
        <v>501</v>
      </c>
      <c r="D504" s="3" t="str">
        <f>IFERROR(__xludf.DUMMYFUNCTION("GOOGLETRANSLATE(C504,""en"",""pl"")"),"zemdlał")</f>
        <v>zemdlał</v>
      </c>
    </row>
    <row r="505">
      <c r="C505" s="1" t="s">
        <v>502</v>
      </c>
      <c r="D505" s="3" t="str">
        <f>IFERROR(__xludf.DUMMYFUNCTION("GOOGLETRANSLATE(C505,""en"",""pl"")"),"tworzenie")</f>
        <v>tworzenie</v>
      </c>
    </row>
    <row r="506">
      <c r="C506" s="1" t="s">
        <v>503</v>
      </c>
      <c r="D506" s="3" t="str">
        <f>IFERROR(__xludf.DUMMYFUNCTION("GOOGLETRANSLATE(C506,""en"",""pl"")"),"tarcze")</f>
        <v>tarcze</v>
      </c>
    </row>
    <row r="507">
      <c r="C507" s="1" t="s">
        <v>504</v>
      </c>
      <c r="D507" s="3" t="str">
        <f>IFERROR(__xludf.DUMMYFUNCTION("GOOGLETRANSLATE(C507,""en"",""pl"")"),"ucieczka")</f>
        <v>ucieczka</v>
      </c>
    </row>
    <row r="508">
      <c r="C508" s="1" t="s">
        <v>505</v>
      </c>
      <c r="D508" s="3" t="str">
        <f>IFERROR(__xludf.DUMMYFUNCTION("GOOGLETRANSLATE(C508,""en"",""pl"")"),"bezrobotni")</f>
        <v>bezrobotni</v>
      </c>
    </row>
    <row r="509">
      <c r="C509" s="1" t="s">
        <v>506</v>
      </c>
      <c r="D509" s="3" t="str">
        <f>IFERROR(__xludf.DUMMYFUNCTION("GOOGLETRANSLATE(C509,""en"",""pl"")"),"mordowanie")</f>
        <v>mordowanie</v>
      </c>
    </row>
    <row r="510">
      <c r="C510" s="1" t="s">
        <v>507</v>
      </c>
      <c r="D510" s="3" t="str">
        <f>IFERROR(__xludf.DUMMYFUNCTION("GOOGLETRANSLATE(C510,""en"",""pl"")"),"przeprowadzony wywiad")</f>
        <v>przeprowadzony wywiad</v>
      </c>
    </row>
    <row r="511">
      <c r="C511" s="1" t="s">
        <v>508</v>
      </c>
      <c r="D511" s="3" t="str">
        <f>IFERROR(__xludf.DUMMYFUNCTION("GOOGLETRANSLATE(C511,""en"",""pl"")"),"uderzający")</f>
        <v>uderzający</v>
      </c>
    </row>
    <row r="512">
      <c r="C512" s="1" t="s">
        <v>509</v>
      </c>
      <c r="D512" s="3" t="str">
        <f>IFERROR(__xludf.DUMMYFUNCTION("GOOGLETRANSLATE(C512,""en"",""pl"")"),"śluby")</f>
        <v>śluby</v>
      </c>
    </row>
    <row r="513">
      <c r="C513" s="1" t="s">
        <v>510</v>
      </c>
      <c r="D513" s="3" t="str">
        <f>IFERROR(__xludf.DUMMYFUNCTION("GOOGLETRANSLATE(C513,""en"",""pl"")"),"Donovan")</f>
        <v>Donovan</v>
      </c>
    </row>
    <row r="514">
      <c r="C514" s="1" t="s">
        <v>511</v>
      </c>
      <c r="D514" s="3" t="str">
        <f>IFERROR(__xludf.DUMMYFUNCTION("GOOGLETRANSLATE(C514,""en"",""pl"")"),"antyczny")</f>
        <v>antyczny</v>
      </c>
    </row>
    <row r="515">
      <c r="C515" s="1" t="s">
        <v>512</v>
      </c>
      <c r="D515" s="3" t="str">
        <f>IFERROR(__xludf.DUMMYFUNCTION("GOOGLETRANSLATE(C515,""en"",""pl"")"),"zły")</f>
        <v>zły</v>
      </c>
    </row>
    <row r="516">
      <c r="C516" s="1" t="s">
        <v>513</v>
      </c>
      <c r="D516" s="3" t="str">
        <f>IFERROR(__xludf.DUMMYFUNCTION("GOOGLETRANSLATE(C516,""en"",""pl"")"),"Sherlock")</f>
        <v>Sherlock</v>
      </c>
    </row>
    <row r="517">
      <c r="C517" s="1" t="s">
        <v>514</v>
      </c>
      <c r="D517" s="3" t="str">
        <f>IFERROR(__xludf.DUMMYFUNCTION("GOOGLETRANSLATE(C517,""en"",""pl"")"),"rzygać")</f>
        <v>rzygać</v>
      </c>
    </row>
    <row r="518">
      <c r="C518" s="1" t="s">
        <v>515</v>
      </c>
      <c r="D518" s="3" t="str">
        <f>IFERROR(__xludf.DUMMYFUNCTION("GOOGLETRANSLATE(C518,""en"",""pl"")"),"histeryczny")</f>
        <v>histeryczny</v>
      </c>
    </row>
    <row r="519">
      <c r="C519" s="1" t="s">
        <v>516</v>
      </c>
      <c r="D519" s="3" t="str">
        <f>IFERROR(__xludf.DUMMYFUNCTION("GOOGLETRANSLATE(C519,""en"",""pl"")"),"wyższy")</f>
        <v>wyższy</v>
      </c>
    </row>
    <row r="520">
      <c r="C520" s="1" t="s">
        <v>517</v>
      </c>
      <c r="D520" s="3" t="str">
        <f>IFERROR(__xludf.DUMMYFUNCTION("GOOGLETRANSLATE(C520,""en"",""pl"")"),"zatrudnienie")</f>
        <v>zatrudnienie</v>
      </c>
    </row>
    <row r="521">
      <c r="C521" s="1" t="s">
        <v>518</v>
      </c>
      <c r="D521" s="3" t="str">
        <f>IFERROR(__xludf.DUMMYFUNCTION("GOOGLETRANSLATE(C521,""en"",""pl"")"),"to jest")</f>
        <v>to jest</v>
      </c>
    </row>
    <row r="522">
      <c r="C522" s="1" t="s">
        <v>519</v>
      </c>
      <c r="D522" s="3" t="str">
        <f>IFERROR(__xludf.DUMMYFUNCTION("GOOGLETRANSLATE(C522,""en"",""pl"")"),"zgadza się")</f>
        <v>zgadza się</v>
      </c>
    </row>
    <row r="523">
      <c r="C523" s="1" t="s">
        <v>520</v>
      </c>
      <c r="D523" s="3" t="str">
        <f>IFERROR(__xludf.DUMMYFUNCTION("GOOGLETRANSLATE(C523,""en"",""pl"")"),"unik")</f>
        <v>unik</v>
      </c>
    </row>
    <row r="524">
      <c r="C524" s="1" t="s">
        <v>521</v>
      </c>
      <c r="D524" s="3" t="str">
        <f>IFERROR(__xludf.DUMMYFUNCTION("GOOGLETRANSLATE(C524,""en"",""pl"")"),"zjednoczyć")</f>
        <v>zjednoczyć</v>
      </c>
    </row>
    <row r="525">
      <c r="C525" s="1" t="s">
        <v>522</v>
      </c>
      <c r="D525" s="3" t="str">
        <f>IFERROR(__xludf.DUMMYFUNCTION("GOOGLETRANSLATE(C525,""en"",""pl"")"),"mamroczący")</f>
        <v>mamroczący</v>
      </c>
    </row>
    <row r="526">
      <c r="C526" s="1" t="s">
        <v>523</v>
      </c>
      <c r="D526" s="3" t="str">
        <f>IFERROR(__xludf.DUMMYFUNCTION("GOOGLETRANSLATE(C526,""en"",""pl"")"),"króliki")</f>
        <v>króliki</v>
      </c>
    </row>
    <row r="527">
      <c r="C527" s="1" t="s">
        <v>524</v>
      </c>
      <c r="D527" s="3" t="str">
        <f>IFERROR(__xludf.DUMMYFUNCTION("GOOGLETRANSLATE(C527,""en"",""pl"")"),"powtórzenie")</f>
        <v>powtórzenie</v>
      </c>
    </row>
    <row r="528">
      <c r="C528" s="1" t="s">
        <v>525</v>
      </c>
      <c r="D528" s="3" t="str">
        <f>IFERROR(__xludf.DUMMYFUNCTION("GOOGLETRANSLATE(C528,""en"",""pl"")"),"muł")</f>
        <v>muł</v>
      </c>
    </row>
    <row r="529">
      <c r="C529" s="1" t="s">
        <v>526</v>
      </c>
      <c r="D529" s="3" t="str">
        <f>IFERROR(__xludf.DUMMYFUNCTION("GOOGLETRANSLATE(C529,""en"",""pl"")"),"miejscowi")</f>
        <v>miejscowi</v>
      </c>
    </row>
    <row r="530">
      <c r="C530" s="1" t="s">
        <v>527</v>
      </c>
      <c r="D530" s="3" t="str">
        <f>IFERROR(__xludf.DUMMYFUNCTION("GOOGLETRANSLATE(C530,""en"",""pl"")"),"cz.")</f>
        <v>cz.</v>
      </c>
    </row>
    <row r="531">
      <c r="C531" s="1" t="s">
        <v>528</v>
      </c>
      <c r="D531" s="3" t="str">
        <f>IFERROR(__xludf.DUMMYFUNCTION("GOOGLETRANSLATE(C531,""en"",""pl"")"),"sąsiedztwo")</f>
        <v>sąsiedztwo</v>
      </c>
    </row>
    <row r="532">
      <c r="C532" s="1" t="s">
        <v>529</v>
      </c>
      <c r="D532" s="3" t="str">
        <f>IFERROR(__xludf.DUMMYFUNCTION("GOOGLETRANSLATE(C532,""en"",""pl"")"),"siano")</f>
        <v>siano</v>
      </c>
    </row>
    <row r="533">
      <c r="C533" s="1" t="s">
        <v>530</v>
      </c>
      <c r="D533" s="3" t="str">
        <f>IFERROR(__xludf.DUMMYFUNCTION("GOOGLETRANSLATE(C533,""en"",""pl"")"),"nietoperze")</f>
        <v>nietoperze</v>
      </c>
    </row>
    <row r="534">
      <c r="C534" s="1" t="s">
        <v>531</v>
      </c>
      <c r="D534" s="3" t="str">
        <f>IFERROR(__xludf.DUMMYFUNCTION("GOOGLETRANSLATE(C534,""en"",""pl"")"),"wierzenia")</f>
        <v>wierzenia</v>
      </c>
    </row>
    <row r="535">
      <c r="C535" s="1" t="s">
        <v>532</v>
      </c>
      <c r="D535" s="3" t="str">
        <f>IFERROR(__xludf.DUMMYFUNCTION("GOOGLETRANSLATE(C535,""en"",""pl"")"),"oszczędzony")</f>
        <v>oszczędzony</v>
      </c>
    </row>
    <row r="536">
      <c r="C536" s="1" t="s">
        <v>533</v>
      </c>
      <c r="D536" s="3" t="str">
        <f>IFERROR(__xludf.DUMMYFUNCTION("GOOGLETRANSLATE(C536,""en"",""pl"")"),"warzywo")</f>
        <v>warzywo</v>
      </c>
    </row>
    <row r="537">
      <c r="C537" s="1" t="s">
        <v>534</v>
      </c>
      <c r="D537" s="3" t="str">
        <f>IFERROR(__xludf.DUMMYFUNCTION("GOOGLETRANSLATE(C537,""en"",""pl"")"),"ch00ffff")</f>
        <v>ch00ffff</v>
      </c>
    </row>
    <row r="538">
      <c r="C538" s="1" t="s">
        <v>535</v>
      </c>
      <c r="D538" s="3" t="str">
        <f>IFERROR(__xludf.DUMMYFUNCTION("GOOGLETRANSLATE(C538,""en"",""pl"")"),"żyć")</f>
        <v>żyć</v>
      </c>
    </row>
    <row r="539">
      <c r="C539" s="1" t="s">
        <v>536</v>
      </c>
      <c r="D539" s="3" t="str">
        <f>IFERROR(__xludf.DUMMYFUNCTION("GOOGLETRANSLATE(C539,""en"",""pl"")"),"bunkier")</f>
        <v>bunkier</v>
      </c>
    </row>
    <row r="540">
      <c r="C540" s="1" t="s">
        <v>537</v>
      </c>
      <c r="D540" s="3" t="str">
        <f>IFERROR(__xludf.DUMMYFUNCTION("GOOGLETRANSLATE(C540,""en"",""pl"")"),"kanały")</f>
        <v>kanały</v>
      </c>
    </row>
    <row r="541">
      <c r="C541" s="1" t="s">
        <v>538</v>
      </c>
      <c r="D541" s="3" t="str">
        <f>IFERROR(__xludf.DUMMYFUNCTION("GOOGLETRANSLATE(C541,""en"",""pl"")"),"zjawisko")</f>
        <v>zjawisko</v>
      </c>
    </row>
    <row r="542">
      <c r="C542" s="1" t="s">
        <v>539</v>
      </c>
      <c r="D542" s="3" t="str">
        <f>IFERROR(__xludf.DUMMYFUNCTION("GOOGLETRANSLATE(C542,""en"",""pl"")"),"biodra")</f>
        <v>biodra</v>
      </c>
    </row>
    <row r="543">
      <c r="C543" s="1" t="s">
        <v>540</v>
      </c>
      <c r="D543" s="3" t="str">
        <f>IFERROR(__xludf.DUMMYFUNCTION("GOOGLETRANSLATE(C543,""en"",""pl"")"),"Grayson")</f>
        <v>Grayson</v>
      </c>
    </row>
    <row r="544">
      <c r="C544" s="1" t="s">
        <v>541</v>
      </c>
      <c r="D544" s="3" t="str">
        <f>IFERROR(__xludf.DUMMYFUNCTION("GOOGLETRANSLATE(C544,""en"",""pl"")"),"wydalony")</f>
        <v>wydalony</v>
      </c>
    </row>
    <row r="545">
      <c r="C545" s="1" t="s">
        <v>542</v>
      </c>
      <c r="D545" s="3" t="str">
        <f>IFERROR(__xludf.DUMMYFUNCTION("GOOGLETRANSLATE(C545,""en"",""pl"")"),"Kamil")</f>
        <v>Kamil</v>
      </c>
    </row>
    <row r="546">
      <c r="C546" s="1" t="s">
        <v>543</v>
      </c>
      <c r="D546" s="3" t="str">
        <f>IFERROR(__xludf.DUMMYFUNCTION("GOOGLETRANSLATE(C546,""en"",""pl"")"),"języki")</f>
        <v>języki</v>
      </c>
    </row>
    <row r="547">
      <c r="C547" s="1" t="s">
        <v>544</v>
      </c>
      <c r="D547" s="3" t="str">
        <f>IFERROR(__xludf.DUMMYFUNCTION("GOOGLETRANSLATE(C547,""en"",""pl"")"),"dożylnie")</f>
        <v>dożylnie</v>
      </c>
    </row>
    <row r="548">
      <c r="C548" s="1" t="s">
        <v>545</v>
      </c>
      <c r="D548" s="3" t="str">
        <f>IFERROR(__xludf.DUMMYFUNCTION("GOOGLETRANSLATE(C548,""en"",""pl"")"),"lokal")</f>
        <v>lokal</v>
      </c>
    </row>
    <row r="549">
      <c r="C549" s="1" t="s">
        <v>546</v>
      </c>
      <c r="D549" s="3" t="str">
        <f>IFERROR(__xludf.DUMMYFUNCTION("GOOGLETRANSLATE(C549,""en"",""pl"")"),"wymawiać")</f>
        <v>wymawiać</v>
      </c>
    </row>
    <row r="550">
      <c r="C550" s="1" t="s">
        <v>547</v>
      </c>
      <c r="D550" s="3" t="str">
        <f>IFERROR(__xludf.DUMMYFUNCTION("GOOGLETRANSLATE(C550,""en"",""pl"")"),"ng")</f>
        <v>ng</v>
      </c>
    </row>
    <row r="551">
      <c r="C551" s="1" t="s">
        <v>548</v>
      </c>
      <c r="D551" s="3" t="str">
        <f>IFERROR(__xludf.DUMMYFUNCTION("GOOGLETRANSLATE(C551,""en"",""pl"")"),"mosty")</f>
        <v>mosty</v>
      </c>
    </row>
    <row r="552">
      <c r="C552" s="1" t="s">
        <v>549</v>
      </c>
      <c r="D552" s="3" t="str">
        <f>IFERROR(__xludf.DUMMYFUNCTION("GOOGLETRANSLATE(C552,""en"",""pl"")"),"małpa")</f>
        <v>małpa</v>
      </c>
    </row>
    <row r="553">
      <c r="C553" s="1" t="s">
        <v>550</v>
      </c>
      <c r="D553" s="3" t="str">
        <f>IFERROR(__xludf.DUMMYFUNCTION("GOOGLETRANSLATE(C553,""en"",""pl"")"),"Juliusz")</f>
        <v>Juliusz</v>
      </c>
    </row>
    <row r="554">
      <c r="C554" s="1" t="s">
        <v>551</v>
      </c>
      <c r="D554" s="3" t="str">
        <f>IFERROR(__xludf.DUMMYFUNCTION("GOOGLETRANSLATE(C554,""en"",""pl"")"),"siniaki")</f>
        <v>siniaki</v>
      </c>
    </row>
    <row r="555">
      <c r="C555" s="1" t="s">
        <v>552</v>
      </c>
      <c r="D555" s="3" t="str">
        <f>IFERROR(__xludf.DUMMYFUNCTION("GOOGLETRANSLATE(C555,""en"",""pl"")"),"skazać")</f>
        <v>skazać</v>
      </c>
    </row>
    <row r="556">
      <c r="C556" s="1" t="s">
        <v>553</v>
      </c>
      <c r="D556" s="3" t="str">
        <f>IFERROR(__xludf.DUMMYFUNCTION("GOOGLETRANSLATE(C556,""en"",""pl"")"),"ładniejszy")</f>
        <v>ładniejszy</v>
      </c>
    </row>
    <row r="557">
      <c r="C557" s="1" t="s">
        <v>554</v>
      </c>
      <c r="D557" s="3" t="str">
        <f>IFERROR(__xludf.DUMMYFUNCTION("GOOGLETRANSLATE(C557,""en"",""pl"")"),"wybory")</f>
        <v>wybory</v>
      </c>
    </row>
    <row r="558">
      <c r="C558" s="1" t="s">
        <v>555</v>
      </c>
      <c r="D558" s="3" t="str">
        <f>IFERROR(__xludf.DUMMYFUNCTION("GOOGLETRANSLATE(C558,""en"",""pl"")"),"18.")</f>
        <v>18.</v>
      </c>
    </row>
    <row r="559">
      <c r="C559" s="1" t="s">
        <v>556</v>
      </c>
      <c r="D559" s="3" t="str">
        <f>IFERROR(__xludf.DUMMYFUNCTION("GOOGLETRANSLATE(C559,""en"",""pl"")"),"zirytowany")</f>
        <v>zirytowany</v>
      </c>
    </row>
    <row r="560">
      <c r="C560" s="1" t="s">
        <v>557</v>
      </c>
      <c r="D560" s="3" t="str">
        <f>IFERROR(__xludf.DUMMYFUNCTION("GOOGLETRANSLATE(C560,""en"",""pl"")"),"miasto rodzinne")</f>
        <v>miasto rodzinne</v>
      </c>
    </row>
    <row r="561">
      <c r="C561" s="1" t="s">
        <v>558</v>
      </c>
      <c r="D561" s="3" t="str">
        <f>IFERROR(__xludf.DUMMYFUNCTION("GOOGLETRANSLATE(C561,""en"",""pl"")"),"kolczyki")</f>
        <v>kolczyki</v>
      </c>
    </row>
    <row r="562">
      <c r="C562" s="1" t="s">
        <v>559</v>
      </c>
      <c r="D562" s="3" t="str">
        <f>IFERROR(__xludf.DUMMYFUNCTION("GOOGLETRANSLATE(C562,""en"",""pl"")"),"dyskretny")</f>
        <v>dyskretny</v>
      </c>
    </row>
    <row r="563">
      <c r="C563" s="1" t="s">
        <v>560</v>
      </c>
      <c r="D563" s="3" t="str">
        <f>IFERROR(__xludf.DUMMYFUNCTION("GOOGLETRANSLATE(C563,""en"",""pl"")"),"wylany")</f>
        <v>wylany</v>
      </c>
    </row>
    <row r="564">
      <c r="C564" s="1" t="s">
        <v>561</v>
      </c>
      <c r="D564" s="3" t="str">
        <f>IFERROR(__xludf.DUMMYFUNCTION("GOOGLETRANSLATE(C564,""en"",""pl"")"),"morfina")</f>
        <v>morfina</v>
      </c>
    </row>
    <row r="565">
      <c r="C565" s="1" t="s">
        <v>562</v>
      </c>
      <c r="D565" s="3" t="str">
        <f>IFERROR(__xludf.DUMMYFUNCTION("GOOGLETRANSLATE(C565,""en"",""pl"")"),"Henderson")</f>
        <v>Henderson</v>
      </c>
    </row>
    <row r="566">
      <c r="C566" s="1" t="s">
        <v>563</v>
      </c>
      <c r="D566" s="3" t="str">
        <f>IFERROR(__xludf.DUMMYFUNCTION("GOOGLETRANSLATE(C566,""en"",""pl"")"),"czerwiec")</f>
        <v>czerwiec</v>
      </c>
    </row>
    <row r="567">
      <c r="C567" s="1" t="s">
        <v>564</v>
      </c>
      <c r="D567" s="3" t="str">
        <f>IFERROR(__xludf.DUMMYFUNCTION("GOOGLETRANSLATE(C567,""en"",""pl"")"),"opowiadanie")</f>
        <v>opowiadanie</v>
      </c>
    </row>
    <row r="568">
      <c r="C568" s="1" t="s">
        <v>565</v>
      </c>
      <c r="D568" s="3" t="str">
        <f>IFERROR(__xludf.DUMMYFUNCTION("GOOGLETRANSLATE(C568,""en"",""pl"")"),"rekrut")</f>
        <v>rekrut</v>
      </c>
    </row>
    <row r="569">
      <c r="C569" s="1" t="s">
        <v>566</v>
      </c>
      <c r="D569" s="3" t="str">
        <f>IFERROR(__xludf.DUMMYFUNCTION("GOOGLETRANSLATE(C569,""en"",""pl"")"),"orzeszki ziemne")</f>
        <v>orzeszki ziemne</v>
      </c>
    </row>
    <row r="570">
      <c r="C570" s="1" t="s">
        <v>567</v>
      </c>
      <c r="D570" s="3" t="str">
        <f>IFERROR(__xludf.DUMMYFUNCTION("GOOGLETRANSLATE(C570,""en"",""pl"")"),"wielbłąd")</f>
        <v>wielbłąd</v>
      </c>
    </row>
    <row r="571">
      <c r="C571" s="1" t="s">
        <v>568</v>
      </c>
      <c r="D571" s="3" t="str">
        <f>IFERROR(__xludf.DUMMYFUNCTION("GOOGLETRANSLATE(C571,""en"",""pl"")"),"abe")</f>
        <v>abe</v>
      </c>
    </row>
    <row r="572">
      <c r="C572" s="1" t="s">
        <v>569</v>
      </c>
      <c r="D572" s="3" t="str">
        <f>IFERROR(__xludf.DUMMYFUNCTION("GOOGLETRANSLATE(C572,""en"",""pl"")"),"żucie")</f>
        <v>żucie</v>
      </c>
    </row>
    <row r="573">
      <c r="C573" s="1" t="s">
        <v>570</v>
      </c>
      <c r="D573" s="3" t="str">
        <f>IFERROR(__xludf.DUMMYFUNCTION("GOOGLETRANSLATE(C573,""en"",""pl"")"),"wyobrażanie sobie")</f>
        <v>wyobrażanie sobie</v>
      </c>
    </row>
    <row r="574">
      <c r="C574" s="1" t="s">
        <v>571</v>
      </c>
      <c r="D574" s="3" t="str">
        <f>IFERROR(__xludf.DUMMYFUNCTION("GOOGLETRANSLATE(C574,""en"",""pl"")"),"biegacz")</f>
        <v>biegacz</v>
      </c>
    </row>
    <row r="575">
      <c r="C575" s="1" t="s">
        <v>572</v>
      </c>
      <c r="D575" s="3" t="str">
        <f>IFERROR(__xludf.DUMMYFUNCTION("GOOGLETRANSLATE(C575,""en"",""pl"")"),"Hyun")</f>
        <v>Hyun</v>
      </c>
    </row>
    <row r="576">
      <c r="C576" s="1" t="s">
        <v>573</v>
      </c>
      <c r="D576" s="3" t="str">
        <f>IFERROR(__xludf.DUMMYFUNCTION("GOOGLETRANSLATE(C576,""en"",""pl"")"),"pomidory")</f>
        <v>pomidory</v>
      </c>
    </row>
    <row r="577">
      <c r="C577" s="1" t="s">
        <v>574</v>
      </c>
      <c r="D577" s="3" t="str">
        <f>IFERROR(__xludf.DUMMYFUNCTION("GOOGLETRANSLATE(C577,""en"",""pl"")"),"sponsor")</f>
        <v>sponsor</v>
      </c>
    </row>
    <row r="578">
      <c r="C578" s="1" t="s">
        <v>575</v>
      </c>
      <c r="D578" s="3" t="str">
        <f>IFERROR(__xludf.DUMMYFUNCTION("GOOGLETRANSLATE(C578,""en"",""pl"")"),"spełniony")</f>
        <v>spełniony</v>
      </c>
    </row>
    <row r="579">
      <c r="C579" s="1" t="s">
        <v>576</v>
      </c>
      <c r="D579" s="3" t="str">
        <f>IFERROR(__xludf.DUMMYFUNCTION("GOOGLETRANSLATE(C579,""en"",""pl"")"),"sonda")</f>
        <v>sonda</v>
      </c>
    </row>
    <row r="580">
      <c r="C580" s="1" t="s">
        <v>577</v>
      </c>
      <c r="D580" s="3" t="str">
        <f>IFERROR(__xludf.DUMMYFUNCTION("GOOGLETRANSLATE(C580,""en"",""pl"")"),"karate")</f>
        <v>karate</v>
      </c>
    </row>
    <row r="581">
      <c r="C581" s="1" t="s">
        <v>578</v>
      </c>
      <c r="D581" s="3" t="str">
        <f>IFERROR(__xludf.DUMMYFUNCTION("GOOGLETRANSLATE(C581,""en"",""pl"")"),"smar")</f>
        <v>smar</v>
      </c>
    </row>
    <row r="582">
      <c r="C582" s="1" t="s">
        <v>579</v>
      </c>
      <c r="D582" s="3" t="str">
        <f>IFERROR(__xludf.DUMMYFUNCTION("GOOGLETRANSLATE(C582,""en"",""pl"")"),"dinozaury")</f>
        <v>dinozaury</v>
      </c>
    </row>
    <row r="583">
      <c r="C583" s="1" t="s">
        <v>580</v>
      </c>
      <c r="D583" s="3" t="str">
        <f>IFERROR(__xludf.DUMMYFUNCTION("GOOGLETRANSLATE(C583,""en"",""pl"")"),"bunt")</f>
        <v>bunt</v>
      </c>
    </row>
    <row r="584">
      <c r="C584" s="1" t="s">
        <v>581</v>
      </c>
      <c r="D584" s="3" t="str">
        <f>IFERROR(__xludf.DUMMYFUNCTION("GOOGLETRANSLATE(C584,""en"",""pl"")"),"Marta")</f>
        <v>Marta</v>
      </c>
    </row>
    <row r="585">
      <c r="C585" s="1" t="s">
        <v>582</v>
      </c>
      <c r="D585" s="3" t="str">
        <f>IFERROR(__xludf.DUMMYFUNCTION("GOOGLETRANSLATE(C585,""en"",""pl"")"),"samotny")</f>
        <v>samotny</v>
      </c>
    </row>
    <row r="586">
      <c r="C586" s="1" t="s">
        <v>583</v>
      </c>
      <c r="D586" s="3" t="str">
        <f>IFERROR(__xludf.DUMMYFUNCTION("GOOGLETRANSLATE(C586,""en"",""pl"")"),"babcia")</f>
        <v>babcia</v>
      </c>
    </row>
    <row r="587">
      <c r="C587" s="1" t="s">
        <v>584</v>
      </c>
      <c r="D587" s="3" t="str">
        <f>IFERROR(__xludf.DUMMYFUNCTION("GOOGLETRANSLATE(C587,""en"",""pl"")"),"zbagatelizować")</f>
        <v>zbagatelizować</v>
      </c>
    </row>
    <row r="588">
      <c r="C588" s="1" t="s">
        <v>585</v>
      </c>
      <c r="D588" s="3" t="str">
        <f>IFERROR(__xludf.DUMMYFUNCTION("GOOGLETRANSLATE(C588,""en"",""pl"")"),"włości")</f>
        <v>włości</v>
      </c>
    </row>
    <row r="589">
      <c r="C589" s="1" t="s">
        <v>586</v>
      </c>
      <c r="D589" s="3" t="str">
        <f>IFERROR(__xludf.DUMMYFUNCTION("GOOGLETRANSLATE(C589,""en"",""pl"")"),"karlton")</f>
        <v>karlton</v>
      </c>
    </row>
    <row r="590">
      <c r="C590" s="1" t="s">
        <v>587</v>
      </c>
      <c r="D590" s="3" t="str">
        <f>IFERROR(__xludf.DUMMYFUNCTION("GOOGLETRANSLATE(C590,""en"",""pl"")"),"zhakowany")</f>
        <v>zhakowany</v>
      </c>
    </row>
    <row r="591">
      <c r="C591" s="1" t="s">
        <v>588</v>
      </c>
      <c r="D591" s="3" t="str">
        <f>IFERROR(__xludf.DUMMYFUNCTION("GOOGLETRANSLATE(C591,""en"",""pl"")"),"fryzjer")</f>
        <v>fryzjer</v>
      </c>
    </row>
    <row r="592">
      <c r="C592" s="1" t="s">
        <v>589</v>
      </c>
      <c r="D592" s="3" t="str">
        <f>IFERROR(__xludf.DUMMYFUNCTION("GOOGLETRANSLATE(C592,""en"",""pl"")"),"górnictwo")</f>
        <v>górnictwo</v>
      </c>
    </row>
    <row r="593">
      <c r="C593" s="1" t="s">
        <v>590</v>
      </c>
      <c r="D593" s="3" t="str">
        <f>IFERROR(__xludf.DUMMYFUNCTION("GOOGLETRANSLATE(C593,""en"",""pl"")"),"w wieku")</f>
        <v>w wieku</v>
      </c>
    </row>
    <row r="594">
      <c r="C594" s="1" t="s">
        <v>591</v>
      </c>
      <c r="D594" s="3" t="str">
        <f>IFERROR(__xludf.DUMMYFUNCTION("GOOGLETRANSLATE(C594,""en"",""pl"")"),"projekty")</f>
        <v>projekty</v>
      </c>
    </row>
    <row r="595">
      <c r="C595" s="1" t="s">
        <v>592</v>
      </c>
      <c r="D595" s="3" t="str">
        <f>IFERROR(__xludf.DUMMYFUNCTION("GOOGLETRANSLATE(C595,""en"",""pl"")"),"preferowany")</f>
        <v>preferowany</v>
      </c>
    </row>
    <row r="596">
      <c r="C596" s="1" t="s">
        <v>593</v>
      </c>
      <c r="D596" s="3" t="str">
        <f>IFERROR(__xludf.DUMMYFUNCTION("GOOGLETRANSLATE(C596,""en"",""pl"")"),"19.")</f>
        <v>19.</v>
      </c>
    </row>
    <row r="597">
      <c r="C597" s="1" t="s">
        <v>594</v>
      </c>
      <c r="D597" s="3" t="str">
        <f>IFERROR(__xludf.DUMMYFUNCTION("GOOGLETRANSLATE(C597,""en"",""pl"")"),"cebula")</f>
        <v>cebula</v>
      </c>
    </row>
    <row r="598">
      <c r="C598" s="1" t="s">
        <v>595</v>
      </c>
      <c r="D598" s="3" t="str">
        <f>IFERROR(__xludf.DUMMYFUNCTION("GOOGLETRANSLATE(C598,""en"",""pl"")"),"zabłąkany")</f>
        <v>zabłąkany</v>
      </c>
    </row>
    <row r="599">
      <c r="C599" s="1" t="s">
        <v>596</v>
      </c>
      <c r="D599" s="3" t="str">
        <f>IFERROR(__xludf.DUMMYFUNCTION("GOOGLETRANSLATE(C599,""en"",""pl"")"),"próżnia")</f>
        <v>próżnia</v>
      </c>
    </row>
    <row r="600">
      <c r="C600" s="1" t="s">
        <v>597</v>
      </c>
      <c r="D600" s="3" t="str">
        <f>IFERROR(__xludf.DUMMYFUNCTION("GOOGLETRANSLATE(C600,""en"",""pl"")"),"szesnaście")</f>
        <v>szesnaście</v>
      </c>
    </row>
    <row r="601">
      <c r="C601" s="1" t="s">
        <v>598</v>
      </c>
      <c r="D601" s="3" t="str">
        <f>IFERROR(__xludf.DUMMYFUNCTION("GOOGLETRANSLATE(C601,""en"",""pl"")"),"wolniej")</f>
        <v>wolniej</v>
      </c>
    </row>
    <row r="602">
      <c r="C602" s="1" t="s">
        <v>599</v>
      </c>
      <c r="D602" s="3" t="str">
        <f>IFERROR(__xludf.DUMMYFUNCTION("GOOGLETRANSLATE(C602,""en"",""pl"")"),"Hannibal")</f>
        <v>Hannibal</v>
      </c>
    </row>
    <row r="603">
      <c r="C603" s="1" t="s">
        <v>600</v>
      </c>
      <c r="D603" s="3" t="str">
        <f>IFERROR(__xludf.DUMMYFUNCTION("GOOGLETRANSLATE(C603,""en"",""pl"")"),"sabotaż")</f>
        <v>sabotaż</v>
      </c>
    </row>
    <row r="604">
      <c r="C604" s="1" t="s">
        <v>601</v>
      </c>
      <c r="D604" s="3" t="str">
        <f>IFERROR(__xludf.DUMMYFUNCTION("GOOGLETRANSLATE(C604,""en"",""pl"")"),"rabin")</f>
        <v>rabin</v>
      </c>
    </row>
    <row r="605">
      <c r="C605" s="1" t="s">
        <v>602</v>
      </c>
      <c r="D605" s="3" t="str">
        <f>IFERROR(__xludf.DUMMYFUNCTION("GOOGLETRANSLATE(C605,""en"",""pl"")"),"dotyczący")</f>
        <v>dotyczący</v>
      </c>
    </row>
    <row r="606">
      <c r="C606" s="1" t="s">
        <v>603</v>
      </c>
      <c r="D606" s="3" t="str">
        <f>IFERROR(__xludf.DUMMYFUNCTION("GOOGLETRANSLATE(C606,""en"",""pl"")"),"Dixon")</f>
        <v>Dixon</v>
      </c>
    </row>
    <row r="607">
      <c r="C607" s="1" t="s">
        <v>604</v>
      </c>
      <c r="D607" s="3" t="str">
        <f>IFERROR(__xludf.DUMMYFUNCTION("GOOGLETRANSLATE(C607,""en"",""pl"")"),"przytrzymać")</f>
        <v>przytrzymać</v>
      </c>
    </row>
    <row r="608">
      <c r="C608" s="1" t="s">
        <v>605</v>
      </c>
      <c r="D608" s="3" t="str">
        <f>IFERROR(__xludf.DUMMYFUNCTION("GOOGLETRANSLATE(C608,""en"",""pl"")"),"mannix")</f>
        <v>mannix</v>
      </c>
    </row>
    <row r="609">
      <c r="C609" s="1" t="s">
        <v>606</v>
      </c>
      <c r="D609" s="3" t="str">
        <f>IFERROR(__xludf.DUMMYFUNCTION("GOOGLETRANSLATE(C609,""en"",""pl"")"),"znakomity")</f>
        <v>znakomity</v>
      </c>
    </row>
    <row r="610">
      <c r="C610" s="1" t="s">
        <v>607</v>
      </c>
      <c r="D610" s="3" t="str">
        <f>IFERROR(__xludf.DUMMYFUNCTION("GOOGLETRANSLATE(C610,""en"",""pl"")"),"Peterson")</f>
        <v>Peterson</v>
      </c>
    </row>
    <row r="611">
      <c r="C611" s="1" t="s">
        <v>608</v>
      </c>
      <c r="D611" s="3" t="str">
        <f>IFERROR(__xludf.DUMMYFUNCTION("GOOGLETRANSLATE(C611,""en"",""pl"")"),"dentystyczny")</f>
        <v>dentystyczny</v>
      </c>
    </row>
    <row r="612">
      <c r="C612" s="1" t="s">
        <v>609</v>
      </c>
      <c r="D612" s="3" t="str">
        <f>IFERROR(__xludf.DUMMYFUNCTION("GOOGLETRANSLATE(C612,""en"",""pl"")"),"obama")</f>
        <v>obama</v>
      </c>
    </row>
    <row r="613">
      <c r="C613" s="1" t="s">
        <v>610</v>
      </c>
      <c r="D613" s="3" t="str">
        <f>IFERROR(__xludf.DUMMYFUNCTION("GOOGLETRANSLATE(C613,""en"",""pl"")"),"wiewiórka")</f>
        <v>wiewiórka</v>
      </c>
    </row>
    <row r="614">
      <c r="C614" s="1" t="s">
        <v>611</v>
      </c>
      <c r="D614" s="3" t="str">
        <f>IFERROR(__xludf.DUMMYFUNCTION("GOOGLETRANSLATE(C614,""en"",""pl"")"),"zobowiązanie się")</f>
        <v>zobowiązanie się</v>
      </c>
    </row>
    <row r="615">
      <c r="C615" s="1" t="s">
        <v>612</v>
      </c>
      <c r="D615" s="3" t="str">
        <f>IFERROR(__xludf.DUMMYFUNCTION("GOOGLETRANSLATE(C615,""en"",""pl"")"),"wilkołak")</f>
        <v>wilkołak</v>
      </c>
    </row>
    <row r="616">
      <c r="C616" s="1" t="s">
        <v>613</v>
      </c>
      <c r="D616" s="3" t="str">
        <f>IFERROR(__xludf.DUMMYFUNCTION("GOOGLETRANSLATE(C616,""en"",""pl"")"),"potknięcie się")</f>
        <v>potknięcie się</v>
      </c>
    </row>
    <row r="617">
      <c r="C617" s="1" t="s">
        <v>614</v>
      </c>
      <c r="D617" s="3" t="str">
        <f>IFERROR(__xludf.DUMMYFUNCTION("GOOGLETRANSLATE(C617,""en"",""pl"")"),"mm-mm")</f>
        <v>mm-mm</v>
      </c>
    </row>
    <row r="618">
      <c r="C618" s="1" t="s">
        <v>615</v>
      </c>
      <c r="D618" s="3" t="str">
        <f>IFERROR(__xludf.DUMMYFUNCTION("GOOGLETRANSLATE(C618,""en"",""pl"")"),"Mateusz")</f>
        <v>Mateusz</v>
      </c>
    </row>
    <row r="619">
      <c r="C619" s="1" t="s">
        <v>616</v>
      </c>
      <c r="D619" s="3" t="str">
        <f>IFERROR(__xludf.DUMMYFUNCTION("GOOGLETRANSLATE(C619,""en"",""pl"")"),"eksplozje")</f>
        <v>eksplozje</v>
      </c>
    </row>
    <row r="620">
      <c r="C620" s="1" t="s">
        <v>617</v>
      </c>
      <c r="D620" s="3" t="str">
        <f>IFERROR(__xludf.DUMMYFUNCTION("GOOGLETRANSLATE(C620,""en"",""pl"")"),"Pozycjonowanie")</f>
        <v>Pozycjonowanie</v>
      </c>
    </row>
    <row r="621">
      <c r="C621" s="1" t="s">
        <v>618</v>
      </c>
      <c r="D621" s="3" t="str">
        <f>IFERROR(__xludf.DUMMYFUNCTION("GOOGLETRANSLATE(C621,""en"",""pl"")"),"rosyjski")</f>
        <v>rosyjski</v>
      </c>
    </row>
    <row r="622">
      <c r="C622" s="1" t="s">
        <v>619</v>
      </c>
      <c r="D622" s="3" t="str">
        <f>IFERROR(__xludf.DUMMYFUNCTION("GOOGLETRANSLATE(C622,""en"",""pl"")"),"Whitney")</f>
        <v>Whitney</v>
      </c>
    </row>
    <row r="623">
      <c r="C623" s="1" t="s">
        <v>620</v>
      </c>
      <c r="D623" s="3" t="str">
        <f>IFERROR(__xludf.DUMMYFUNCTION("GOOGLETRANSLATE(C623,""en"",""pl"")"),"ignorowanie")</f>
        <v>ignorowanie</v>
      </c>
    </row>
    <row r="624">
      <c r="C624" s="1" t="s">
        <v>621</v>
      </c>
      <c r="D624" s="3" t="str">
        <f>IFERROR(__xludf.DUMMYFUNCTION("GOOGLETRANSLATE(C624,""en"",""pl"")"),"nieskończony")</f>
        <v>nieskończony</v>
      </c>
    </row>
    <row r="625">
      <c r="C625" s="1" t="s">
        <v>622</v>
      </c>
      <c r="D625" s="3" t="str">
        <f>IFERROR(__xludf.DUMMYFUNCTION("GOOGLETRANSLATE(C625,""en"",""pl"")"),"kawaleria")</f>
        <v>kawaleria</v>
      </c>
    </row>
    <row r="626">
      <c r="C626" s="1" t="s">
        <v>623</v>
      </c>
      <c r="D626" s="3" t="str">
        <f>IFERROR(__xludf.DUMMYFUNCTION("GOOGLETRANSLATE(C626,""en"",""pl"")"),"chłostać")</f>
        <v>chłostać</v>
      </c>
    </row>
    <row r="627">
      <c r="C627" s="1" t="s">
        <v>624</v>
      </c>
      <c r="D627" s="3" t="str">
        <f>IFERROR(__xludf.DUMMYFUNCTION("GOOGLETRANSLATE(C627,""en"",""pl"")"),"Zuzanna")</f>
        <v>Zuzanna</v>
      </c>
    </row>
    <row r="628">
      <c r="C628" s="1" t="s">
        <v>625</v>
      </c>
      <c r="D628" s="3" t="str">
        <f>IFERROR(__xludf.DUMMYFUNCTION("GOOGLETRANSLATE(C628,""en"",""pl"")"),"bombowiec")</f>
        <v>bombowiec</v>
      </c>
    </row>
    <row r="629">
      <c r="C629" s="1" t="s">
        <v>626</v>
      </c>
      <c r="D629" s="3" t="str">
        <f>IFERROR(__xludf.DUMMYFUNCTION("GOOGLETRANSLATE(C629,""en"",""pl"")"),"rządzący")</f>
        <v>rządzący</v>
      </c>
    </row>
    <row r="630">
      <c r="C630" s="1" t="s">
        <v>627</v>
      </c>
      <c r="D630" s="3" t="str">
        <f>IFERROR(__xludf.DUMMYFUNCTION("GOOGLETRANSLATE(C630,""en"",""pl"")"),"wrzenie")</f>
        <v>wrzenie</v>
      </c>
    </row>
    <row r="631">
      <c r="C631" s="1" t="s">
        <v>628</v>
      </c>
      <c r="D631" s="3" t="str">
        <f>IFERROR(__xludf.DUMMYFUNCTION("GOOGLETRANSLATE(C631,""en"",""pl"")"),"igły")</f>
        <v>igły</v>
      </c>
    </row>
    <row r="632">
      <c r="C632" s="1" t="s">
        <v>629</v>
      </c>
      <c r="D632" s="3" t="str">
        <f>IFERROR(__xludf.DUMMYFUNCTION("GOOGLETRANSLATE(C632,""en"",""pl"")"),"semestr")</f>
        <v>semestr</v>
      </c>
    </row>
    <row r="633">
      <c r="C633" s="1" t="s">
        <v>630</v>
      </c>
      <c r="D633" s="3" t="str">
        <f>IFERROR(__xludf.DUMMYFUNCTION("GOOGLETRANSLATE(C633,""en"",""pl"")"),"nieistotny")</f>
        <v>nieistotny</v>
      </c>
    </row>
    <row r="634">
      <c r="C634" s="1" t="s">
        <v>631</v>
      </c>
      <c r="D634" s="3" t="str">
        <f>IFERROR(__xludf.DUMMYFUNCTION("GOOGLETRANSLATE(C634,""en"",""pl"")"),"Zbawiciel")</f>
        <v>Zbawiciel</v>
      </c>
    </row>
    <row r="635">
      <c r="C635" s="1" t="s">
        <v>632</v>
      </c>
      <c r="D635" s="3" t="str">
        <f>IFERROR(__xludf.DUMMYFUNCTION("GOOGLETRANSLATE(C635,""en"",""pl"")"),"welon")</f>
        <v>welon</v>
      </c>
    </row>
    <row r="636">
      <c r="C636" s="1" t="s">
        <v>633</v>
      </c>
      <c r="D636" s="3" t="str">
        <f>IFERROR(__xludf.DUMMYFUNCTION("GOOGLETRANSLATE(C636,""en"",""pl"")"),"tramp")</f>
        <v>tramp</v>
      </c>
    </row>
    <row r="637">
      <c r="C637" s="1" t="s">
        <v>634</v>
      </c>
      <c r="D637" s="3" t="str">
        <f>IFERROR(__xludf.DUMMYFUNCTION("GOOGLETRANSLATE(C637,""en"",""pl"")"),"Roberto")</f>
        <v>Roberto</v>
      </c>
    </row>
    <row r="638">
      <c r="C638" s="1" t="s">
        <v>635</v>
      </c>
      <c r="D638" s="3" t="str">
        <f>IFERROR(__xludf.DUMMYFUNCTION("GOOGLETRANSLATE(C638,""en"",""pl"")"),"najgłębszy")</f>
        <v>najgłębszy</v>
      </c>
    </row>
    <row r="639">
      <c r="C639" s="1" t="s">
        <v>636</v>
      </c>
      <c r="D639" s="3" t="str">
        <f>IFERROR(__xludf.DUMMYFUNCTION("GOOGLETRANSLATE(C639,""en"",""pl"")"),"doskonałość")</f>
        <v>doskonałość</v>
      </c>
    </row>
    <row r="640">
      <c r="C640" s="1" t="s">
        <v>637</v>
      </c>
      <c r="D640" s="3" t="str">
        <f>IFERROR(__xludf.DUMMYFUNCTION("GOOGLETRANSLATE(C640,""en"",""pl"")"),"zamykający")</f>
        <v>zamykający</v>
      </c>
    </row>
    <row r="641">
      <c r="C641" s="1" t="s">
        <v>638</v>
      </c>
      <c r="D641" s="3" t="str">
        <f>IFERROR(__xludf.DUMMYFUNCTION("GOOGLETRANSLATE(C641,""en"",""pl"")"),"iii")</f>
        <v>iii</v>
      </c>
    </row>
    <row r="642">
      <c r="C642" s="1" t="s">
        <v>639</v>
      </c>
      <c r="D642" s="3" t="str">
        <f>IFERROR(__xludf.DUMMYFUNCTION("GOOGLETRANSLATE(C642,""en"",""pl"")"),"muślin")</f>
        <v>muślin</v>
      </c>
    </row>
    <row r="643">
      <c r="C643" s="1" t="s">
        <v>640</v>
      </c>
      <c r="D643" s="3" t="str">
        <f>IFERROR(__xludf.DUMMYFUNCTION("GOOGLETRANSLATE(C643,""en"",""pl"")"),"mentor")</f>
        <v>mentor</v>
      </c>
    </row>
    <row r="644">
      <c r="C644" s="1" t="s">
        <v>641</v>
      </c>
      <c r="D644" s="3" t="str">
        <f>IFERROR(__xludf.DUMMYFUNCTION("GOOGLETRANSLATE(C644,""en"",""pl"")"),"gałęzie")</f>
        <v>gałęzie</v>
      </c>
    </row>
    <row r="645">
      <c r="C645" s="1" t="s">
        <v>642</v>
      </c>
      <c r="D645" s="3" t="str">
        <f>IFERROR(__xludf.DUMMYFUNCTION("GOOGLETRANSLATE(C645,""en"",""pl"")"),"entuzjazm")</f>
        <v>entuzjazm</v>
      </c>
    </row>
    <row r="646">
      <c r="C646" s="1" t="s">
        <v>643</v>
      </c>
      <c r="D646" s="3" t="str">
        <f>IFERROR(__xludf.DUMMYFUNCTION("GOOGLETRANSLATE(C646,""en"",""pl"")"),"arena")</f>
        <v>arena</v>
      </c>
    </row>
    <row r="647">
      <c r="C647" s="1" t="s">
        <v>644</v>
      </c>
      <c r="D647" s="3" t="str">
        <f>IFERROR(__xludf.DUMMYFUNCTION("GOOGLETRANSLATE(C647,""en"",""pl"")"),"słucha")</f>
        <v>słucha</v>
      </c>
    </row>
    <row r="648">
      <c r="C648" s="1" t="s">
        <v>645</v>
      </c>
      <c r="D648" s="3" t="str">
        <f>IFERROR(__xludf.DUMMYFUNCTION("GOOGLETRANSLATE(C648,""en"",""pl"")"),"sprzęt komputerowy")</f>
        <v>sprzęt komputerowy</v>
      </c>
    </row>
    <row r="649">
      <c r="C649" s="1" t="s">
        <v>646</v>
      </c>
      <c r="D649" s="3" t="str">
        <f>IFERROR(__xludf.DUMMYFUNCTION("GOOGLETRANSLATE(C649,""en"",""pl"")"),"bardzo")</f>
        <v>bardzo</v>
      </c>
    </row>
    <row r="650">
      <c r="C650" s="1" t="s">
        <v>647</v>
      </c>
      <c r="D650" s="3" t="str">
        <f>IFERROR(__xludf.DUMMYFUNCTION("GOOGLETRANSLATE(C650,""en"",""pl"")"),"batalion")</f>
        <v>batalion</v>
      </c>
    </row>
    <row r="651">
      <c r="C651" s="1" t="s">
        <v>648</v>
      </c>
      <c r="D651" s="3" t="str">
        <f>IFERROR(__xludf.DUMMYFUNCTION("GOOGLETRANSLATE(C651,""en"",""pl"")"),"wąsy")</f>
        <v>wąsy</v>
      </c>
    </row>
    <row r="652">
      <c r="C652" s="1" t="s">
        <v>649</v>
      </c>
      <c r="D652" s="3" t="str">
        <f>IFERROR(__xludf.DUMMYFUNCTION("GOOGLETRANSLATE(C652,""en"",""pl"")"),"nieodpowiedzialny")</f>
        <v>nieodpowiedzialny</v>
      </c>
    </row>
    <row r="653">
      <c r="C653" s="1" t="s">
        <v>650</v>
      </c>
      <c r="D653" s="3" t="str">
        <f>IFERROR(__xludf.DUMMYFUNCTION("GOOGLETRANSLATE(C653,""en"",""pl"")"),"audio")</f>
        <v>audio</v>
      </c>
    </row>
    <row r="654">
      <c r="C654" s="1" t="s">
        <v>651</v>
      </c>
      <c r="D654" s="3" t="str">
        <f>IFERROR(__xludf.DUMMYFUNCTION("GOOGLETRANSLATE(C654,""en"",""pl"")"),"ga")</f>
        <v>ga</v>
      </c>
    </row>
    <row r="655">
      <c r="C655" s="1" t="s">
        <v>652</v>
      </c>
      <c r="D655" s="3" t="str">
        <f>IFERROR(__xludf.DUMMYFUNCTION("GOOGLETRANSLATE(C655,""en"",""pl"")"),"inicjatywa")</f>
        <v>inicjatywa</v>
      </c>
    </row>
    <row r="656">
      <c r="C656" s="1" t="s">
        <v>653</v>
      </c>
      <c r="D656" s="3" t="str">
        <f>IFERROR(__xludf.DUMMYFUNCTION("GOOGLETRANSLATE(C656,""en"",""pl"")"),"spocony")</f>
        <v>spocony</v>
      </c>
    </row>
    <row r="657">
      <c r="C657" s="1" t="s">
        <v>654</v>
      </c>
      <c r="D657" s="3" t="str">
        <f>IFERROR(__xludf.DUMMYFUNCTION("GOOGLETRANSLATE(C657,""en"",""pl"")"),"Noel")</f>
        <v>Noel</v>
      </c>
    </row>
    <row r="658">
      <c r="C658" s="1" t="s">
        <v>655</v>
      </c>
      <c r="D658" s="3" t="str">
        <f>IFERROR(__xludf.DUMMYFUNCTION("GOOGLETRANSLATE(C658,""en"",""pl"")"),"upraszanie")</f>
        <v>upraszanie</v>
      </c>
    </row>
    <row r="659">
      <c r="C659" s="1" t="s">
        <v>656</v>
      </c>
      <c r="D659" s="3" t="str">
        <f>IFERROR(__xludf.DUMMYFUNCTION("GOOGLETRANSLATE(C659,""en"",""pl"")"),"roztargnienie")</f>
        <v>roztargnienie</v>
      </c>
    </row>
    <row r="660">
      <c r="C660" s="1" t="s">
        <v>657</v>
      </c>
      <c r="D660" s="3" t="str">
        <f>IFERROR(__xludf.DUMMYFUNCTION("GOOGLETRANSLATE(C660,""en"",""pl"")"),"papuga")</f>
        <v>papuga</v>
      </c>
    </row>
    <row r="661">
      <c r="C661" s="1" t="s">
        <v>658</v>
      </c>
      <c r="D661" s="3" t="str">
        <f>IFERROR(__xludf.DUMMYFUNCTION("GOOGLETRANSLATE(C661,""en"",""pl"")"),"rumak")</f>
        <v>rumak</v>
      </c>
    </row>
    <row r="662">
      <c r="C662" s="1" t="s">
        <v>659</v>
      </c>
      <c r="D662" s="3" t="str">
        <f>IFERROR(__xludf.DUMMYFUNCTION("GOOGLETRANSLATE(C662,""en"",""pl"")"),"rozrywkowy")</f>
        <v>rozrywkowy</v>
      </c>
    </row>
    <row r="663">
      <c r="C663" s="1" t="s">
        <v>660</v>
      </c>
      <c r="D663" s="3" t="str">
        <f>IFERROR(__xludf.DUMMYFUNCTION("GOOGLETRANSLATE(C663,""en"",""pl"")"),"ubity")</f>
        <v>ubity</v>
      </c>
    </row>
    <row r="664">
      <c r="C664" s="1" t="s">
        <v>661</v>
      </c>
      <c r="D664" s="3" t="str">
        <f>IFERROR(__xludf.DUMMYFUNCTION("GOOGLETRANSLATE(C664,""en"",""pl"")"),"udowodnienie")</f>
        <v>udowodnienie</v>
      </c>
    </row>
    <row r="665">
      <c r="C665" s="1" t="s">
        <v>662</v>
      </c>
      <c r="D665" s="3" t="str">
        <f>IFERROR(__xludf.DUMMYFUNCTION("GOOGLETRANSLATE(C665,""en"",""pl"")"),"zaatakowany")</f>
        <v>zaatakowany</v>
      </c>
    </row>
    <row r="666">
      <c r="C666" s="1" t="s">
        <v>663</v>
      </c>
      <c r="D666" s="3" t="str">
        <f>IFERROR(__xludf.DUMMYFUNCTION("GOOGLETRANSLATE(C666,""en"",""pl"")"),"świnka")</f>
        <v>świnka</v>
      </c>
    </row>
    <row r="667">
      <c r="C667" s="1" t="s">
        <v>664</v>
      </c>
      <c r="D667" s="3" t="str">
        <f>IFERROR(__xludf.DUMMYFUNCTION("GOOGLETRANSLATE(C667,""en"",""pl"")"),"pauza")</f>
        <v>pauza</v>
      </c>
    </row>
    <row r="668">
      <c r="C668" s="1" t="s">
        <v>665</v>
      </c>
      <c r="D668" s="3" t="str">
        <f>IFERROR(__xludf.DUMMYFUNCTION("GOOGLETRANSLATE(C668,""en"",""pl"")"),"przetrwanie")</f>
        <v>przetrwanie</v>
      </c>
    </row>
    <row r="669">
      <c r="C669" s="1" t="s">
        <v>666</v>
      </c>
      <c r="D669" s="3" t="str">
        <f>IFERROR(__xludf.DUMMYFUNCTION("GOOGLETRANSLATE(C669,""en"",""pl"")"),"finansowanie")</f>
        <v>finansowanie</v>
      </c>
    </row>
    <row r="670">
      <c r="C670" s="1" t="s">
        <v>667</v>
      </c>
      <c r="D670" s="3" t="str">
        <f>IFERROR(__xludf.DUMMYFUNCTION("GOOGLETRANSLATE(C670,""en"",""pl"")"),"dinozaur")</f>
        <v>dinozaur</v>
      </c>
    </row>
    <row r="671">
      <c r="C671" s="1" t="s">
        <v>668</v>
      </c>
      <c r="D671" s="3" t="str">
        <f>IFERROR(__xludf.DUMMYFUNCTION("GOOGLETRANSLATE(C671,""en"",""pl"")"),"znajomy")</f>
        <v>znajomy</v>
      </c>
    </row>
    <row r="672">
      <c r="C672" s="1" t="s">
        <v>669</v>
      </c>
      <c r="D672" s="3" t="str">
        <f>IFERROR(__xludf.DUMMYFUNCTION("GOOGLETRANSLATE(C672,""en"",""pl"")"),"pora snu")</f>
        <v>pora snu</v>
      </c>
    </row>
    <row r="673">
      <c r="C673" s="1" t="s">
        <v>670</v>
      </c>
      <c r="D673" s="3" t="str">
        <f>IFERROR(__xludf.DUMMYFUNCTION("GOOGLETRANSLATE(C673,""en"",""pl"")"),"kolej")</f>
        <v>kolej</v>
      </c>
    </row>
    <row r="674">
      <c r="C674" s="1" t="s">
        <v>671</v>
      </c>
      <c r="D674" s="3" t="str">
        <f>IFERROR(__xludf.DUMMYFUNCTION("GOOGLETRANSLATE(C674,""en"",""pl"")"),"kogut")</f>
        <v>kogut</v>
      </c>
    </row>
    <row r="675">
      <c r="C675" s="1" t="s">
        <v>672</v>
      </c>
      <c r="D675" s="3" t="str">
        <f>IFERROR(__xludf.DUMMYFUNCTION("GOOGLETRANSLATE(C675,""en"",""pl"")"),"tchórze")</f>
        <v>tchórze</v>
      </c>
    </row>
    <row r="676">
      <c r="C676" s="1" t="s">
        <v>673</v>
      </c>
      <c r="D676" s="3" t="str">
        <f>IFERROR(__xludf.DUMMYFUNCTION("GOOGLETRANSLATE(C676,""en"",""pl"")"),"hastings")</f>
        <v>hastings</v>
      </c>
    </row>
    <row r="677">
      <c r="C677" s="1" t="s">
        <v>674</v>
      </c>
      <c r="D677" s="3" t="str">
        <f>IFERROR(__xludf.DUMMYFUNCTION("GOOGLETRANSLATE(C677,""en"",""pl"")"),"pojemnik")</f>
        <v>pojemnik</v>
      </c>
    </row>
    <row r="678">
      <c r="C678" s="1" t="s">
        <v>675</v>
      </c>
      <c r="D678" s="3" t="str">
        <f>IFERROR(__xludf.DUMMYFUNCTION("GOOGLETRANSLATE(C678,""en"",""pl"")"),"Lori")</f>
        <v>Lori</v>
      </c>
    </row>
    <row r="679">
      <c r="C679" s="1" t="s">
        <v>676</v>
      </c>
      <c r="D679" s="3" t="str">
        <f>IFERROR(__xludf.DUMMYFUNCTION("GOOGLETRANSLATE(C679,""en"",""pl"")"),"zabezpieczony")</f>
        <v>zabezpieczony</v>
      </c>
    </row>
    <row r="680">
      <c r="C680" s="1" t="s">
        <v>677</v>
      </c>
      <c r="D680" s="3" t="str">
        <f>IFERROR(__xludf.DUMMYFUNCTION("GOOGLETRANSLATE(C680,""en"",""pl"")"),"rzucony")</f>
        <v>rzucony</v>
      </c>
    </row>
    <row r="681">
      <c r="C681" s="1" t="s">
        <v>678</v>
      </c>
      <c r="D681" s="3" t="str">
        <f>IFERROR(__xludf.DUMMYFUNCTION("GOOGLETRANSLATE(C681,""en"",""pl"")"),"spychacz")</f>
        <v>spychacz</v>
      </c>
    </row>
    <row r="682">
      <c r="C682" s="1" t="s">
        <v>679</v>
      </c>
      <c r="D682" s="3" t="str">
        <f>IFERROR(__xludf.DUMMYFUNCTION("GOOGLETRANSLATE(C682,""en"",""pl"")"),"S.")</f>
        <v>S.</v>
      </c>
    </row>
    <row r="683">
      <c r="C683" s="1" t="s">
        <v>680</v>
      </c>
      <c r="D683" s="3" t="str">
        <f>IFERROR(__xludf.DUMMYFUNCTION("GOOGLETRANSLATE(C683,""en"",""pl"")"),"stal")</f>
        <v>stal</v>
      </c>
    </row>
    <row r="684">
      <c r="C684" s="1" t="s">
        <v>681</v>
      </c>
      <c r="D684" s="3" t="str">
        <f>IFERROR(__xludf.DUMMYFUNCTION("GOOGLETRANSLATE(C684,""en"",""pl"")"),"falowanie")</f>
        <v>falowanie</v>
      </c>
    </row>
    <row r="685">
      <c r="C685" s="1" t="s">
        <v>682</v>
      </c>
      <c r="D685" s="3" t="str">
        <f>IFERROR(__xludf.DUMMYFUNCTION("GOOGLETRANSLATE(C685,""en"",""pl"")"),"wrzeszczący")</f>
        <v>wrzeszczący</v>
      </c>
    </row>
    <row r="686">
      <c r="C686" s="1" t="s">
        <v>683</v>
      </c>
      <c r="D686" s="3" t="str">
        <f>IFERROR(__xludf.DUMMYFUNCTION("GOOGLETRANSLATE(C686,""en"",""pl"")"),"bankier")</f>
        <v>bankier</v>
      </c>
    </row>
    <row r="687">
      <c r="C687" s="1" t="s">
        <v>684</v>
      </c>
      <c r="D687" s="3" t="str">
        <f>IFERROR(__xludf.DUMMYFUNCTION("GOOGLETRANSLATE(C687,""en"",""pl"")"),"bakteria")</f>
        <v>bakteria</v>
      </c>
    </row>
    <row r="688">
      <c r="C688" s="1" t="s">
        <v>685</v>
      </c>
      <c r="D688" s="3" t="str">
        <f>IFERROR(__xludf.DUMMYFUNCTION("GOOGLETRANSLATE(C688,""en"",""pl"")"),"wskazuje")</f>
        <v>wskazuje</v>
      </c>
    </row>
    <row r="689">
      <c r="C689" s="1" t="s">
        <v>686</v>
      </c>
      <c r="D689" s="3" t="str">
        <f>IFERROR(__xludf.DUMMYFUNCTION("GOOGLETRANSLATE(C689,""en"",""pl"")"),"zamach")</f>
        <v>zamach</v>
      </c>
    </row>
    <row r="690">
      <c r="C690" s="1" t="s">
        <v>687</v>
      </c>
      <c r="D690" s="3" t="str">
        <f>IFERROR(__xludf.DUMMYFUNCTION("GOOGLETRANSLATE(C690,""en"",""pl"")"),"Tak.")</f>
        <v>Tak.</v>
      </c>
    </row>
    <row r="691">
      <c r="C691" s="1" t="s">
        <v>688</v>
      </c>
      <c r="D691" s="3" t="str">
        <f>IFERROR(__xludf.DUMMYFUNCTION("GOOGLETRANSLATE(C691,""en"",""pl"")"),"występujący w rolach głównych")</f>
        <v>występujący w rolach głównych</v>
      </c>
    </row>
    <row r="692">
      <c r="C692" s="1" t="s">
        <v>689</v>
      </c>
      <c r="D692" s="3" t="str">
        <f>IFERROR(__xludf.DUMMYFUNCTION("GOOGLETRANSLATE(C692,""en"",""pl"")"),"rysunki")</f>
        <v>rysunki</v>
      </c>
    </row>
    <row r="693">
      <c r="C693" s="1" t="s">
        <v>690</v>
      </c>
      <c r="D693" s="3" t="str">
        <f>IFERROR(__xludf.DUMMYFUNCTION("GOOGLETRANSLATE(C693,""en"",""pl"")"),"szafka")</f>
        <v>szafka</v>
      </c>
    </row>
    <row r="694">
      <c r="C694" s="1" t="s">
        <v>691</v>
      </c>
      <c r="D694" s="3" t="str">
        <f>IFERROR(__xludf.DUMMYFUNCTION("GOOGLETRANSLATE(C694,""en"",""pl"")"),"sanktuarium")</f>
        <v>sanktuarium</v>
      </c>
    </row>
    <row r="695">
      <c r="C695" s="1" t="s">
        <v>692</v>
      </c>
      <c r="D695" s="3" t="str">
        <f>IFERROR(__xludf.DUMMYFUNCTION("GOOGLETRANSLATE(C695,""en"",""pl"")"),"chirurgiczny")</f>
        <v>chirurgiczny</v>
      </c>
    </row>
    <row r="696">
      <c r="C696" s="1" t="s">
        <v>693</v>
      </c>
      <c r="D696" s="3" t="str">
        <f>IFERROR(__xludf.DUMMYFUNCTION("GOOGLETRANSLATE(C696,""en"",""pl"")"),"pary")</f>
        <v>pary</v>
      </c>
    </row>
    <row r="697">
      <c r="C697" s="1" t="s">
        <v>694</v>
      </c>
      <c r="D697" s="3" t="str">
        <f>IFERROR(__xludf.DUMMYFUNCTION("GOOGLETRANSLATE(C697,""en"",""pl"")"),"czysto")</f>
        <v>czysto</v>
      </c>
    </row>
    <row r="698">
      <c r="C698" s="1" t="s">
        <v>695</v>
      </c>
      <c r="D698" s="3" t="str">
        <f>IFERROR(__xludf.DUMMYFUNCTION("GOOGLETRANSLATE(C698,""en"",""pl"")"),"pokusa")</f>
        <v>pokusa</v>
      </c>
    </row>
    <row r="699">
      <c r="C699" s="1" t="s">
        <v>696</v>
      </c>
      <c r="D699" s="3" t="str">
        <f>IFERROR(__xludf.DUMMYFUNCTION("GOOGLETRANSLATE(C699,""en"",""pl"")"),"osoby starsze")</f>
        <v>osoby starsze</v>
      </c>
    </row>
    <row r="700">
      <c r="C700" s="1" t="s">
        <v>697</v>
      </c>
      <c r="D700" s="3" t="str">
        <f>IFERROR(__xludf.DUMMYFUNCTION("GOOGLETRANSLATE(C700,""en"",""pl"")"),"geofrey")</f>
        <v>geofrey</v>
      </c>
    </row>
    <row r="701">
      <c r="C701" s="1" t="s">
        <v>698</v>
      </c>
      <c r="D701" s="3" t="str">
        <f>IFERROR(__xludf.DUMMYFUNCTION("GOOGLETRANSLATE(C701,""en"",""pl"")"),"wibracja")</f>
        <v>wibracja</v>
      </c>
    </row>
    <row r="702">
      <c r="C702" s="1" t="s">
        <v>699</v>
      </c>
      <c r="D702" s="3" t="str">
        <f>IFERROR(__xludf.DUMMYFUNCTION("GOOGLETRANSLATE(C702,""en"",""pl"")"),"głęboki")</f>
        <v>głęboki</v>
      </c>
    </row>
    <row r="703">
      <c r="C703" s="1" t="s">
        <v>700</v>
      </c>
      <c r="D703" s="3" t="str">
        <f>IFERROR(__xludf.DUMMYFUNCTION("GOOGLETRANSLATE(C703,""en"",""pl"")"),"gong")</f>
        <v>gong</v>
      </c>
    </row>
    <row r="704">
      <c r="C704" s="1" t="s">
        <v>701</v>
      </c>
      <c r="D704" s="3" t="str">
        <f>IFERROR(__xludf.DUMMYFUNCTION("GOOGLETRANSLATE(C704,""en"",""pl"")"),"przekształcony")</f>
        <v>przekształcony</v>
      </c>
    </row>
    <row r="705">
      <c r="C705" s="1" t="s">
        <v>702</v>
      </c>
      <c r="D705" s="3" t="str">
        <f>IFERROR(__xludf.DUMMYFUNCTION("GOOGLETRANSLATE(C705,""en"",""pl"")"),"przyciąć")</f>
        <v>przyciąć</v>
      </c>
    </row>
    <row r="706">
      <c r="C706" s="1" t="s">
        <v>703</v>
      </c>
      <c r="D706" s="3" t="str">
        <f>IFERROR(__xludf.DUMMYFUNCTION("GOOGLETRANSLATE(C706,""en"",""pl"")"),"21.")</f>
        <v>21.</v>
      </c>
    </row>
    <row r="707">
      <c r="C707" s="1" t="s">
        <v>704</v>
      </c>
      <c r="D707" s="3" t="str">
        <f>IFERROR(__xludf.DUMMYFUNCTION("GOOGLETRANSLATE(C707,""en"",""pl"")"),"szczegółowy")</f>
        <v>szczegółowy</v>
      </c>
    </row>
    <row r="708">
      <c r="C708" s="1" t="s">
        <v>705</v>
      </c>
      <c r="D708" s="3" t="str">
        <f>IFERROR(__xludf.DUMMYFUNCTION("GOOGLETRANSLATE(C708,""en"",""pl"")"),"skrawek")</f>
        <v>skrawek</v>
      </c>
    </row>
    <row r="709">
      <c r="C709" s="1" t="s">
        <v>706</v>
      </c>
      <c r="D709" s="3" t="str">
        <f>IFERROR(__xludf.DUMMYFUNCTION("GOOGLETRANSLATE(C709,""en"",""pl"")"),"Abigail")</f>
        <v>Abigail</v>
      </c>
    </row>
    <row r="710">
      <c r="C710" s="1" t="s">
        <v>707</v>
      </c>
      <c r="D710" s="3" t="str">
        <f>IFERROR(__xludf.DUMMYFUNCTION("GOOGLETRANSLATE(C710,""en"",""pl"")"),"niedbały")</f>
        <v>niedbały</v>
      </c>
    </row>
    <row r="711">
      <c r="C711" s="1" t="s">
        <v>708</v>
      </c>
      <c r="D711" s="3" t="str">
        <f>IFERROR(__xludf.DUMMYFUNCTION("GOOGLETRANSLATE(C711,""en"",""pl"")"),"gołąb")</f>
        <v>gołąb</v>
      </c>
    </row>
    <row r="712">
      <c r="C712" s="1" t="s">
        <v>709</v>
      </c>
      <c r="D712" s="3" t="str">
        <f>IFERROR(__xludf.DUMMYFUNCTION("GOOGLETRANSLATE(C712,""en"",""pl"")"),"niechlujny")</f>
        <v>niechlujny</v>
      </c>
    </row>
    <row r="713">
      <c r="C713" s="1" t="s">
        <v>710</v>
      </c>
      <c r="D713" s="3" t="str">
        <f>IFERROR(__xludf.DUMMYFUNCTION("GOOGLETRANSLATE(C713,""en"",""pl"")"),"Atlanta")</f>
        <v>Atlanta</v>
      </c>
    </row>
    <row r="714">
      <c r="C714" s="1" t="s">
        <v>711</v>
      </c>
      <c r="D714" s="3" t="str">
        <f>IFERROR(__xludf.DUMMYFUNCTION("GOOGLETRANSLATE(C714,""en"",""pl"")"),"ohydny")</f>
        <v>ohydny</v>
      </c>
    </row>
    <row r="715">
      <c r="C715" s="1" t="s">
        <v>712</v>
      </c>
      <c r="D715" s="3" t="str">
        <f>IFERROR(__xludf.DUMMYFUNCTION("GOOGLETRANSLATE(C715,""en"",""pl"")"),"10.")</f>
        <v>10.</v>
      </c>
    </row>
    <row r="716">
      <c r="C716" s="1" t="s">
        <v>713</v>
      </c>
      <c r="D716" s="3" t="str">
        <f>IFERROR(__xludf.DUMMYFUNCTION("GOOGLETRANSLATE(C716,""en"",""pl"")"),"jaszczurka")</f>
        <v>jaszczurka</v>
      </c>
    </row>
    <row r="717">
      <c r="C717" s="1" t="s">
        <v>714</v>
      </c>
      <c r="D717" s="3" t="str">
        <f>IFERROR(__xludf.DUMMYFUNCTION("GOOGLETRANSLATE(C717,""en"",""pl"")"),"rozdzielenie")</f>
        <v>rozdzielenie</v>
      </c>
    </row>
    <row r="718">
      <c r="C718" s="1" t="s">
        <v>715</v>
      </c>
      <c r="D718" s="3" t="str">
        <f>IFERROR(__xludf.DUMMYFUNCTION("GOOGLETRANSLATE(C718,""en"",""pl"")"),"stażysta")</f>
        <v>stażysta</v>
      </c>
    </row>
    <row r="719">
      <c r="C719" s="1" t="s">
        <v>716</v>
      </c>
      <c r="D719" s="3" t="str">
        <f>IFERROR(__xludf.DUMMYFUNCTION("GOOGLETRANSLATE(C719,""en"",""pl"")"),"patka")</f>
        <v>patka</v>
      </c>
    </row>
    <row r="720">
      <c r="C720" s="1" t="s">
        <v>717</v>
      </c>
      <c r="D720" s="3" t="str">
        <f>IFERROR(__xludf.DUMMYFUNCTION("GOOGLETRANSLATE(C720,""en"",""pl"")"),"psycholog")</f>
        <v>psycholog</v>
      </c>
    </row>
    <row r="721">
      <c r="C721" s="1" t="s">
        <v>718</v>
      </c>
      <c r="D721" s="3" t="str">
        <f>IFERROR(__xludf.DUMMYFUNCTION("GOOGLETRANSLATE(C721,""en"",""pl"")"),"szeregi")</f>
        <v>szeregi</v>
      </c>
    </row>
    <row r="722">
      <c r="C722" s="1" t="s">
        <v>719</v>
      </c>
      <c r="D722" s="3" t="str">
        <f>IFERROR(__xludf.DUMMYFUNCTION("GOOGLETRANSLATE(C722,""en"",""pl"")"),"parafialny")</f>
        <v>parafialny</v>
      </c>
    </row>
    <row r="723">
      <c r="C723" s="1" t="s">
        <v>720</v>
      </c>
      <c r="D723" s="3" t="str">
        <f>IFERROR(__xludf.DUMMYFUNCTION("GOOGLETRANSLATE(C723,""en"",""pl"")"),"łup")</f>
        <v>łup</v>
      </c>
    </row>
    <row r="724">
      <c r="C724" s="1" t="s">
        <v>721</v>
      </c>
      <c r="D724" s="3" t="str">
        <f>IFERROR(__xludf.DUMMYFUNCTION("GOOGLETRANSLATE(C724,""en"",""pl"")"),"chłop")</f>
        <v>chłop</v>
      </c>
    </row>
    <row r="725">
      <c r="C725" s="1" t="s">
        <v>722</v>
      </c>
      <c r="D725" s="3" t="str">
        <f>IFERROR(__xludf.DUMMYFUNCTION("GOOGLETRANSLATE(C725,""en"",""pl"")"),"pisk")</f>
        <v>pisk</v>
      </c>
    </row>
    <row r="726">
      <c r="C726" s="1" t="s">
        <v>723</v>
      </c>
      <c r="D726" s="3" t="str">
        <f>IFERROR(__xludf.DUMMYFUNCTION("GOOGLETRANSLATE(C726,""en"",""pl"")"),"ooo")</f>
        <v>ooo</v>
      </c>
    </row>
    <row r="727">
      <c r="C727" s="1" t="s">
        <v>724</v>
      </c>
      <c r="D727" s="3" t="str">
        <f>IFERROR(__xludf.DUMMYFUNCTION("GOOGLETRANSLATE(C727,""en"",""pl"")"),"grzebień")</f>
        <v>grzebień</v>
      </c>
    </row>
    <row r="728">
      <c r="C728" s="1" t="s">
        <v>725</v>
      </c>
      <c r="D728" s="3" t="str">
        <f>IFERROR(__xludf.DUMMYFUNCTION("GOOGLETRANSLATE(C728,""en"",""pl"")"),"grzmotnąć")</f>
        <v>grzmotnąć</v>
      </c>
    </row>
    <row r="729">
      <c r="C729" s="1" t="s">
        <v>726</v>
      </c>
      <c r="D729" s="3" t="str">
        <f>IFERROR(__xludf.DUMMYFUNCTION("GOOGLETRANSLATE(C729,""en"",""pl"")"),"przywrócony")</f>
        <v>przywrócony</v>
      </c>
    </row>
    <row r="730">
      <c r="C730" s="1" t="s">
        <v>727</v>
      </c>
      <c r="D730" s="3" t="str">
        <f>IFERROR(__xludf.DUMMYFUNCTION("GOOGLETRANSLATE(C730,""en"",""pl"")"),"pluton żołnierzy")</f>
        <v>pluton żołnierzy</v>
      </c>
    </row>
    <row r="731">
      <c r="C731" s="1" t="s">
        <v>728</v>
      </c>
      <c r="D731" s="3" t="str">
        <f>IFERROR(__xludf.DUMMYFUNCTION("GOOGLETRANSLATE(C731,""en"",""pl"")"),"ćpun")</f>
        <v>ćpun</v>
      </c>
    </row>
    <row r="732">
      <c r="C732" s="1" t="s">
        <v>729</v>
      </c>
      <c r="D732" s="3" t="str">
        <f>IFERROR(__xludf.DUMMYFUNCTION("GOOGLETRANSLATE(C732,""en"",""pl"")"),"obejmuje")</f>
        <v>obejmuje</v>
      </c>
    </row>
    <row r="733">
      <c r="C733" s="1" t="s">
        <v>730</v>
      </c>
      <c r="D733" s="3" t="str">
        <f>IFERROR(__xludf.DUMMYFUNCTION("GOOGLETRANSLATE(C733,""en"",""pl"")"),"Rupert")</f>
        <v>Rupert</v>
      </c>
    </row>
    <row r="734">
      <c r="C734" s="1" t="s">
        <v>731</v>
      </c>
      <c r="D734" s="3" t="str">
        <f>IFERROR(__xludf.DUMMYFUNCTION("GOOGLETRANSLATE(C734,""en"",""pl"")"),"norma")</f>
        <v>norma</v>
      </c>
    </row>
    <row r="735">
      <c r="C735" s="1" t="s">
        <v>732</v>
      </c>
      <c r="D735" s="3" t="str">
        <f>IFERROR(__xludf.DUMMYFUNCTION("GOOGLETRANSLATE(C735,""en"",""pl"")"),"przewoźnik")</f>
        <v>przewoźnik</v>
      </c>
    </row>
    <row r="736">
      <c r="C736" s="1" t="s">
        <v>733</v>
      </c>
      <c r="D736" s="3" t="str">
        <f>IFERROR(__xludf.DUMMYFUNCTION("GOOGLETRANSLATE(C736,""en"",""pl"")"),"tłuszczowy")</f>
        <v>tłuszczowy</v>
      </c>
    </row>
    <row r="737">
      <c r="C737" s="1" t="s">
        <v>734</v>
      </c>
      <c r="D737" s="3" t="str">
        <f>IFERROR(__xludf.DUMMYFUNCTION("GOOGLETRANSLATE(C737,""en"",""pl"")"),"trudności")</f>
        <v>trudności</v>
      </c>
    </row>
    <row r="738">
      <c r="C738" s="1" t="s">
        <v>735</v>
      </c>
      <c r="D738" s="3" t="str">
        <f>IFERROR(__xludf.DUMMYFUNCTION("GOOGLETRANSLATE(C738,""en"",""pl"")"),"producenci")</f>
        <v>producenci</v>
      </c>
    </row>
    <row r="739">
      <c r="C739" s="1" t="s">
        <v>736</v>
      </c>
      <c r="D739" s="3" t="str">
        <f>IFERROR(__xludf.DUMMYFUNCTION("GOOGLETRANSLATE(C739,""en"",""pl"")"),"wspaniały")</f>
        <v>wspaniały</v>
      </c>
    </row>
    <row r="740">
      <c r="C740" s="1" t="s">
        <v>737</v>
      </c>
      <c r="D740" s="3" t="str">
        <f>IFERROR(__xludf.DUMMYFUNCTION("GOOGLETRANSLATE(C740,""en"",""pl"")"),"to")</f>
        <v>to</v>
      </c>
    </row>
    <row r="741">
      <c r="C741" s="1" t="s">
        <v>738</v>
      </c>
      <c r="D741" s="3" t="str">
        <f>IFERROR(__xludf.DUMMYFUNCTION("GOOGLETRANSLATE(C741,""en"",""pl"")"),"kandydaci")</f>
        <v>kandydaci</v>
      </c>
    </row>
    <row r="742">
      <c r="C742" s="1" t="s">
        <v>739</v>
      </c>
      <c r="D742" s="3" t="str">
        <f>IFERROR(__xludf.DUMMYFUNCTION("GOOGLETRANSLATE(C742,""en"",""pl"")"),"wezwany")</f>
        <v>wezwany</v>
      </c>
    </row>
    <row r="743">
      <c r="C743" s="1" t="s">
        <v>740</v>
      </c>
      <c r="D743" s="3" t="str">
        <f>IFERROR(__xludf.DUMMYFUNCTION("GOOGLETRANSLATE(C743,""en"",""pl"")"),"15.")</f>
        <v>15.</v>
      </c>
    </row>
    <row r="744">
      <c r="C744" s="1" t="s">
        <v>741</v>
      </c>
      <c r="D744" s="3" t="str">
        <f>IFERROR(__xludf.DUMMYFUNCTION("GOOGLETRANSLATE(C744,""en"",""pl"")"),"schronienie")</f>
        <v>schronienie</v>
      </c>
    </row>
    <row r="745">
      <c r="C745" s="1" t="s">
        <v>742</v>
      </c>
      <c r="D745" s="3" t="str">
        <f>IFERROR(__xludf.DUMMYFUNCTION("GOOGLETRANSLATE(C745,""en"",""pl"")"),"sprawiedliwy")</f>
        <v>sprawiedliwy</v>
      </c>
    </row>
    <row r="746">
      <c r="C746" s="1" t="s">
        <v>743</v>
      </c>
      <c r="D746" s="3" t="str">
        <f>IFERROR(__xludf.DUMMYFUNCTION("GOOGLETRANSLATE(C746,""en"",""pl"")"),"Karolina")</f>
        <v>Karolina</v>
      </c>
    </row>
    <row r="747">
      <c r="C747" s="1" t="s">
        <v>744</v>
      </c>
      <c r="D747" s="3" t="str">
        <f>IFERROR(__xludf.DUMMYFUNCTION("GOOGLETRANSLATE(C747,""en"",""pl"")"),"cebula")</f>
        <v>cebula</v>
      </c>
    </row>
    <row r="748">
      <c r="C748" s="1" t="s">
        <v>745</v>
      </c>
      <c r="D748" s="3" t="str">
        <f>IFERROR(__xludf.DUMMYFUNCTION("GOOGLETRANSLATE(C748,""en"",""pl"")"),"Natasza")</f>
        <v>Natasza</v>
      </c>
    </row>
    <row r="749">
      <c r="C749" s="1" t="s">
        <v>746</v>
      </c>
      <c r="D749" s="3" t="str">
        <f>IFERROR(__xludf.DUMMYFUNCTION("GOOGLETRANSLATE(C749,""en"",""pl"")"),"ulec poprawie")</f>
        <v>ulec poprawie</v>
      </c>
    </row>
    <row r="750">
      <c r="C750" s="1" t="s">
        <v>747</v>
      </c>
      <c r="D750" s="3" t="str">
        <f>IFERROR(__xludf.DUMMYFUNCTION("GOOGLETRANSLATE(C750,""en"",""pl"")"),"zaklęcia")</f>
        <v>zaklęcia</v>
      </c>
    </row>
    <row r="751">
      <c r="C751" s="1" t="s">
        <v>748</v>
      </c>
      <c r="D751" s="3" t="str">
        <f>IFERROR(__xludf.DUMMYFUNCTION("GOOGLETRANSLATE(C751,""en"",""pl"")"),"Wesley")</f>
        <v>Wesley</v>
      </c>
    </row>
    <row r="752">
      <c r="C752" s="1" t="s">
        <v>749</v>
      </c>
      <c r="D752" s="3" t="str">
        <f>IFERROR(__xludf.DUMMYFUNCTION("GOOGLETRANSLATE(C752,""en"",""pl"")"),"zasypywać")</f>
        <v>zasypywać</v>
      </c>
    </row>
    <row r="753">
      <c r="C753" s="1" t="s">
        <v>750</v>
      </c>
      <c r="D753" s="3" t="str">
        <f>IFERROR(__xludf.DUMMYFUNCTION("GOOGLETRANSLATE(C753,""en"",""pl"")"),"armie")</f>
        <v>armie</v>
      </c>
    </row>
    <row r="754">
      <c r="C754" s="1" t="s">
        <v>751</v>
      </c>
      <c r="D754" s="3" t="str">
        <f>IFERROR(__xludf.DUMMYFUNCTION("GOOGLETRANSLATE(C754,""en"",""pl"")"),"pory roku")</f>
        <v>pory roku</v>
      </c>
    </row>
    <row r="755">
      <c r="C755" s="1" t="s">
        <v>752</v>
      </c>
      <c r="D755" s="3" t="str">
        <f>IFERROR(__xludf.DUMMYFUNCTION("GOOGLETRANSLATE(C755,""en"",""pl"")"),"Panie")</f>
        <v>Panie</v>
      </c>
    </row>
    <row r="756">
      <c r="C756" s="1" t="s">
        <v>753</v>
      </c>
      <c r="D756" s="3" t="str">
        <f>IFERROR(__xludf.DUMMYFUNCTION("GOOGLETRANSLATE(C756,""en"",""pl"")"),"Billie-")</f>
        <v>Billie-</v>
      </c>
    </row>
    <row r="757">
      <c r="C757" s="1" t="s">
        <v>754</v>
      </c>
      <c r="D757" s="3" t="str">
        <f>IFERROR(__xludf.DUMMYFUNCTION("GOOGLETRANSLATE(C757,""en"",""pl"")"),"specjalność")</f>
        <v>specjalność</v>
      </c>
    </row>
    <row r="758">
      <c r="C758" s="1" t="s">
        <v>755</v>
      </c>
      <c r="D758" s="3" t="str">
        <f>IFERROR(__xludf.DUMMYFUNCTION("GOOGLETRANSLATE(C758,""en"",""pl"")"),"pragnienie")</f>
        <v>pragnienie</v>
      </c>
    </row>
    <row r="759">
      <c r="C759" s="1" t="s">
        <v>756</v>
      </c>
      <c r="D759" s="3" t="str">
        <f>IFERROR(__xludf.DUMMYFUNCTION("GOOGLETRANSLATE(C759,""en"",""pl"")"),"wybierać")</f>
        <v>wybierać</v>
      </c>
    </row>
    <row r="760">
      <c r="C760" s="1" t="s">
        <v>757</v>
      </c>
      <c r="D760" s="3" t="str">
        <f>IFERROR(__xludf.DUMMYFUNCTION("GOOGLETRANSLATE(C760,""en"",""pl"")"),"spotkanie")</f>
        <v>spotkanie</v>
      </c>
    </row>
    <row r="761">
      <c r="C761" s="1" t="s">
        <v>758</v>
      </c>
      <c r="D761" s="3" t="str">
        <f>IFERROR(__xludf.DUMMYFUNCTION("GOOGLETRANSLATE(C761,""en"",""pl"")"),"uśmiechnął się")</f>
        <v>uśmiechnął się</v>
      </c>
    </row>
    <row r="762">
      <c r="C762" s="1" t="s">
        <v>759</v>
      </c>
      <c r="D762" s="3" t="str">
        <f>IFERROR(__xludf.DUMMYFUNCTION("GOOGLETRANSLATE(C762,""en"",""pl"")"),"Kolorado")</f>
        <v>Kolorado</v>
      </c>
    </row>
    <row r="763">
      <c r="C763" s="1" t="s">
        <v>760</v>
      </c>
      <c r="D763" s="3" t="str">
        <f>IFERROR(__xludf.DUMMYFUNCTION("GOOGLETRANSLATE(C763,""en"",""pl"")"),"wiza")</f>
        <v>wiza</v>
      </c>
    </row>
    <row r="764">
      <c r="C764" s="1" t="s">
        <v>761</v>
      </c>
      <c r="D764" s="3" t="str">
        <f>IFERROR(__xludf.DUMMYFUNCTION("GOOGLETRANSLATE(C764,""en"",""pl"")"),"przyprawa")</f>
        <v>przyprawa</v>
      </c>
    </row>
    <row r="765">
      <c r="C765" s="1" t="s">
        <v>762</v>
      </c>
      <c r="D765" s="3" t="str">
        <f>IFERROR(__xludf.DUMMYFUNCTION("GOOGLETRANSLATE(C765,""en"",""pl"")"),"gość")</f>
        <v>gość</v>
      </c>
    </row>
    <row r="766">
      <c r="C766" s="1" t="s">
        <v>763</v>
      </c>
      <c r="D766" s="3" t="str">
        <f>IFERROR(__xludf.DUMMYFUNCTION("GOOGLETRANSLATE(C766,""en"",""pl"")"),"żywność")</f>
        <v>żywność</v>
      </c>
    </row>
    <row r="767">
      <c r="C767" s="1" t="s">
        <v>764</v>
      </c>
      <c r="D767" s="3" t="str">
        <f>IFERROR(__xludf.DUMMYFUNCTION("GOOGLETRANSLATE(C767,""en"",""pl"")"),"racjonalny")</f>
        <v>racjonalny</v>
      </c>
    </row>
    <row r="768">
      <c r="C768" s="1" t="s">
        <v>765</v>
      </c>
      <c r="D768" s="3" t="str">
        <f>IFERROR(__xludf.DUMMYFUNCTION("GOOGLETRANSLATE(C768,""en"",""pl"")"),"szkocki")</f>
        <v>szkocki</v>
      </c>
    </row>
    <row r="769">
      <c r="C769" s="1" t="s">
        <v>766</v>
      </c>
      <c r="D769" s="3" t="str">
        <f>IFERROR(__xludf.DUMMYFUNCTION("GOOGLETRANSLATE(C769,""en"",""pl"")"),"podstępny")</f>
        <v>podstępny</v>
      </c>
    </row>
    <row r="770">
      <c r="C770" s="1" t="s">
        <v>767</v>
      </c>
      <c r="D770" s="3" t="str">
        <f>IFERROR(__xludf.DUMMYFUNCTION("GOOGLETRANSLATE(C770,""en"",""pl"")"),"chrząknięcie")</f>
        <v>chrząknięcie</v>
      </c>
    </row>
    <row r="771">
      <c r="C771" s="1" t="s">
        <v>768</v>
      </c>
      <c r="D771" s="3" t="str">
        <f>IFERROR(__xludf.DUMMYFUNCTION("GOOGLETRANSLATE(C771,""en"",""pl"")"),"węzeł")</f>
        <v>węzeł</v>
      </c>
    </row>
    <row r="772">
      <c r="C772" s="1" t="s">
        <v>769</v>
      </c>
      <c r="D772" s="3" t="str">
        <f>IFERROR(__xludf.DUMMYFUNCTION("GOOGLETRANSLATE(C772,""en"",""pl"")"),"owłosienie")</f>
        <v>owłosienie</v>
      </c>
    </row>
    <row r="773">
      <c r="C773" s="1" t="s">
        <v>770</v>
      </c>
      <c r="D773" s="3" t="str">
        <f>IFERROR(__xludf.DUMMYFUNCTION("GOOGLETRANSLATE(C773,""en"",""pl"")"),"płatności")</f>
        <v>płatności</v>
      </c>
    </row>
    <row r="774">
      <c r="C774" s="1" t="s">
        <v>771</v>
      </c>
      <c r="D774" s="3" t="str">
        <f>IFERROR(__xludf.DUMMYFUNCTION("GOOGLETRANSLATE(C774,""en"",""pl"")"),"dziadunio")</f>
        <v>dziadunio</v>
      </c>
    </row>
    <row r="775">
      <c r="C775" s="1" t="s">
        <v>772</v>
      </c>
      <c r="D775" s="3" t="str">
        <f>IFERROR(__xludf.DUMMYFUNCTION("GOOGLETRANSLATE(C775,""en"",""pl"")"),"masakra")</f>
        <v>masakra</v>
      </c>
    </row>
    <row r="776">
      <c r="C776" s="1" t="s">
        <v>773</v>
      </c>
      <c r="D776" s="3" t="str">
        <f>IFERROR(__xludf.DUMMYFUNCTION("GOOGLETRANSLATE(C776,""en"",""pl"")"),"konkurencyjny")</f>
        <v>konkurencyjny</v>
      </c>
    </row>
    <row r="777">
      <c r="C777" s="1" t="s">
        <v>774</v>
      </c>
      <c r="D777" s="3" t="str">
        <f>IFERROR(__xludf.DUMMYFUNCTION("GOOGLETRANSLATE(C777,""en"",""pl"")"),"ziele")</f>
        <v>ziele</v>
      </c>
    </row>
    <row r="778">
      <c r="C778" s="1" t="s">
        <v>775</v>
      </c>
      <c r="D778" s="3" t="str">
        <f>IFERROR(__xludf.DUMMYFUNCTION("GOOGLETRANSLATE(C778,""en"",""pl"")"),"Mae")</f>
        <v>Mae</v>
      </c>
    </row>
    <row r="779">
      <c r="C779" s="1" t="s">
        <v>776</v>
      </c>
      <c r="D779" s="3" t="str">
        <f>IFERROR(__xludf.DUMMYFUNCTION("GOOGLETRANSLATE(C779,""en"",""pl"")"),"odporny")</f>
        <v>odporny</v>
      </c>
    </row>
    <row r="780">
      <c r="C780" s="1" t="s">
        <v>777</v>
      </c>
      <c r="D780" s="3" t="str">
        <f>IFERROR(__xludf.DUMMYFUNCTION("GOOGLETRANSLATE(C780,""en"",""pl"")"),"granat")</f>
        <v>granat</v>
      </c>
    </row>
    <row r="781">
      <c r="C781" s="1" t="s">
        <v>778</v>
      </c>
      <c r="D781" s="3" t="str">
        <f>IFERROR(__xludf.DUMMYFUNCTION("GOOGLETRANSLATE(C781,""en"",""pl"")"),"regularnie")</f>
        <v>regularnie</v>
      </c>
    </row>
    <row r="782">
      <c r="C782" s="1" t="s">
        <v>779</v>
      </c>
      <c r="D782" s="3" t="str">
        <f>IFERROR(__xludf.DUMMYFUNCTION("GOOGLETRANSLATE(C782,""en"",""pl"")"),"pula")</f>
        <v>pula</v>
      </c>
    </row>
    <row r="783">
      <c r="C783" s="1" t="s">
        <v>780</v>
      </c>
      <c r="D783" s="3" t="str">
        <f>IFERROR(__xludf.DUMMYFUNCTION("GOOGLETRANSLATE(C783,""en"",""pl"")"),"kilogramy")</f>
        <v>kilogramy</v>
      </c>
    </row>
    <row r="784">
      <c r="C784" s="1" t="s">
        <v>781</v>
      </c>
      <c r="D784" s="3" t="str">
        <f>IFERROR(__xludf.DUMMYFUNCTION("GOOGLETRANSLATE(C784,""en"",""pl"")"),"mnisi")</f>
        <v>mnisi</v>
      </c>
    </row>
    <row r="785">
      <c r="C785" s="1" t="s">
        <v>782</v>
      </c>
      <c r="D785" s="3" t="str">
        <f>IFERROR(__xludf.DUMMYFUNCTION("GOOGLETRANSLATE(C785,""en"",""pl"")"),"Lata 70.")</f>
        <v>Lata 70.</v>
      </c>
    </row>
    <row r="786">
      <c r="C786" s="1" t="s">
        <v>783</v>
      </c>
      <c r="D786" s="3" t="str">
        <f>IFERROR(__xludf.DUMMYFUNCTION("GOOGLETRANSLATE(C786,""en"",""pl"")"),"Gail")</f>
        <v>Gail</v>
      </c>
    </row>
    <row r="787">
      <c r="C787" s="1" t="s">
        <v>784</v>
      </c>
      <c r="D787" s="3" t="str">
        <f>IFERROR(__xludf.DUMMYFUNCTION("GOOGLETRANSLATE(C787,""en"",""pl"")"),"Gwinea")</f>
        <v>Gwinea</v>
      </c>
    </row>
    <row r="788">
      <c r="C788" s="1" t="s">
        <v>785</v>
      </c>
      <c r="D788" s="3" t="str">
        <f>IFERROR(__xludf.DUMMYFUNCTION("GOOGLETRANSLATE(C788,""en"",""pl"")"),"wynaleźć")</f>
        <v>wynaleźć</v>
      </c>
    </row>
    <row r="789">
      <c r="C789" s="1" t="s">
        <v>786</v>
      </c>
      <c r="D789" s="3" t="str">
        <f>IFERROR(__xludf.DUMMYFUNCTION("GOOGLETRANSLATE(C789,""en"",""pl"")"),"żłobek")</f>
        <v>żłobek</v>
      </c>
    </row>
    <row r="790">
      <c r="C790" s="1" t="s">
        <v>787</v>
      </c>
      <c r="D790" s="3" t="str">
        <f>IFERROR(__xludf.DUMMYFUNCTION("GOOGLETRANSLATE(C790,""en"",""pl"")"),"białko")</f>
        <v>białko</v>
      </c>
    </row>
    <row r="791">
      <c r="C791" s="1" t="s">
        <v>788</v>
      </c>
      <c r="D791" s="3" t="str">
        <f>IFERROR(__xludf.DUMMYFUNCTION("GOOGLETRANSLATE(C791,""en"",""pl"")"),"łokieć")</f>
        <v>łokieć</v>
      </c>
    </row>
    <row r="792">
      <c r="C792" s="1" t="s">
        <v>789</v>
      </c>
      <c r="D792" s="3" t="str">
        <f>IFERROR(__xludf.DUMMYFUNCTION("GOOGLETRANSLATE(C792,""en"",""pl"")"),"keller")</f>
        <v>keller</v>
      </c>
    </row>
    <row r="793">
      <c r="C793" s="1" t="s">
        <v>790</v>
      </c>
      <c r="D793" s="3" t="str">
        <f>IFERROR(__xludf.DUMMYFUNCTION("GOOGLETRANSLATE(C793,""en"",""pl"")"),"klauni")</f>
        <v>klauni</v>
      </c>
    </row>
    <row r="794">
      <c r="C794" s="1" t="s">
        <v>791</v>
      </c>
      <c r="D794" s="3" t="str">
        <f>IFERROR(__xludf.DUMMYFUNCTION("GOOGLETRANSLATE(C794,""en"",""pl"")"),"trzynaście")</f>
        <v>trzynaście</v>
      </c>
    </row>
    <row r="795">
      <c r="C795" s="1" t="s">
        <v>792</v>
      </c>
      <c r="D795" s="3" t="str">
        <f>IFERROR(__xludf.DUMMYFUNCTION("GOOGLETRANSLATE(C795,""en"",""pl"")"),"tatuaże")</f>
        <v>tatuaże</v>
      </c>
    </row>
    <row r="796">
      <c r="C796" s="1" t="s">
        <v>793</v>
      </c>
      <c r="D796" s="3" t="str">
        <f>IFERROR(__xludf.DUMMYFUNCTION("GOOGLETRANSLATE(C796,""en"",""pl"")"),"latał")</f>
        <v>latał</v>
      </c>
    </row>
    <row r="797">
      <c r="C797" s="1" t="s">
        <v>794</v>
      </c>
      <c r="D797" s="3" t="str">
        <f>IFERROR(__xludf.DUMMYFUNCTION("GOOGLETRANSLATE(C797,""en"",""pl"")"),"musztarda")</f>
        <v>musztarda</v>
      </c>
    </row>
    <row r="798">
      <c r="C798" s="1" t="s">
        <v>795</v>
      </c>
      <c r="D798" s="3" t="str">
        <f>IFERROR(__xludf.DUMMYFUNCTION("GOOGLETRANSLATE(C798,""en"",""pl"")"),"7.")</f>
        <v>7.</v>
      </c>
    </row>
    <row r="799">
      <c r="C799" s="1" t="s">
        <v>796</v>
      </c>
      <c r="D799" s="3" t="str">
        <f>IFERROR(__xludf.DUMMYFUNCTION("GOOGLETRANSLATE(C799,""en"",""pl"")"),"taras")</f>
        <v>taras</v>
      </c>
    </row>
    <row r="800">
      <c r="C800" s="1" t="s">
        <v>797</v>
      </c>
      <c r="D800" s="3" t="str">
        <f>IFERROR(__xludf.DUMMYFUNCTION("GOOGLETRANSLATE(C800,""en"",""pl"")"),"zmieniać")</f>
        <v>zmieniać</v>
      </c>
    </row>
    <row r="801">
      <c r="C801" s="1" t="s">
        <v>798</v>
      </c>
      <c r="D801" s="3" t="str">
        <f>IFERROR(__xludf.DUMMYFUNCTION("GOOGLETRANSLATE(C801,""en"",""pl"")"),"Franciszek")</f>
        <v>Franciszek</v>
      </c>
    </row>
    <row r="802">
      <c r="C802" s="1" t="s">
        <v>799</v>
      </c>
      <c r="D802" s="3" t="str">
        <f>IFERROR(__xludf.DUMMYFUNCTION("GOOGLETRANSLATE(C802,""en"",""pl"")"),"transport")</f>
        <v>transport</v>
      </c>
    </row>
    <row r="803">
      <c r="C803" s="1" t="s">
        <v>800</v>
      </c>
      <c r="D803" s="3" t="str">
        <f>IFERROR(__xludf.DUMMYFUNCTION("GOOGLETRANSLATE(C803,""en"",""pl"")"),"Co-")</f>
        <v>Co-</v>
      </c>
    </row>
    <row r="804">
      <c r="C804" s="1" t="s">
        <v>801</v>
      </c>
      <c r="D804" s="3" t="str">
        <f>IFERROR(__xludf.DUMMYFUNCTION("GOOGLETRANSLATE(C804,""en"",""pl"")"),"obiektyw")</f>
        <v>obiektyw</v>
      </c>
    </row>
    <row r="805">
      <c r="C805" s="1" t="s">
        <v>802</v>
      </c>
      <c r="D805" s="3" t="str">
        <f>IFERROR(__xludf.DUMMYFUNCTION("GOOGLETRANSLATE(C805,""en"",""pl"")"),"Alaska")</f>
        <v>Alaska</v>
      </c>
    </row>
    <row r="806">
      <c r="C806" s="1" t="s">
        <v>803</v>
      </c>
      <c r="D806" s="3" t="str">
        <f>IFERROR(__xludf.DUMMYFUNCTION("GOOGLETRANSLATE(C806,""en"",""pl"")"),"ha ha ha")</f>
        <v>ha ha ha</v>
      </c>
    </row>
    <row r="807">
      <c r="C807" s="1" t="s">
        <v>804</v>
      </c>
      <c r="D807" s="3" t="str">
        <f>IFERROR(__xludf.DUMMYFUNCTION("GOOGLETRANSLATE(C807,""en"",""pl"")"),"ingerencja")</f>
        <v>ingerencja</v>
      </c>
    </row>
    <row r="808">
      <c r="C808" s="1" t="s">
        <v>805</v>
      </c>
      <c r="D808" s="3" t="str">
        <f>IFERROR(__xludf.DUMMYFUNCTION("GOOGLETRANSLATE(C808,""en"",""pl"")"),"cholera")</f>
        <v>cholera</v>
      </c>
    </row>
    <row r="809">
      <c r="C809" s="1" t="s">
        <v>806</v>
      </c>
      <c r="D809" s="3" t="str">
        <f>IFERROR(__xludf.DUMMYFUNCTION("GOOGLETRANSLATE(C809,""en"",""pl"")"),"przyzwyczajenie")</f>
        <v>przyzwyczajenie</v>
      </c>
    </row>
    <row r="810">
      <c r="C810" s="1" t="s">
        <v>807</v>
      </c>
      <c r="D810" s="3" t="str">
        <f>IFERROR(__xludf.DUMMYFUNCTION("GOOGLETRANSLATE(C810,""en"",""pl"")"),"płakać")</f>
        <v>płakać</v>
      </c>
    </row>
    <row r="811">
      <c r="C811" s="1" t="s">
        <v>808</v>
      </c>
      <c r="D811" s="3" t="str">
        <f>IFERROR(__xludf.DUMMYFUNCTION("GOOGLETRANSLATE(C811,""en"",""pl"")"),"Klif")</f>
        <v>Klif</v>
      </c>
    </row>
    <row r="812">
      <c r="C812" s="1" t="s">
        <v>809</v>
      </c>
      <c r="D812" s="3" t="str">
        <f>IFERROR(__xludf.DUMMYFUNCTION("GOOGLETRANSLATE(C812,""en"",""pl"")"),"żałoba")</f>
        <v>żałoba</v>
      </c>
    </row>
    <row r="813">
      <c r="C813" s="1" t="s">
        <v>810</v>
      </c>
      <c r="D813" s="3" t="str">
        <f>IFERROR(__xludf.DUMMYFUNCTION("GOOGLETRANSLATE(C813,""en"",""pl"")"),"krzywy")</f>
        <v>krzywy</v>
      </c>
    </row>
    <row r="814">
      <c r="C814" s="1" t="s">
        <v>811</v>
      </c>
      <c r="D814" s="3" t="str">
        <f>IFERROR(__xludf.DUMMYFUNCTION("GOOGLETRANSLATE(C814,""en"",""pl"")"),"trener")</f>
        <v>trener</v>
      </c>
    </row>
    <row r="815">
      <c r="C815" s="1" t="s">
        <v>812</v>
      </c>
      <c r="D815" s="3" t="str">
        <f>IFERROR(__xludf.DUMMYFUNCTION("GOOGLETRANSLATE(C815,""en"",""pl"")"),"dozorca")</f>
        <v>dozorca</v>
      </c>
    </row>
    <row r="816">
      <c r="C816" s="1" t="s">
        <v>813</v>
      </c>
      <c r="D816" s="3" t="str">
        <f>IFERROR(__xludf.DUMMYFUNCTION("GOOGLETRANSLATE(C816,""en"",""pl"")"),"stopniowo")</f>
        <v>stopniowo</v>
      </c>
    </row>
    <row r="817">
      <c r="C817" s="1" t="s">
        <v>814</v>
      </c>
      <c r="D817" s="3" t="str">
        <f>IFERROR(__xludf.DUMMYFUNCTION("GOOGLETRANSLATE(C817,""en"",""pl"")"),"imigracja")</f>
        <v>imigracja</v>
      </c>
    </row>
    <row r="818">
      <c r="C818" s="1" t="s">
        <v>815</v>
      </c>
      <c r="D818" s="3" t="str">
        <f>IFERROR(__xludf.DUMMYFUNCTION("GOOGLETRANSLATE(C818,""en"",""pl"")"),"brud")</f>
        <v>brud</v>
      </c>
    </row>
    <row r="819">
      <c r="C819" s="1" t="s">
        <v>816</v>
      </c>
      <c r="D819" s="3" t="str">
        <f>IFERROR(__xludf.DUMMYFUNCTION("GOOGLETRANSLATE(C819,""en"",""pl"")"),"mama")</f>
        <v>mama</v>
      </c>
    </row>
    <row r="820">
      <c r="C820" s="1" t="s">
        <v>817</v>
      </c>
      <c r="D820" s="3" t="str">
        <f>IFERROR(__xludf.DUMMYFUNCTION("GOOGLETRANSLATE(C820,""en"",""pl"")"),"teść")</f>
        <v>teść</v>
      </c>
    </row>
    <row r="821">
      <c r="C821" s="1" t="s">
        <v>818</v>
      </c>
      <c r="D821" s="3" t="str">
        <f>IFERROR(__xludf.DUMMYFUNCTION("GOOGLETRANSLATE(C821,""en"",""pl"")"),"osioł")</f>
        <v>osioł</v>
      </c>
    </row>
    <row r="822">
      <c r="C822" s="1" t="s">
        <v>819</v>
      </c>
      <c r="D822" s="3" t="str">
        <f>IFERROR(__xludf.DUMMYFUNCTION("GOOGLETRANSLATE(C822,""en"",""pl"")"),"cho")</f>
        <v>cho</v>
      </c>
    </row>
    <row r="823">
      <c r="C823" s="1" t="s">
        <v>820</v>
      </c>
      <c r="D823" s="3" t="str">
        <f>IFERROR(__xludf.DUMMYFUNCTION("GOOGLETRANSLATE(C823,""en"",""pl"")"),"przypomnienie")</f>
        <v>przypomnienie</v>
      </c>
    </row>
    <row r="824">
      <c r="C824" s="1" t="s">
        <v>821</v>
      </c>
      <c r="D824" s="3" t="str">
        <f>IFERROR(__xludf.DUMMYFUNCTION("GOOGLETRANSLATE(C824,""en"",""pl"")"),"winowajca")</f>
        <v>winowajca</v>
      </c>
    </row>
    <row r="825">
      <c r="C825" s="1" t="s">
        <v>822</v>
      </c>
      <c r="D825" s="3" t="str">
        <f>IFERROR(__xludf.DUMMYFUNCTION("GOOGLETRANSLATE(C825,""en"",""pl"")"),"Gabriella")</f>
        <v>Gabriella</v>
      </c>
    </row>
    <row r="826">
      <c r="C826" s="1" t="s">
        <v>823</v>
      </c>
      <c r="D826" s="3" t="str">
        <f>IFERROR(__xludf.DUMMYFUNCTION("GOOGLETRANSLATE(C826,""en"",""pl"")"),"prawda?")</f>
        <v>prawda?</v>
      </c>
    </row>
    <row r="827">
      <c r="C827" s="1" t="s">
        <v>824</v>
      </c>
      <c r="D827" s="3" t="str">
        <f>IFERROR(__xludf.DUMMYFUNCTION("GOOGLETRANSLATE(C827,""en"",""pl"")"),"sędzia")</f>
        <v>sędzia</v>
      </c>
    </row>
    <row r="828">
      <c r="C828" s="1" t="s">
        <v>825</v>
      </c>
      <c r="D828" s="3" t="str">
        <f>IFERROR(__xludf.DUMMYFUNCTION("GOOGLETRANSLATE(C828,""en"",""pl"")"),"jaśmin")</f>
        <v>jaśmin</v>
      </c>
    </row>
    <row r="829">
      <c r="C829" s="4" t="s">
        <v>826</v>
      </c>
      <c r="D829" s="3" t="str">
        <f>IFERROR(__xludf.DUMMYFUNCTION("GOOGLETRANSLATE(C829,""en"",""pl"")"),"M-")</f>
        <v>M-</v>
      </c>
    </row>
    <row r="830">
      <c r="C830" s="1" t="s">
        <v>827</v>
      </c>
      <c r="D830" s="3" t="str">
        <f>IFERROR(__xludf.DUMMYFUNCTION("GOOGLETRANSLATE(C830,""en"",""pl"")"),"łono")</f>
        <v>łono</v>
      </c>
    </row>
    <row r="831">
      <c r="C831" s="1" t="s">
        <v>828</v>
      </c>
      <c r="D831" s="3" t="str">
        <f>IFERROR(__xludf.DUMMYFUNCTION("GOOGLETRANSLATE(C831,""en"",""pl"")"),"pisanie SMS-ów")</f>
        <v>pisanie SMS-ów</v>
      </c>
    </row>
    <row r="832">
      <c r="C832" s="1" t="s">
        <v>829</v>
      </c>
      <c r="D832" s="3" t="str">
        <f>IFERROR(__xludf.DUMMYFUNCTION("GOOGLETRANSLATE(C832,""en"",""pl"")"),"niesprawiedliwość")</f>
        <v>niesprawiedliwość</v>
      </c>
    </row>
    <row r="833">
      <c r="C833" s="1" t="s">
        <v>830</v>
      </c>
      <c r="D833" s="3" t="str">
        <f>IFERROR(__xludf.DUMMYFUNCTION("GOOGLETRANSLATE(C833,""en"",""pl"")"),"wymyślanie")</f>
        <v>wymyślanie</v>
      </c>
    </row>
    <row r="834">
      <c r="C834" s="1" t="s">
        <v>831</v>
      </c>
      <c r="D834" s="3" t="str">
        <f>IFERROR(__xludf.DUMMYFUNCTION("GOOGLETRANSLATE(C834,""en"",""pl"")"),"złamanie")</f>
        <v>złamanie</v>
      </c>
    </row>
    <row r="835">
      <c r="C835" s="1" t="s">
        <v>832</v>
      </c>
      <c r="D835" s="3" t="str">
        <f>IFERROR(__xludf.DUMMYFUNCTION("GOOGLETRANSLATE(C835,""en"",""pl"")"),"niepoczytalność")</f>
        <v>niepoczytalność</v>
      </c>
    </row>
    <row r="836">
      <c r="C836" s="1" t="s">
        <v>833</v>
      </c>
      <c r="D836" s="3" t="str">
        <f>IFERROR(__xludf.DUMMYFUNCTION("GOOGLETRANSLATE(C836,""en"",""pl"")"),"chłopi")</f>
        <v>chłopi</v>
      </c>
    </row>
    <row r="837">
      <c r="C837" s="1" t="s">
        <v>834</v>
      </c>
      <c r="D837" s="3" t="str">
        <f>IFERROR(__xludf.DUMMYFUNCTION("GOOGLETRANSLATE(C837,""en"",""pl"")"),"kwiat")</f>
        <v>kwiat</v>
      </c>
    </row>
    <row r="838">
      <c r="C838" s="1" t="s">
        <v>835</v>
      </c>
      <c r="D838" s="3" t="str">
        <f>IFERROR(__xludf.DUMMYFUNCTION("GOOGLETRANSLATE(C838,""en"",""pl"")"),"itp")</f>
        <v>itp</v>
      </c>
    </row>
    <row r="839">
      <c r="C839" s="1" t="s">
        <v>836</v>
      </c>
      <c r="D839" s="3" t="str">
        <f>IFERROR(__xludf.DUMMYFUNCTION("GOOGLETRANSLATE(C839,""en"",""pl"")"),"agonia")</f>
        <v>agonia</v>
      </c>
    </row>
    <row r="840">
      <c r="C840" s="1" t="s">
        <v>837</v>
      </c>
      <c r="D840" s="3" t="str">
        <f>IFERROR(__xludf.DUMMYFUNCTION("GOOGLETRANSLATE(C840,""en"",""pl"")"),"sondaż")</f>
        <v>sondaż</v>
      </c>
    </row>
    <row r="841">
      <c r="C841" s="1" t="s">
        <v>838</v>
      </c>
      <c r="D841" s="3" t="str">
        <f>IFERROR(__xludf.DUMMYFUNCTION("GOOGLETRANSLATE(C841,""en"",""pl"")"),"uncja")</f>
        <v>uncja</v>
      </c>
    </row>
    <row r="842">
      <c r="C842" s="1" t="s">
        <v>839</v>
      </c>
      <c r="D842" s="3" t="str">
        <f>IFERROR(__xludf.DUMMYFUNCTION("GOOGLETRANSLATE(C842,""en"",""pl"")"),"podstawowy")</f>
        <v>podstawowy</v>
      </c>
    </row>
    <row r="843">
      <c r="C843" s="1" t="s">
        <v>840</v>
      </c>
      <c r="D843" s="3" t="str">
        <f>IFERROR(__xludf.DUMMYFUNCTION("GOOGLETRANSLATE(C843,""en"",""pl"")"),"zajęty")</f>
        <v>zajęty</v>
      </c>
    </row>
    <row r="844">
      <c r="C844" s="1" t="s">
        <v>841</v>
      </c>
      <c r="D844" s="3" t="str">
        <f>IFERROR(__xludf.DUMMYFUNCTION("GOOGLETRANSLATE(C844,""en"",""pl"")"),"uczy")</f>
        <v>uczy</v>
      </c>
    </row>
    <row r="845">
      <c r="C845" s="1" t="s">
        <v>842</v>
      </c>
      <c r="D845" s="3" t="str">
        <f>IFERROR(__xludf.DUMMYFUNCTION("GOOGLETRANSLATE(C845,""en"",""pl"")"),"miłośćradość")</f>
        <v>miłośćradość</v>
      </c>
    </row>
    <row r="846">
      <c r="C846" s="1" t="s">
        <v>843</v>
      </c>
      <c r="D846" s="3" t="str">
        <f>IFERROR(__xludf.DUMMYFUNCTION("GOOGLETRANSLATE(C846,""en"",""pl"")"),"krzyżyk")</f>
        <v>krzyżyk</v>
      </c>
    </row>
    <row r="847">
      <c r="C847" s="1" t="s">
        <v>844</v>
      </c>
      <c r="D847" s="3" t="str">
        <f>IFERROR(__xludf.DUMMYFUNCTION("GOOGLETRANSLATE(C847,""en"",""pl"")"),"osiemnaście")</f>
        <v>osiemnaście</v>
      </c>
    </row>
    <row r="848">
      <c r="C848" s="1" t="s">
        <v>845</v>
      </c>
      <c r="D848" s="3" t="str">
        <f>IFERROR(__xludf.DUMMYFUNCTION("GOOGLETRANSLATE(C848,""en"",""pl"")"),"buda")</f>
        <v>buda</v>
      </c>
    </row>
    <row r="849">
      <c r="C849" s="1" t="s">
        <v>846</v>
      </c>
      <c r="D849" s="3" t="str">
        <f>IFERROR(__xludf.DUMMYFUNCTION("GOOGLETRANSLATE(C849,""en"",""pl"")"),"nastolatek")</f>
        <v>nastolatek</v>
      </c>
    </row>
    <row r="850">
      <c r="C850" s="1" t="s">
        <v>847</v>
      </c>
      <c r="D850" s="3" t="str">
        <f>IFERROR(__xludf.DUMMYFUNCTION("GOOGLETRANSLATE(C850,""en"",""pl"")"),"określony")</f>
        <v>określony</v>
      </c>
    </row>
    <row r="851">
      <c r="C851" s="1" t="s">
        <v>848</v>
      </c>
      <c r="D851" s="3" t="str">
        <f>IFERROR(__xludf.DUMMYFUNCTION("GOOGLETRANSLATE(C851,""en"",""pl"")"),"szorować")</f>
        <v>szorować</v>
      </c>
    </row>
    <row r="852">
      <c r="C852" s="1" t="s">
        <v>849</v>
      </c>
      <c r="D852" s="3" t="str">
        <f>IFERROR(__xludf.DUMMYFUNCTION("GOOGLETRANSLATE(C852,""en"",""pl"")"),"linijka")</f>
        <v>linijka</v>
      </c>
    </row>
    <row r="853">
      <c r="C853" s="1" t="s">
        <v>850</v>
      </c>
      <c r="D853" s="3" t="str">
        <f>IFERROR(__xludf.DUMMYFUNCTION("GOOGLETRANSLATE(C853,""en"",""pl"")"),"pleśń")</f>
        <v>pleśń</v>
      </c>
    </row>
    <row r="854">
      <c r="C854" s="1" t="s">
        <v>851</v>
      </c>
      <c r="D854" s="3" t="str">
        <f>IFERROR(__xludf.DUMMYFUNCTION("GOOGLETRANSLATE(C854,""en"",""pl"")"),"zawartość")</f>
        <v>zawartość</v>
      </c>
    </row>
    <row r="855">
      <c r="C855" s="1" t="s">
        <v>852</v>
      </c>
      <c r="D855" s="3" t="str">
        <f>IFERROR(__xludf.DUMMYFUNCTION("GOOGLETRANSLATE(C855,""en"",""pl"")"),"ugryziony")</f>
        <v>ugryziony</v>
      </c>
    </row>
    <row r="856">
      <c r="C856" s="1" t="s">
        <v>853</v>
      </c>
      <c r="D856" s="3" t="str">
        <f>IFERROR(__xludf.DUMMYFUNCTION("GOOGLETRANSLATE(C856,""en"",""pl"")"),"antidotum")</f>
        <v>antidotum</v>
      </c>
    </row>
    <row r="857">
      <c r="C857" s="1" t="s">
        <v>854</v>
      </c>
      <c r="D857" s="3" t="str">
        <f>IFERROR(__xludf.DUMMYFUNCTION("GOOGLETRANSLATE(C857,""en"",""pl"")"),"był-")</f>
        <v>był-</v>
      </c>
    </row>
    <row r="858">
      <c r="C858" s="1" t="s">
        <v>855</v>
      </c>
      <c r="D858" s="3" t="str">
        <f>IFERROR(__xludf.DUMMYFUNCTION("GOOGLETRANSLATE(C858,""en"",""pl"")"),"zapisuje")</f>
        <v>zapisuje</v>
      </c>
    </row>
    <row r="859">
      <c r="C859" s="1" t="s">
        <v>856</v>
      </c>
      <c r="D859" s="3" t="str">
        <f>IFERROR(__xludf.DUMMYFUNCTION("GOOGLETRANSLATE(C859,""en"",""pl"")"),"łóżko")</f>
        <v>łóżko</v>
      </c>
    </row>
    <row r="860">
      <c r="C860" s="1" t="s">
        <v>857</v>
      </c>
      <c r="D860" s="3" t="str">
        <f>IFERROR(__xludf.DUMMYFUNCTION("GOOGLETRANSLATE(C860,""en"",""pl"")"),"thor")</f>
        <v>thor</v>
      </c>
    </row>
    <row r="861">
      <c r="C861" s="1" t="s">
        <v>858</v>
      </c>
      <c r="D861" s="3" t="str">
        <f>IFERROR(__xludf.DUMMYFUNCTION("GOOGLETRANSLATE(C861,""en"",""pl"")"),"republikański")</f>
        <v>republikański</v>
      </c>
    </row>
    <row r="862">
      <c r="C862" s="1" t="s">
        <v>859</v>
      </c>
      <c r="D862" s="3" t="str">
        <f>IFERROR(__xludf.DUMMYFUNCTION("GOOGLETRANSLATE(C862,""en"",""pl"")"),"cmentarz")</f>
        <v>cmentarz</v>
      </c>
    </row>
    <row r="863">
      <c r="C863" s="1" t="s">
        <v>860</v>
      </c>
      <c r="D863" s="3" t="str">
        <f>IFERROR(__xludf.DUMMYFUNCTION("GOOGLETRANSLATE(C863,""en"",""pl"")"),"próbowanie")</f>
        <v>próbowanie</v>
      </c>
    </row>
    <row r="864">
      <c r="C864" s="1" t="s">
        <v>861</v>
      </c>
      <c r="D864" s="3" t="str">
        <f>IFERROR(__xludf.DUMMYFUNCTION("GOOGLETRANSLATE(C864,""en"",""pl"")"),"Poirot-")</f>
        <v>Poirot-</v>
      </c>
    </row>
    <row r="865">
      <c r="C865" s="1" t="s">
        <v>862</v>
      </c>
      <c r="D865" s="3" t="str">
        <f>IFERROR(__xludf.DUMMYFUNCTION("GOOGLETRANSLATE(C865,""en"",""pl"")"),"aspekt")</f>
        <v>aspekt</v>
      </c>
    </row>
    <row r="866">
      <c r="C866" s="1" t="s">
        <v>863</v>
      </c>
      <c r="D866" s="3" t="str">
        <f>IFERROR(__xludf.DUMMYFUNCTION("GOOGLETRANSLATE(C866,""en"",""pl"")"),"odnieść się")</f>
        <v>odnieść się</v>
      </c>
    </row>
    <row r="867">
      <c r="C867" s="1" t="s">
        <v>864</v>
      </c>
      <c r="D867" s="3" t="str">
        <f>IFERROR(__xludf.DUMMYFUNCTION("GOOGLETRANSLATE(C867,""en"",""pl"")"),"lemoniada")</f>
        <v>lemoniada</v>
      </c>
    </row>
    <row r="868">
      <c r="C868" s="1" t="s">
        <v>865</v>
      </c>
      <c r="D868" s="3" t="str">
        <f>IFERROR(__xludf.DUMMYFUNCTION("GOOGLETRANSLATE(C868,""en"",""pl"")"),"mąka")</f>
        <v>mąka</v>
      </c>
    </row>
    <row r="869">
      <c r="C869" s="1" t="s">
        <v>866</v>
      </c>
      <c r="D869" s="3" t="str">
        <f>IFERROR(__xludf.DUMMYFUNCTION("GOOGLETRANSLATE(C869,""en"",""pl"")"),"nowojorska policja")</f>
        <v>nowojorska policja</v>
      </c>
    </row>
    <row r="870">
      <c r="C870" s="1" t="s">
        <v>867</v>
      </c>
      <c r="D870" s="3" t="str">
        <f>IFERROR(__xludf.DUMMYFUNCTION("GOOGLETRANSLATE(C870,""en"",""pl"")"),"biologia")</f>
        <v>biologia</v>
      </c>
    </row>
    <row r="871">
      <c r="C871" s="1" t="s">
        <v>868</v>
      </c>
      <c r="D871" s="3" t="str">
        <f>IFERROR(__xludf.DUMMYFUNCTION("GOOGLETRANSLATE(C871,""en"",""pl"")"),"zakurzony")</f>
        <v>zakurzony</v>
      </c>
    </row>
    <row r="872">
      <c r="C872" s="1" t="s">
        <v>869</v>
      </c>
      <c r="D872" s="3" t="str">
        <f>IFERROR(__xludf.DUMMYFUNCTION("GOOGLETRANSLATE(C872,""en"",""pl"")"),"przestępstwo")</f>
        <v>przestępstwo</v>
      </c>
    </row>
    <row r="873">
      <c r="C873" s="1" t="s">
        <v>870</v>
      </c>
      <c r="D873" s="3" t="str">
        <f>IFERROR(__xludf.DUMMYFUNCTION("GOOGLETRANSLATE(C873,""en"",""pl"")"),"Jax")</f>
        <v>Jax</v>
      </c>
    </row>
    <row r="874">
      <c r="C874" s="1" t="s">
        <v>871</v>
      </c>
      <c r="D874" s="3" t="str">
        <f>IFERROR(__xludf.DUMMYFUNCTION("GOOGLETRANSLATE(C874,""en"",""pl"")"),"podstawowy")</f>
        <v>podstawowy</v>
      </c>
    </row>
    <row r="875">
      <c r="C875" s="1" t="s">
        <v>872</v>
      </c>
      <c r="D875" s="3" t="str">
        <f>IFERROR(__xludf.DUMMYFUNCTION("GOOGLETRANSLATE(C875,""en"",""pl"")"),"dzień dobry")</f>
        <v>dzień dobry</v>
      </c>
    </row>
    <row r="876">
      <c r="C876" s="1" t="s">
        <v>873</v>
      </c>
      <c r="D876" s="3" t="str">
        <f>IFERROR(__xludf.DUMMYFUNCTION("GOOGLETRANSLATE(C876,""en"",""pl"")"),"skutecznie")</f>
        <v>skutecznie</v>
      </c>
    </row>
    <row r="877">
      <c r="C877" s="1" t="s">
        <v>874</v>
      </c>
      <c r="D877" s="3" t="str">
        <f>IFERROR(__xludf.DUMMYFUNCTION("GOOGLETRANSLATE(C877,""en"",""pl"")"),"potencjalnie")</f>
        <v>potencjalnie</v>
      </c>
    </row>
    <row r="878">
      <c r="C878" s="1" t="s">
        <v>875</v>
      </c>
      <c r="D878" s="3" t="str">
        <f>IFERROR(__xludf.DUMMYFUNCTION("GOOGLETRANSLATE(C878,""en"",""pl"")"),"Donnie")</f>
        <v>Donnie</v>
      </c>
    </row>
    <row r="879">
      <c r="C879" s="1" t="s">
        <v>876</v>
      </c>
      <c r="D879" s="3" t="str">
        <f>IFERROR(__xludf.DUMMYFUNCTION("GOOGLETRANSLATE(C879,""en"",""pl"")"),"dziwnie")</f>
        <v>dziwnie</v>
      </c>
    </row>
    <row r="880">
      <c r="C880" s="1" t="s">
        <v>877</v>
      </c>
      <c r="D880" s="3" t="str">
        <f>IFERROR(__xludf.DUMMYFUNCTION("GOOGLETRANSLATE(C880,""en"",""pl"")"),"prezerwatywy")</f>
        <v>prezerwatywy</v>
      </c>
    </row>
    <row r="881">
      <c r="C881" s="1" t="s">
        <v>878</v>
      </c>
      <c r="D881" s="3" t="str">
        <f>IFERROR(__xludf.DUMMYFUNCTION("GOOGLETRANSLATE(C881,""en"",""pl"")"),"kwant")</f>
        <v>kwant</v>
      </c>
    </row>
    <row r="882">
      <c r="C882" s="1" t="s">
        <v>879</v>
      </c>
      <c r="D882" s="3" t="str">
        <f>IFERROR(__xludf.DUMMYFUNCTION("GOOGLETRANSLATE(C882,""en"",""pl"")"),"zupełny")</f>
        <v>zupełny</v>
      </c>
    </row>
    <row r="883">
      <c r="C883" s="1" t="s">
        <v>880</v>
      </c>
      <c r="D883" s="3" t="str">
        <f>IFERROR(__xludf.DUMMYFUNCTION("GOOGLETRANSLATE(C883,""en"",""pl"")"),"aktywowany")</f>
        <v>aktywowany</v>
      </c>
    </row>
    <row r="884">
      <c r="C884" s="1" t="s">
        <v>881</v>
      </c>
      <c r="D884" s="3" t="str">
        <f>IFERROR(__xludf.DUMMYFUNCTION("GOOGLETRANSLATE(C884,""en"",""pl"")"),"zainstalowany")</f>
        <v>zainstalowany</v>
      </c>
    </row>
    <row r="885">
      <c r="C885" s="1" t="s">
        <v>882</v>
      </c>
      <c r="D885" s="3" t="str">
        <f>IFERROR(__xludf.DUMMYFUNCTION("GOOGLETRANSLATE(C885,""en"",""pl"")"),"przerwany")</f>
        <v>przerwany</v>
      </c>
    </row>
    <row r="886">
      <c r="C886" s="4" t="s">
        <v>883</v>
      </c>
      <c r="D886" s="3" t="str">
        <f>IFERROR(__xludf.DUMMYFUNCTION("GOOGLETRANSLATE(C886,""en"",""pl"")"),"eee")</f>
        <v>eee</v>
      </c>
    </row>
    <row r="887">
      <c r="C887" s="1" t="s">
        <v>884</v>
      </c>
      <c r="D887" s="3" t="str">
        <f>IFERROR(__xludf.DUMMYFUNCTION("GOOGLETRANSLATE(C887,""en"",""pl"")"),"wypisać")</f>
        <v>wypisać</v>
      </c>
    </row>
    <row r="888">
      <c r="C888" s="1" t="s">
        <v>885</v>
      </c>
      <c r="D888" s="3" t="str">
        <f>IFERROR(__xludf.DUMMYFUNCTION("GOOGLETRANSLATE(C888,""en"",""pl"")"),"zdewastowany")</f>
        <v>zdewastowany</v>
      </c>
    </row>
    <row r="889">
      <c r="C889" s="1" t="s">
        <v>886</v>
      </c>
      <c r="D889" s="3" t="str">
        <f>IFERROR(__xludf.DUMMYFUNCTION("GOOGLETRANSLATE(C889,""en"",""pl"")"),"zastąpić")</f>
        <v>zastąpić</v>
      </c>
    </row>
    <row r="890">
      <c r="C890" s="1" t="s">
        <v>887</v>
      </c>
      <c r="D890" s="3" t="str">
        <f>IFERROR(__xludf.DUMMYFUNCTION("GOOGLETRANSLATE(C890,""en"",""pl"")"),"pluśnięcie")</f>
        <v>pluśnięcie</v>
      </c>
    </row>
    <row r="891">
      <c r="C891" s="1" t="s">
        <v>888</v>
      </c>
      <c r="D891" s="3" t="str">
        <f>IFERROR(__xludf.DUMMYFUNCTION("GOOGLETRANSLATE(C891,""en"",""pl"")"),"Julio")</f>
        <v>Julio</v>
      </c>
    </row>
    <row r="892">
      <c r="C892" s="1" t="s">
        <v>889</v>
      </c>
      <c r="D892" s="3" t="str">
        <f>IFERROR(__xludf.DUMMYFUNCTION("GOOGLETRANSLATE(C892,""en"",""pl"")"),"wygnanie")</f>
        <v>wygnanie</v>
      </c>
    </row>
    <row r="893">
      <c r="C893" s="1" t="s">
        <v>890</v>
      </c>
      <c r="D893" s="3" t="str">
        <f>IFERROR(__xludf.DUMMYFUNCTION("GOOGLETRANSLATE(C893,""en"",""pl"")"),"aspiryna")</f>
        <v>aspiryna</v>
      </c>
    </row>
    <row r="894">
      <c r="C894" s="1" t="s">
        <v>891</v>
      </c>
      <c r="D894" s="3" t="str">
        <f>IFERROR(__xludf.DUMMYFUNCTION("GOOGLETRANSLATE(C894,""en"",""pl"")"),"autentyczny")</f>
        <v>autentyczny</v>
      </c>
    </row>
    <row r="895">
      <c r="C895" s="1" t="s">
        <v>892</v>
      </c>
      <c r="D895" s="3" t="str">
        <f>IFERROR(__xludf.DUMMYFUNCTION("GOOGLETRANSLATE(C895,""en"",""pl"")"),"12.")</f>
        <v>12.</v>
      </c>
    </row>
    <row r="896">
      <c r="C896" s="1" t="s">
        <v>893</v>
      </c>
      <c r="D896" s="3" t="str">
        <f>IFERROR(__xludf.DUMMYFUNCTION("GOOGLETRANSLATE(C896,""en"",""pl"")"),"szczyt")</f>
        <v>szczyt</v>
      </c>
    </row>
    <row r="897">
      <c r="C897" s="1" t="s">
        <v>894</v>
      </c>
      <c r="D897" s="3" t="str">
        <f>IFERROR(__xludf.DUMMYFUNCTION("GOOGLETRANSLATE(C897,""en"",""pl"")"),"skinienie")</f>
        <v>skinienie</v>
      </c>
    </row>
    <row r="898">
      <c r="C898" s="1" t="s">
        <v>895</v>
      </c>
      <c r="D898" s="3" t="str">
        <f>IFERROR(__xludf.DUMMYFUNCTION("GOOGLETRANSLATE(C898,""en"",""pl"")"),"uzależnienie")</f>
        <v>uzależnienie</v>
      </c>
    </row>
    <row r="899">
      <c r="C899" s="1" t="s">
        <v>896</v>
      </c>
      <c r="D899" s="3" t="str">
        <f>IFERROR(__xludf.DUMMYFUNCTION("GOOGLETRANSLATE(C899,""en"",""pl"")"),"pożyczony")</f>
        <v>pożyczony</v>
      </c>
    </row>
    <row r="900">
      <c r="C900" s="1" t="s">
        <v>897</v>
      </c>
      <c r="D900" s="3" t="str">
        <f>IFERROR(__xludf.DUMMYFUNCTION("GOOGLETRANSLATE(C900,""en"",""pl"")"),"warkot")</f>
        <v>warkot</v>
      </c>
    </row>
    <row r="901">
      <c r="C901" s="1" t="s">
        <v>898</v>
      </c>
      <c r="D901" s="3" t="str">
        <f>IFERROR(__xludf.DUMMYFUNCTION("GOOGLETRANSLATE(C901,""en"",""pl"")"),"angażujący")</f>
        <v>angażujący</v>
      </c>
    </row>
    <row r="902">
      <c r="C902" s="1" t="s">
        <v>899</v>
      </c>
      <c r="D902" s="3" t="str">
        <f>IFERROR(__xludf.DUMMYFUNCTION("GOOGLETRANSLATE(C902,""en"",""pl"")"),"chłopaki")</f>
        <v>chłopaki</v>
      </c>
    </row>
    <row r="903">
      <c r="C903" s="1" t="s">
        <v>900</v>
      </c>
      <c r="D903" s="3" t="str">
        <f>IFERROR(__xludf.DUMMYFUNCTION("GOOGLETRANSLATE(C903,""en"",""pl"")"),"tango")</f>
        <v>tango</v>
      </c>
    </row>
    <row r="904">
      <c r="C904" s="1" t="s">
        <v>901</v>
      </c>
      <c r="D904" s="3" t="str">
        <f>IFERROR(__xludf.DUMMYFUNCTION("GOOGLETRANSLATE(C904,""en"",""pl"")"),"na stałe")</f>
        <v>na stałe</v>
      </c>
    </row>
    <row r="905">
      <c r="C905" s="1" t="s">
        <v>902</v>
      </c>
      <c r="D905" s="3" t="str">
        <f>IFERROR(__xludf.DUMMYFUNCTION("GOOGLETRANSLATE(C905,""en"",""pl"")"),"województwo")</f>
        <v>województwo</v>
      </c>
    </row>
    <row r="906">
      <c r="C906" s="1" t="s">
        <v>903</v>
      </c>
      <c r="D906" s="3" t="str">
        <f>IFERROR(__xludf.DUMMYFUNCTION("GOOGLETRANSLATE(C906,""en"",""pl"")"),"Próba")</f>
        <v>Próba</v>
      </c>
    </row>
    <row r="907">
      <c r="C907" s="1" t="s">
        <v>904</v>
      </c>
      <c r="D907" s="3" t="str">
        <f>IFERROR(__xludf.DUMMYFUNCTION("GOOGLETRANSLATE(C907,""en"",""pl"")"),"oszukany")</f>
        <v>oszukany</v>
      </c>
    </row>
    <row r="908">
      <c r="C908" s="4" t="s">
        <v>905</v>
      </c>
      <c r="D908" s="3" t="str">
        <f>IFERROR(__xludf.DUMMYFUNCTION("GOOGLETRANSLATE(C908,""en"",""pl"")"),"wiedzieć")</f>
        <v>wiedzieć</v>
      </c>
    </row>
    <row r="909">
      <c r="C909" s="1" t="s">
        <v>906</v>
      </c>
      <c r="D909" s="3" t="str">
        <f>IFERROR(__xludf.DUMMYFUNCTION("GOOGLETRANSLATE(C909,""en"",""pl"")"),"trójkąt")</f>
        <v>trójkąt</v>
      </c>
    </row>
    <row r="910">
      <c r="C910" s="1" t="s">
        <v>907</v>
      </c>
      <c r="D910" s="3" t="str">
        <f>IFERROR(__xludf.DUMMYFUNCTION("GOOGLETRANSLATE(C910,""en"",""pl"")"),"pominięty")</f>
        <v>pominięty</v>
      </c>
    </row>
    <row r="911">
      <c r="C911" s="1" t="s">
        <v>908</v>
      </c>
      <c r="D911" s="3" t="str">
        <f>IFERROR(__xludf.DUMMYFUNCTION("GOOGLETRANSLATE(C911,""en"",""pl"")"),"truskawka")</f>
        <v>truskawka</v>
      </c>
    </row>
    <row r="912">
      <c r="C912" s="1" t="s">
        <v>909</v>
      </c>
      <c r="D912" s="3" t="str">
        <f>IFERROR(__xludf.DUMMYFUNCTION("GOOGLETRANSLATE(C912,""en"",""pl"")"),"lustra")</f>
        <v>lustra</v>
      </c>
    </row>
    <row r="913">
      <c r="C913" s="1" t="s">
        <v>910</v>
      </c>
      <c r="D913" s="3" t="str">
        <f>IFERROR(__xludf.DUMMYFUNCTION("GOOGLETRANSLATE(C913,""en"",""pl"")"),"samoobrona")</f>
        <v>samoobrona</v>
      </c>
    </row>
    <row r="914">
      <c r="C914" s="1" t="s">
        <v>911</v>
      </c>
      <c r="D914" s="3" t="str">
        <f>IFERROR(__xludf.DUMMYFUNCTION("GOOGLETRANSLATE(C914,""en"",""pl"")"),"preston")</f>
        <v>preston</v>
      </c>
    </row>
    <row r="915">
      <c r="C915" s="1" t="s">
        <v>912</v>
      </c>
      <c r="D915" s="3" t="str">
        <f>IFERROR(__xludf.DUMMYFUNCTION("GOOGLETRANSLATE(C915,""en"",""pl"")"),"przytłoczony")</f>
        <v>przytłoczony</v>
      </c>
    </row>
    <row r="916">
      <c r="C916" s="1" t="s">
        <v>913</v>
      </c>
      <c r="D916" s="3" t="str">
        <f>IFERROR(__xludf.DUMMYFUNCTION("GOOGLETRANSLATE(C916,""en"",""pl"")"),"szybki")</f>
        <v>szybki</v>
      </c>
    </row>
    <row r="917">
      <c r="C917" s="1" t="s">
        <v>914</v>
      </c>
      <c r="D917" s="3" t="str">
        <f>IFERROR(__xludf.DUMMYFUNCTION("GOOGLETRANSLATE(C917,""en"",""pl"")"),"gęsia skórka")</f>
        <v>gęsia skórka</v>
      </c>
    </row>
    <row r="918">
      <c r="C918" s="1" t="s">
        <v>915</v>
      </c>
      <c r="D918" s="3" t="str">
        <f>IFERROR(__xludf.DUMMYFUNCTION("GOOGLETRANSLATE(C918,""en"",""pl"")"),"znak")</f>
        <v>znak</v>
      </c>
    </row>
    <row r="919">
      <c r="C919" s="1" t="s">
        <v>916</v>
      </c>
      <c r="D919" s="3" t="str">
        <f>IFERROR(__xludf.DUMMYFUNCTION("GOOGLETRANSLATE(C919,""en"",""pl"")"),"tymczasowo")</f>
        <v>tymczasowo</v>
      </c>
    </row>
    <row r="920">
      <c r="C920" s="1" t="s">
        <v>917</v>
      </c>
      <c r="D920" s="3" t="str">
        <f>IFERROR(__xludf.DUMMYFUNCTION("GOOGLETRANSLATE(C920,""en"",""pl"")"),"trujący")</f>
        <v>trujący</v>
      </c>
    </row>
    <row r="921">
      <c r="C921" s="1" t="s">
        <v>918</v>
      </c>
      <c r="D921" s="3" t="str">
        <f>IFERROR(__xludf.DUMMYFUNCTION("GOOGLETRANSLATE(C921,""en"",""pl"")"),"Heidi")</f>
        <v>Heidi</v>
      </c>
    </row>
    <row r="922">
      <c r="C922" s="1" t="s">
        <v>919</v>
      </c>
      <c r="D922" s="3" t="str">
        <f>IFERROR(__xludf.DUMMYFUNCTION("GOOGLETRANSLATE(C922,""en"",""pl"")"),"diagnoza")</f>
        <v>diagnoza</v>
      </c>
    </row>
    <row r="923">
      <c r="C923" s="1" t="s">
        <v>920</v>
      </c>
      <c r="D923" s="3" t="str">
        <f>IFERROR(__xludf.DUMMYFUNCTION("GOOGLETRANSLATE(C923,""en"",""pl"")"),"dziewiąty")</f>
        <v>dziewiąty</v>
      </c>
    </row>
    <row r="924">
      <c r="C924" s="1" t="s">
        <v>921</v>
      </c>
      <c r="D924" s="3" t="str">
        <f>IFERROR(__xludf.DUMMYFUNCTION("GOOGLETRANSLATE(C924,""en"",""pl"")"),"lokalizacje")</f>
        <v>lokalizacje</v>
      </c>
    </row>
    <row r="925">
      <c r="C925" s="1" t="s">
        <v>922</v>
      </c>
      <c r="D925" s="3" t="str">
        <f>IFERROR(__xludf.DUMMYFUNCTION("GOOGLETRANSLATE(C925,""en"",""pl"")"),"odzyskać")</f>
        <v>odzyskać</v>
      </c>
    </row>
    <row r="926">
      <c r="C926" s="1" t="s">
        <v>923</v>
      </c>
      <c r="D926" s="3" t="str">
        <f>IFERROR(__xludf.DUMMYFUNCTION("GOOGLETRANSLATE(C926,""en"",""pl"")"),"rabusie")</f>
        <v>rabusie</v>
      </c>
    </row>
    <row r="927">
      <c r="C927" s="1" t="s">
        <v>924</v>
      </c>
      <c r="D927" s="3" t="str">
        <f>IFERROR(__xludf.DUMMYFUNCTION("GOOGLETRANSLATE(C927,""en"",""pl"")"),"Wnioski")</f>
        <v>Wnioski</v>
      </c>
    </row>
    <row r="928">
      <c r="C928" s="1" t="s">
        <v>925</v>
      </c>
      <c r="D928" s="3" t="str">
        <f>IFERROR(__xludf.DUMMYFUNCTION("GOOGLETRANSLATE(C928,""en"",""pl"")"),"Joanna")</f>
        <v>Joanna</v>
      </c>
    </row>
    <row r="929">
      <c r="C929" s="1" t="s">
        <v>926</v>
      </c>
      <c r="D929" s="3" t="str">
        <f>IFERROR(__xludf.DUMMYFUNCTION("GOOGLETRANSLATE(C929,""en"",""pl"")"),"wyłączony")</f>
        <v>wyłączony</v>
      </c>
    </row>
    <row r="930">
      <c r="C930" s="1" t="s">
        <v>927</v>
      </c>
      <c r="D930" s="3" t="str">
        <f>IFERROR(__xludf.DUMMYFUNCTION("GOOGLETRANSLATE(C930,""en"",""pl"")"),"Ira")</f>
        <v>Ira</v>
      </c>
    </row>
    <row r="931">
      <c r="C931" s="1" t="s">
        <v>928</v>
      </c>
      <c r="D931" s="3" t="str">
        <f>IFERROR(__xludf.DUMMYFUNCTION("GOOGLETRANSLATE(C931,""en"",""pl"")"),"rozszerzenie")</f>
        <v>rozszerzenie</v>
      </c>
    </row>
    <row r="932">
      <c r="C932" s="1" t="s">
        <v>929</v>
      </c>
      <c r="D932" s="3" t="str">
        <f>IFERROR(__xludf.DUMMYFUNCTION("GOOGLETRANSLATE(C932,""en"",""pl"")"),"podkład")</f>
        <v>podkład</v>
      </c>
    </row>
    <row r="933">
      <c r="C933" s="1" t="s">
        <v>930</v>
      </c>
      <c r="D933" s="3" t="str">
        <f>IFERROR(__xludf.DUMMYFUNCTION("GOOGLETRANSLATE(C933,""en"",""pl"")"),"Jurij")</f>
        <v>Jurij</v>
      </c>
    </row>
    <row r="934">
      <c r="C934" s="1" t="s">
        <v>931</v>
      </c>
      <c r="D934" s="3" t="str">
        <f>IFERROR(__xludf.DUMMYFUNCTION("GOOGLETRANSLATE(C934,""en"",""pl"")"),"hip-hop")</f>
        <v>hip-hop</v>
      </c>
    </row>
    <row r="935">
      <c r="C935" s="1" t="s">
        <v>932</v>
      </c>
      <c r="D935" s="3" t="str">
        <f>IFERROR(__xludf.DUMMYFUNCTION("GOOGLETRANSLATE(C935,""en"",""pl"")"),"obywatel")</f>
        <v>obywatel</v>
      </c>
    </row>
    <row r="936">
      <c r="C936" s="1" t="s">
        <v>933</v>
      </c>
      <c r="D936" s="3" t="str">
        <f>IFERROR(__xludf.DUMMYFUNCTION("GOOGLETRANSLATE(C936,""en"",""pl"")"),"szufelka")</f>
        <v>szufelka</v>
      </c>
    </row>
    <row r="937">
      <c r="C937" s="1" t="s">
        <v>934</v>
      </c>
      <c r="D937" s="3" t="str">
        <f>IFERROR(__xludf.DUMMYFUNCTION("GOOGLETRANSLATE(C937,""en"",""pl"")"),"merlin")</f>
        <v>merlin</v>
      </c>
    </row>
    <row r="938">
      <c r="C938" s="1" t="s">
        <v>935</v>
      </c>
      <c r="D938" s="3" t="str">
        <f>IFERROR(__xludf.DUMMYFUNCTION("GOOGLETRANSLATE(C938,""en"",""pl"")"),"Brygida")</f>
        <v>Brygida</v>
      </c>
    </row>
    <row r="939">
      <c r="C939" s="1" t="s">
        <v>936</v>
      </c>
      <c r="D939" s="3" t="str">
        <f>IFERROR(__xludf.DUMMYFUNCTION("GOOGLETRANSLATE(C939,""en"",""pl"")"),"przyspieszanie")</f>
        <v>przyspieszanie</v>
      </c>
    </row>
    <row r="940">
      <c r="C940" s="1" t="s">
        <v>937</v>
      </c>
      <c r="D940" s="3" t="str">
        <f>IFERROR(__xludf.DUMMYFUNCTION("GOOGLETRANSLATE(C940,""en"",""pl"")"),"przekształcać")</f>
        <v>przekształcać</v>
      </c>
    </row>
    <row r="941">
      <c r="C941" s="1" t="s">
        <v>938</v>
      </c>
      <c r="D941" s="3" t="str">
        <f>IFERROR(__xludf.DUMMYFUNCTION("GOOGLETRANSLATE(C941,""en"",""pl"")"),"Shelby")</f>
        <v>Shelby</v>
      </c>
    </row>
    <row r="942">
      <c r="C942" s="1" t="s">
        <v>939</v>
      </c>
      <c r="D942" s="3" t="str">
        <f>IFERROR(__xludf.DUMMYFUNCTION("GOOGLETRANSLATE(C942,""en"",""pl"")"),"gościnność")</f>
        <v>gościnność</v>
      </c>
    </row>
    <row r="943">
      <c r="C943" s="1" t="s">
        <v>940</v>
      </c>
      <c r="D943" s="3" t="str">
        <f>IFERROR(__xludf.DUMMYFUNCTION("GOOGLETRANSLATE(C943,""en"",""pl"")"),"strumyki")</f>
        <v>strumyki</v>
      </c>
    </row>
    <row r="944">
      <c r="C944" s="1" t="s">
        <v>941</v>
      </c>
      <c r="D944" s="3" t="str">
        <f>IFERROR(__xludf.DUMMYFUNCTION("GOOGLETRANSLATE(C944,""en"",""pl"")"),"ankieta")</f>
        <v>ankieta</v>
      </c>
    </row>
    <row r="945">
      <c r="C945" s="1" t="s">
        <v>942</v>
      </c>
      <c r="D945" s="3" t="str">
        <f>IFERROR(__xludf.DUMMYFUNCTION("GOOGLETRANSLATE(C945,""en"",""pl"")"),"ścigany")</f>
        <v>ścigany</v>
      </c>
    </row>
    <row r="946">
      <c r="C946" s="1" t="s">
        <v>943</v>
      </c>
      <c r="D946" s="3" t="str">
        <f>IFERROR(__xludf.DUMMYFUNCTION("GOOGLETRANSLATE(C946,""en"",""pl"")"),"przytulny")</f>
        <v>przytulny</v>
      </c>
    </row>
    <row r="947">
      <c r="C947" s="1" t="s">
        <v>944</v>
      </c>
      <c r="D947" s="3" t="str">
        <f>IFERROR(__xludf.DUMMYFUNCTION("GOOGLETRANSLATE(C947,""en"",""pl"")"),"G.")</f>
        <v>G.</v>
      </c>
    </row>
    <row r="948">
      <c r="C948" s="1" t="s">
        <v>945</v>
      </c>
      <c r="D948" s="3" t="str">
        <f>IFERROR(__xludf.DUMMYFUNCTION("GOOGLETRANSLATE(C948,""en"",""pl"")"),"zalecenie")</f>
        <v>zalecenie</v>
      </c>
    </row>
    <row r="949">
      <c r="C949" s="1" t="s">
        <v>946</v>
      </c>
      <c r="D949" s="3" t="str">
        <f>IFERROR(__xludf.DUMMYFUNCTION("GOOGLETRANSLATE(C949,""en"",""pl"")"),"że")</f>
        <v>że</v>
      </c>
    </row>
    <row r="950">
      <c r="C950" s="1" t="s">
        <v>947</v>
      </c>
      <c r="D950" s="3" t="str">
        <f>IFERROR(__xludf.DUMMYFUNCTION("GOOGLETRANSLATE(C950,""en"",""pl"")"),"mikrofon")</f>
        <v>mikrofon</v>
      </c>
    </row>
    <row r="951">
      <c r="C951" s="1" t="s">
        <v>948</v>
      </c>
      <c r="D951" s="3" t="str">
        <f>IFERROR(__xludf.DUMMYFUNCTION("GOOGLETRANSLATE(C951,""en"",""pl"")"),"szkielet")</f>
        <v>szkielet</v>
      </c>
    </row>
    <row r="952">
      <c r="C952" s="1" t="s">
        <v>949</v>
      </c>
      <c r="D952" s="3" t="str">
        <f>IFERROR(__xludf.DUMMYFUNCTION("GOOGLETRANSLATE(C952,""en"",""pl"")"),"Muzułmanie")</f>
        <v>Muzułmanie</v>
      </c>
    </row>
    <row r="953">
      <c r="C953" s="1" t="s">
        <v>950</v>
      </c>
      <c r="D953" s="3" t="str">
        <f>IFERROR(__xludf.DUMMYFUNCTION("GOOGLETRANSLATE(C953,""en"",""pl"")"),"myto")</f>
        <v>myto</v>
      </c>
    </row>
    <row r="954">
      <c r="C954" s="1" t="s">
        <v>951</v>
      </c>
      <c r="D954" s="3" t="str">
        <f>IFERROR(__xludf.DUMMYFUNCTION("GOOGLETRANSLATE(C954,""en"",""pl"")"),"zrewidować")</f>
        <v>zrewidować</v>
      </c>
    </row>
    <row r="955">
      <c r="C955" s="1" t="s">
        <v>952</v>
      </c>
      <c r="D955" s="3" t="str">
        <f>IFERROR(__xludf.DUMMYFUNCTION("GOOGLETRANSLATE(C955,""en"",""pl"")"),"skrzypi")</f>
        <v>skrzypi</v>
      </c>
    </row>
    <row r="956">
      <c r="C956" s="1" t="s">
        <v>953</v>
      </c>
      <c r="D956" s="3" t="str">
        <f>IFERROR(__xludf.DUMMYFUNCTION("GOOGLETRANSLATE(C956,""en"",""pl"")"),"rozszerzony")</f>
        <v>rozszerzony</v>
      </c>
    </row>
    <row r="957">
      <c r="C957" s="1" t="s">
        <v>954</v>
      </c>
      <c r="D957" s="3" t="str">
        <f>IFERROR(__xludf.DUMMYFUNCTION("GOOGLETRANSLATE(C957,""en"",""pl"")"),"włócznia")</f>
        <v>włócznia</v>
      </c>
    </row>
    <row r="958">
      <c r="C958" s="1" t="s">
        <v>955</v>
      </c>
      <c r="D958" s="3" t="str">
        <f>IFERROR(__xludf.DUMMYFUNCTION("GOOGLETRANSLATE(C958,""en"",""pl"")"),"za burtę")</f>
        <v>za burtę</v>
      </c>
    </row>
    <row r="959">
      <c r="C959" s="1" t="s">
        <v>956</v>
      </c>
      <c r="D959" s="3" t="str">
        <f>IFERROR(__xludf.DUMMYFUNCTION("GOOGLETRANSLATE(C959,""en"",""pl"")"),"sztuczna inteligencja")</f>
        <v>sztuczna inteligencja</v>
      </c>
    </row>
    <row r="960">
      <c r="C960" s="1" t="s">
        <v>957</v>
      </c>
      <c r="D960" s="3" t="str">
        <f>IFERROR(__xludf.DUMMYFUNCTION("GOOGLETRANSLATE(C960,""en"",""pl"")"),"Clintonowie")</f>
        <v>Clintonowie</v>
      </c>
    </row>
    <row r="961">
      <c r="C961" s="1" t="s">
        <v>958</v>
      </c>
      <c r="D961" s="3" t="str">
        <f>IFERROR(__xludf.DUMMYFUNCTION("GOOGLETRANSLATE(C961,""en"",""pl"")"),"petycja")</f>
        <v>petycja</v>
      </c>
    </row>
    <row r="962">
      <c r="C962" s="1" t="s">
        <v>959</v>
      </c>
      <c r="D962" s="3" t="str">
        <f>IFERROR(__xludf.DUMMYFUNCTION("GOOGLETRANSLATE(C962,""en"",""pl"")"),"bagaż")</f>
        <v>bagaż</v>
      </c>
    </row>
    <row r="963">
      <c r="C963" s="1" t="s">
        <v>960</v>
      </c>
      <c r="D963" s="3" t="str">
        <f>IFERROR(__xludf.DUMMYFUNCTION("GOOGLETRANSLATE(C963,""en"",""pl"")"),"łajdak")</f>
        <v>łajdak</v>
      </c>
    </row>
    <row r="964">
      <c r="C964" s="1" t="s">
        <v>961</v>
      </c>
      <c r="D964" s="3" t="str">
        <f>IFERROR(__xludf.DUMMYFUNCTION("GOOGLETRANSLATE(C964,""en"",""pl"")"),"hołd")</f>
        <v>hołd</v>
      </c>
    </row>
    <row r="965">
      <c r="C965" s="1" t="s">
        <v>962</v>
      </c>
      <c r="D965" s="3" t="str">
        <f>IFERROR(__xludf.DUMMYFUNCTION("GOOGLETRANSLATE(C965,""en"",""pl"")"),"śluby")</f>
        <v>śluby</v>
      </c>
    </row>
    <row r="966">
      <c r="C966" s="1" t="s">
        <v>963</v>
      </c>
      <c r="D966" s="3" t="str">
        <f>IFERROR(__xludf.DUMMYFUNCTION("GOOGLETRANSLATE(C966,""en"",""pl"")"),"udogodnienia")</f>
        <v>udogodnienia</v>
      </c>
    </row>
    <row r="967">
      <c r="C967" s="1" t="s">
        <v>964</v>
      </c>
      <c r="D967" s="3" t="str">
        <f>IFERROR(__xludf.DUMMYFUNCTION("GOOGLETRANSLATE(C967,""en"",""pl"")"),"grzywka")</f>
        <v>grzywka</v>
      </c>
    </row>
    <row r="968">
      <c r="C968" s="1" t="s">
        <v>965</v>
      </c>
      <c r="D968" s="3" t="str">
        <f>IFERROR(__xludf.DUMMYFUNCTION("GOOGLETRANSLATE(C968,""en"",""pl"")"),"pazur")</f>
        <v>pazur</v>
      </c>
    </row>
    <row r="969">
      <c r="C969" s="1" t="s">
        <v>966</v>
      </c>
      <c r="D969" s="3" t="str">
        <f>IFERROR(__xludf.DUMMYFUNCTION("GOOGLETRANSLATE(C969,""en"",""pl"")"),"darowizna")</f>
        <v>darowizna</v>
      </c>
    </row>
    <row r="970">
      <c r="C970" s="1" t="s">
        <v>967</v>
      </c>
      <c r="D970" s="3" t="str">
        <f>IFERROR(__xludf.DUMMYFUNCTION("GOOGLETRANSLATE(C970,""en"",""pl"")"),"Izabela")</f>
        <v>Izabela</v>
      </c>
    </row>
    <row r="971">
      <c r="C971" s="1" t="s">
        <v>968</v>
      </c>
      <c r="D971" s="3" t="str">
        <f>IFERROR(__xludf.DUMMYFUNCTION("GOOGLETRANSLATE(C971,""en"",""pl"")"),"zdrajcy")</f>
        <v>zdrajcy</v>
      </c>
    </row>
    <row r="972">
      <c r="C972" s="1" t="s">
        <v>969</v>
      </c>
      <c r="D972" s="3" t="str">
        <f>IFERROR(__xludf.DUMMYFUNCTION("GOOGLETRANSLATE(C972,""en"",""pl"")"),"maj")</f>
        <v>maj</v>
      </c>
    </row>
    <row r="973">
      <c r="C973" s="1" t="s">
        <v>970</v>
      </c>
      <c r="D973" s="3" t="str">
        <f>IFERROR(__xludf.DUMMYFUNCTION("GOOGLETRANSLATE(C973,""en"",""pl"")"),"jaspis")</f>
        <v>jaspis</v>
      </c>
    </row>
    <row r="974">
      <c r="C974" s="1" t="s">
        <v>971</v>
      </c>
      <c r="D974" s="3" t="str">
        <f>IFERROR(__xludf.DUMMYFUNCTION("GOOGLETRANSLATE(C974,""en"",""pl"")"),"granice")</f>
        <v>granice</v>
      </c>
    </row>
    <row r="975">
      <c r="C975" s="1" t="s">
        <v>972</v>
      </c>
      <c r="D975" s="3" t="str">
        <f>IFERROR(__xludf.DUMMYFUNCTION("GOOGLETRANSLATE(C975,""en"",""pl"")"),"australijski")</f>
        <v>australijski</v>
      </c>
    </row>
    <row r="976">
      <c r="C976" s="1" t="s">
        <v>973</v>
      </c>
      <c r="D976" s="3" t="str">
        <f>IFERROR(__xludf.DUMMYFUNCTION("GOOGLETRANSLATE(C976,""en"",""pl"")"),"kolby")</f>
        <v>kolby</v>
      </c>
    </row>
    <row r="977">
      <c r="C977" s="1" t="s">
        <v>974</v>
      </c>
      <c r="D977" s="3" t="str">
        <f>IFERROR(__xludf.DUMMYFUNCTION("GOOGLETRANSLATE(C977,""en"",""pl"")"),"bokser")</f>
        <v>bokser</v>
      </c>
    </row>
    <row r="978">
      <c r="C978" s="1" t="s">
        <v>975</v>
      </c>
      <c r="D978" s="3" t="str">
        <f>IFERROR(__xludf.DUMMYFUNCTION("GOOGLETRANSLATE(C978,""en"",""pl"")"),"podczas gdy")</f>
        <v>podczas gdy</v>
      </c>
    </row>
    <row r="979">
      <c r="C979" s="1" t="s">
        <v>976</v>
      </c>
      <c r="D979" s="3" t="str">
        <f>IFERROR(__xludf.DUMMYFUNCTION("GOOGLETRANSLATE(C979,""en"",""pl"")"),"nieszczęście")</f>
        <v>nieszczęście</v>
      </c>
    </row>
    <row r="980">
      <c r="C980" s="1" t="s">
        <v>977</v>
      </c>
      <c r="D980" s="3" t="str">
        <f>IFERROR(__xludf.DUMMYFUNCTION("GOOGLETRANSLATE(C980,""en"",""pl"")"),"wyszukany")</f>
        <v>wyszukany</v>
      </c>
    </row>
    <row r="981">
      <c r="C981" s="1" t="s">
        <v>978</v>
      </c>
      <c r="D981" s="3" t="str">
        <f>IFERROR(__xludf.DUMMYFUNCTION("GOOGLETRANSLATE(C981,""en"",""pl"")"),"osobliwości miasta")</f>
        <v>osobliwości miasta</v>
      </c>
    </row>
    <row r="982">
      <c r="C982" s="1" t="s">
        <v>979</v>
      </c>
      <c r="D982" s="3" t="str">
        <f>IFERROR(__xludf.DUMMYFUNCTION("GOOGLETRANSLATE(C982,""en"",""pl"")"),"maestro")</f>
        <v>maestro</v>
      </c>
    </row>
    <row r="983">
      <c r="C983" s="1" t="s">
        <v>980</v>
      </c>
      <c r="D983" s="3" t="str">
        <f>IFERROR(__xludf.DUMMYFUNCTION("GOOGLETRANSLATE(C983,""en"",""pl"")"),"arkana")</f>
        <v>arkana</v>
      </c>
    </row>
    <row r="984">
      <c r="C984" s="1" t="s">
        <v>981</v>
      </c>
      <c r="D984" s="3" t="str">
        <f>IFERROR(__xludf.DUMMYFUNCTION("GOOGLETRANSLATE(C984,""en"",""pl"")"),"poluzować")</f>
        <v>poluzować</v>
      </c>
    </row>
    <row r="985">
      <c r="C985" s="1" t="s">
        <v>982</v>
      </c>
      <c r="D985" s="3" t="str">
        <f>IFERROR(__xludf.DUMMYFUNCTION("GOOGLETRANSLATE(C985,""en"",""pl"")"),"utalentowany")</f>
        <v>utalentowany</v>
      </c>
    </row>
    <row r="986">
      <c r="C986" s="1" t="s">
        <v>983</v>
      </c>
      <c r="D986" s="3" t="str">
        <f>IFERROR(__xludf.DUMMYFUNCTION("GOOGLETRANSLATE(C986,""en"",""pl"")"),"ja--ja")</f>
        <v>ja--ja</v>
      </c>
    </row>
    <row r="987">
      <c r="C987" s="1" t="s">
        <v>984</v>
      </c>
      <c r="D987" s="3" t="str">
        <f>IFERROR(__xludf.DUMMYFUNCTION("GOOGLETRANSLATE(C987,""en"",""pl"")"),"uwikłanie")</f>
        <v>uwikłanie</v>
      </c>
    </row>
    <row r="988">
      <c r="C988" s="1" t="s">
        <v>985</v>
      </c>
      <c r="D988" s="3" t="str">
        <f>IFERROR(__xludf.DUMMYFUNCTION("GOOGLETRANSLATE(C988,""en"",""pl"")"),"wpływa")</f>
        <v>wpływa</v>
      </c>
    </row>
    <row r="989">
      <c r="C989" s="1" t="s">
        <v>986</v>
      </c>
      <c r="D989" s="3" t="str">
        <f>IFERROR(__xludf.DUMMYFUNCTION("GOOGLETRANSLATE(C989,""en"",""pl"")"),"wezwać")</f>
        <v>wezwać</v>
      </c>
    </row>
    <row r="990">
      <c r="C990" s="1" t="s">
        <v>987</v>
      </c>
      <c r="D990" s="3" t="str">
        <f>IFERROR(__xludf.DUMMYFUNCTION("GOOGLETRANSLATE(C990,""en"",""pl"")"),"Sherman")</f>
        <v>Sherman</v>
      </c>
    </row>
    <row r="991">
      <c r="C991" s="1" t="s">
        <v>988</v>
      </c>
      <c r="D991" s="3" t="str">
        <f>IFERROR(__xludf.DUMMYFUNCTION("GOOGLETRANSLATE(C991,""en"",""pl"")"),"kościółek")</f>
        <v>kościółek</v>
      </c>
    </row>
    <row r="992">
      <c r="C992" s="1" t="s">
        <v>989</v>
      </c>
      <c r="D992" s="3" t="str">
        <f>IFERROR(__xludf.DUMMYFUNCTION("GOOGLETRANSLATE(C992,""en"",""pl"")"),"Teresa")</f>
        <v>Teresa</v>
      </c>
    </row>
    <row r="993">
      <c r="C993" s="1" t="s">
        <v>990</v>
      </c>
      <c r="D993" s="3" t="str">
        <f>IFERROR(__xludf.DUMMYFUNCTION("GOOGLETRANSLATE(C993,""en"",""pl"")"),"samotny")</f>
        <v>samotny</v>
      </c>
    </row>
    <row r="994">
      <c r="C994" s="1" t="s">
        <v>991</v>
      </c>
      <c r="D994" s="3" t="str">
        <f>IFERROR(__xludf.DUMMYFUNCTION("GOOGLETRANSLATE(C994,""en"",""pl"")"),"pustynia")</f>
        <v>pustynia</v>
      </c>
    </row>
    <row r="995">
      <c r="C995" s="1" t="s">
        <v>992</v>
      </c>
      <c r="D995" s="3" t="str">
        <f>IFERROR(__xludf.DUMMYFUNCTION("GOOGLETRANSLATE(C995,""en"",""pl"")"),"Baltimore")</f>
        <v>Baltimore</v>
      </c>
    </row>
    <row r="996">
      <c r="C996" s="1" t="s">
        <v>993</v>
      </c>
      <c r="D996" s="3" t="str">
        <f>IFERROR(__xludf.DUMMYFUNCTION("GOOGLETRANSLATE(C996,""en"",""pl"")"),"olimpijski")</f>
        <v>olimpijski</v>
      </c>
    </row>
    <row r="997">
      <c r="C997" s="1" t="s">
        <v>994</v>
      </c>
      <c r="D997" s="3" t="str">
        <f>IFERROR(__xludf.DUMMYFUNCTION("GOOGLETRANSLATE(C997,""en"",""pl"")"),"anulować")</f>
        <v>anulować</v>
      </c>
    </row>
    <row r="998">
      <c r="C998" s="1" t="s">
        <v>995</v>
      </c>
      <c r="D998" s="3" t="str">
        <f>IFERROR(__xludf.DUMMYFUNCTION("GOOGLETRANSLATE(C998,""en"",""pl"")"),"mechanizm")</f>
        <v>mechanizm</v>
      </c>
    </row>
    <row r="999">
      <c r="C999" s="1" t="s">
        <v>996</v>
      </c>
      <c r="D999" s="3" t="str">
        <f>IFERROR(__xludf.DUMMYFUNCTION("GOOGLETRANSLATE(C999,""en"",""pl"")"),"wietnamski")</f>
        <v>wietnamski</v>
      </c>
    </row>
    <row r="1000">
      <c r="C1000" s="1" t="s">
        <v>997</v>
      </c>
      <c r="D1000" s="3" t="str">
        <f>IFERROR(__xludf.DUMMYFUNCTION("GOOGLETRANSLATE(C1000,""en"",""pl"")"),"znikać")</f>
        <v>znikać</v>
      </c>
    </row>
    <row r="1001">
      <c r="C1001" s="1" t="s">
        <v>998</v>
      </c>
      <c r="D1001" s="3" t="str">
        <f>IFERROR(__xludf.DUMMYFUNCTION("GOOGLETRANSLATE(C1001,""en"",""pl"")"),"kopuła")</f>
        <v>kopuła</v>
      </c>
    </row>
    <row r="1002">
      <c r="C1002" s="1" t="s">
        <v>999</v>
      </c>
      <c r="D1002" s="3" t="str">
        <f>IFERROR(__xludf.DUMMYFUNCTION("GOOGLETRANSLATE(C1002,""en"",""pl"")"),"szczypiący")</f>
        <v>szczypiący</v>
      </c>
    </row>
    <row r="1003">
      <c r="C1003" s="1" t="s">
        <v>1000</v>
      </c>
      <c r="D1003" s="3" t="str">
        <f>IFERROR(__xludf.DUMMYFUNCTION("GOOGLETRANSLATE(C1003,""en"",""pl"")"),"Ronald")</f>
        <v>Ronald</v>
      </c>
    </row>
    <row r="1004">
      <c r="C1004" s="1" t="s">
        <v>1001</v>
      </c>
      <c r="D1004" s="3" t="str">
        <f>IFERROR(__xludf.DUMMYFUNCTION("GOOGLETRANSLATE(C1004,""en"",""pl"")"),"wysłałem SMS-a")</f>
        <v>wysłałem SMS-a</v>
      </c>
    </row>
    <row r="1005">
      <c r="C1005" s="1" t="s">
        <v>1002</v>
      </c>
      <c r="D1005" s="3" t="str">
        <f>IFERROR(__xludf.DUMMYFUNCTION("GOOGLETRANSLATE(C1005,""en"",""pl"")"),"szałwia")</f>
        <v>szałwia</v>
      </c>
    </row>
    <row r="1006">
      <c r="C1006" s="1" t="s">
        <v>1003</v>
      </c>
      <c r="D1006" s="3" t="str">
        <f>IFERROR(__xludf.DUMMYFUNCTION("GOOGLETRANSLATE(C1006,""en"",""pl"")"),"pyszny")</f>
        <v>pyszny</v>
      </c>
    </row>
    <row r="1007">
      <c r="C1007" s="1" t="s">
        <v>1004</v>
      </c>
      <c r="D1007" s="3" t="str">
        <f>IFERROR(__xludf.DUMMYFUNCTION("GOOGLETRANSLATE(C1007,""en"",""pl"")"),"taktyka")</f>
        <v>taktyka</v>
      </c>
    </row>
    <row r="1008">
      <c r="C1008" s="1" t="s">
        <v>1005</v>
      </c>
      <c r="D1008" s="3" t="str">
        <f>IFERROR(__xludf.DUMMYFUNCTION("GOOGLETRANSLATE(C1008,""en"",""pl"")"),"luźny")</f>
        <v>luźny</v>
      </c>
    </row>
    <row r="1009">
      <c r="C1009" s="1" t="s">
        <v>1006</v>
      </c>
      <c r="D1009" s="3" t="str">
        <f>IFERROR(__xludf.DUMMYFUNCTION("GOOGLETRANSLATE(C1009,""en"",""pl"")"),"pękło")</f>
        <v>pękło</v>
      </c>
    </row>
    <row r="1010">
      <c r="C1010" s="1" t="s">
        <v>1007</v>
      </c>
      <c r="D1010" s="3" t="str">
        <f>IFERROR(__xludf.DUMMYFUNCTION("GOOGLETRANSLATE(C1010,""en"",""pl"")"),"tygodnik")</f>
        <v>tygodnik</v>
      </c>
    </row>
    <row r="1011">
      <c r="C1011" s="1" t="s">
        <v>1008</v>
      </c>
      <c r="D1011" s="3" t="str">
        <f>IFERROR(__xludf.DUMMYFUNCTION("GOOGLETRANSLATE(C1011,""en"",""pl"")"),"krzaki")</f>
        <v>krzaki</v>
      </c>
    </row>
    <row r="1012">
      <c r="C1012" s="1" t="s">
        <v>1009</v>
      </c>
      <c r="D1012" s="3" t="str">
        <f>IFERROR(__xludf.DUMMYFUNCTION("GOOGLETRANSLATE(C1012,""en"",""pl"")"),"dziadkowie")</f>
        <v>dziadkowie</v>
      </c>
    </row>
    <row r="1013">
      <c r="C1013" s="1" t="s">
        <v>1010</v>
      </c>
      <c r="D1013" s="3" t="str">
        <f>IFERROR(__xludf.DUMMYFUNCTION("GOOGLETRANSLATE(C1013,""en"",""pl"")"),"tak jak-")</f>
        <v>tak jak-</v>
      </c>
    </row>
    <row r="1014">
      <c r="C1014" s="1" t="s">
        <v>1011</v>
      </c>
      <c r="D1014" s="3" t="str">
        <f>IFERROR(__xludf.DUMMYFUNCTION("GOOGLETRANSLATE(C1014,""en"",""pl"")"),"Henryk")</f>
        <v>Henryk</v>
      </c>
    </row>
    <row r="1015">
      <c r="C1015" s="1" t="s">
        <v>1012</v>
      </c>
      <c r="D1015" s="3" t="str">
        <f>IFERROR(__xludf.DUMMYFUNCTION("GOOGLETRANSLATE(C1015,""en"",""pl"")"),"uzyskać")</f>
        <v>uzyskać</v>
      </c>
    </row>
    <row r="1016">
      <c r="C1016" s="1" t="s">
        <v>1013</v>
      </c>
      <c r="D1016" s="3" t="str">
        <f>IFERROR(__xludf.DUMMYFUNCTION("GOOGLETRANSLATE(C1016,""en"",""pl"")"),"jeleń")</f>
        <v>jeleń</v>
      </c>
    </row>
    <row r="1017">
      <c r="C1017" s="1" t="s">
        <v>1014</v>
      </c>
      <c r="D1017" s="3" t="str">
        <f>IFERROR(__xludf.DUMMYFUNCTION("GOOGLETRANSLATE(C1017,""en"",""pl"")"),"loty")</f>
        <v>loty</v>
      </c>
    </row>
    <row r="1018">
      <c r="C1018" s="1" t="s">
        <v>1015</v>
      </c>
      <c r="D1018" s="3" t="str">
        <f>IFERROR(__xludf.DUMMYFUNCTION("GOOGLETRANSLATE(C1018,""en"",""pl"")"),"przygody")</f>
        <v>przygody</v>
      </c>
    </row>
    <row r="1019">
      <c r="C1019" s="1" t="s">
        <v>1016</v>
      </c>
      <c r="D1019" s="3" t="str">
        <f>IFERROR(__xludf.DUMMYFUNCTION("GOOGLETRANSLATE(C1019,""en"",""pl"")"),"najgorętszy")</f>
        <v>najgorętszy</v>
      </c>
    </row>
    <row r="1020">
      <c r="C1020" s="1" t="s">
        <v>1017</v>
      </c>
      <c r="D1020" s="3" t="str">
        <f>IFERROR(__xludf.DUMMYFUNCTION("GOOGLETRANSLATE(C1020,""en"",""pl"")"),"dorosły")</f>
        <v>dorosły</v>
      </c>
    </row>
    <row r="1021">
      <c r="C1021" s="1" t="s">
        <v>1018</v>
      </c>
      <c r="D1021" s="3" t="str">
        <f>IFERROR(__xludf.DUMMYFUNCTION("GOOGLETRANSLATE(C1021,""en"",""pl"")"),"eden")</f>
        <v>eden</v>
      </c>
    </row>
    <row r="1022">
      <c r="C1022" s="1" t="s">
        <v>1019</v>
      </c>
      <c r="D1022" s="3" t="str">
        <f>IFERROR(__xludf.DUMMYFUNCTION("GOOGLETRANSLATE(C1022,""en"",""pl"")"),"łagodny")</f>
        <v>łagodny</v>
      </c>
    </row>
    <row r="1023">
      <c r="C1023" s="1" t="s">
        <v>1020</v>
      </c>
      <c r="D1023" s="3" t="str">
        <f>IFERROR(__xludf.DUMMYFUNCTION("GOOGLETRANSLATE(C1023,""en"",""pl"")"),"dom")</f>
        <v>dom</v>
      </c>
    </row>
    <row r="1024">
      <c r="C1024" s="1" t="s">
        <v>1021</v>
      </c>
      <c r="D1024" s="3" t="str">
        <f>IFERROR(__xludf.DUMMYFUNCTION("GOOGLETRANSLATE(C1024,""en"",""pl"")"),"czternaście")</f>
        <v>czternaście</v>
      </c>
    </row>
    <row r="1025">
      <c r="C1025" s="1" t="s">
        <v>1022</v>
      </c>
      <c r="D1025" s="3" t="str">
        <f>IFERROR(__xludf.DUMMYFUNCTION("GOOGLETRANSLATE(C1025,""en"",""pl"")"),"przemyt")</f>
        <v>przemyt</v>
      </c>
    </row>
    <row r="1026">
      <c r="C1026" s="1" t="s">
        <v>1023</v>
      </c>
      <c r="D1026" s="3" t="str">
        <f>IFERROR(__xludf.DUMMYFUNCTION("GOOGLETRANSLATE(C1026,""en"",""pl"")"),"mieszanka")</f>
        <v>mieszanka</v>
      </c>
    </row>
    <row r="1027">
      <c r="C1027" s="1" t="s">
        <v>1024</v>
      </c>
      <c r="D1027" s="3" t="str">
        <f>IFERROR(__xludf.DUMMYFUNCTION("GOOGLETRANSLATE(C1027,""en"",""pl"")"),"kanclerz")</f>
        <v>kanclerz</v>
      </c>
    </row>
    <row r="1028">
      <c r="C1028" s="1" t="s">
        <v>1025</v>
      </c>
      <c r="D1028" s="3" t="str">
        <f>IFERROR(__xludf.DUMMYFUNCTION("GOOGLETRANSLATE(C1028,""en"",""pl"")"),"ciasteczka")</f>
        <v>ciasteczka</v>
      </c>
    </row>
    <row r="1029">
      <c r="C1029" s="1" t="s">
        <v>1026</v>
      </c>
      <c r="D1029" s="3" t="str">
        <f>IFERROR(__xludf.DUMMYFUNCTION("GOOGLETRANSLATE(C1029,""en"",""pl"")"),"goryl")</f>
        <v>goryl</v>
      </c>
    </row>
    <row r="1030">
      <c r="C1030" s="1" t="s">
        <v>1027</v>
      </c>
      <c r="D1030" s="3" t="str">
        <f>IFERROR(__xludf.DUMMYFUNCTION("GOOGLETRANSLATE(C1030,""en"",""pl"")"),"dynastia")</f>
        <v>dynastia</v>
      </c>
    </row>
    <row r="1031">
      <c r="C1031" s="1" t="s">
        <v>1028</v>
      </c>
      <c r="D1031" s="3" t="str">
        <f>IFERROR(__xludf.DUMMYFUNCTION("GOOGLETRANSLATE(C1031,""en"",""pl"")"),"nabyty")</f>
        <v>nabyty</v>
      </c>
    </row>
    <row r="1032">
      <c r="C1032" s="1" t="s">
        <v>1029</v>
      </c>
      <c r="D1032" s="3" t="str">
        <f>IFERROR(__xludf.DUMMYFUNCTION("GOOGLETRANSLATE(C1032,""en"",""pl"")"),"biznesy")</f>
        <v>biznesy</v>
      </c>
    </row>
    <row r="1033">
      <c r="C1033" s="1" t="s">
        <v>1030</v>
      </c>
      <c r="D1033" s="3" t="str">
        <f>IFERROR(__xludf.DUMMYFUNCTION("GOOGLETRANSLATE(C1033,""en"",""pl"")"),"niezliczony")</f>
        <v>niezliczony</v>
      </c>
    </row>
    <row r="1034">
      <c r="C1034" s="1" t="s">
        <v>1031</v>
      </c>
      <c r="D1034" s="3" t="str">
        <f>IFERROR(__xludf.DUMMYFUNCTION("GOOGLETRANSLATE(C1034,""en"",""pl"")"),"fryc")</f>
        <v>fryc</v>
      </c>
    </row>
    <row r="1035">
      <c r="C1035" s="1" t="s">
        <v>1032</v>
      </c>
      <c r="D1035" s="3" t="str">
        <f>IFERROR(__xludf.DUMMYFUNCTION("GOOGLETRANSLATE(C1035,""en"",""pl"")"),"Brent")</f>
        <v>Brent</v>
      </c>
    </row>
    <row r="1036">
      <c r="C1036" s="1" t="s">
        <v>1033</v>
      </c>
      <c r="D1036" s="3" t="str">
        <f>IFERROR(__xludf.DUMMYFUNCTION("GOOGLETRANSLATE(C1036,""en"",""pl"")"),"ogrodnik")</f>
        <v>ogrodnik</v>
      </c>
    </row>
    <row r="1037">
      <c r="C1037" s="1" t="s">
        <v>1034</v>
      </c>
      <c r="D1037" s="3" t="str">
        <f>IFERROR(__xludf.DUMMYFUNCTION("GOOGLETRANSLATE(C1037,""en"",""pl"")"),"koszary")</f>
        <v>koszary</v>
      </c>
    </row>
    <row r="1038">
      <c r="C1038" s="1" t="s">
        <v>1035</v>
      </c>
      <c r="D1038" s="3" t="str">
        <f>IFERROR(__xludf.DUMMYFUNCTION("GOOGLETRANSLATE(C1038,""en"",""pl"")"),"flirt")</f>
        <v>flirt</v>
      </c>
    </row>
    <row r="1039">
      <c r="C1039" s="1" t="s">
        <v>1036</v>
      </c>
      <c r="D1039" s="3" t="str">
        <f>IFERROR(__xludf.DUMMYFUNCTION("GOOGLETRANSLATE(C1039,""en"",""pl"")"),"kucharze")</f>
        <v>kucharze</v>
      </c>
    </row>
    <row r="1040">
      <c r="C1040" s="1" t="s">
        <v>1037</v>
      </c>
      <c r="D1040" s="3" t="str">
        <f>IFERROR(__xludf.DUMMYFUNCTION("GOOGLETRANSLATE(C1040,""en"",""pl"")"),"zniekształcony")</f>
        <v>zniekształcony</v>
      </c>
    </row>
    <row r="1041">
      <c r="C1041" s="1" t="s">
        <v>1038</v>
      </c>
      <c r="D1041" s="3" t="str">
        <f>IFERROR(__xludf.DUMMYFUNCTION("GOOGLETRANSLATE(C1041,""en"",""pl"")"),"rzeźbiony")</f>
        <v>rzeźbiony</v>
      </c>
    </row>
    <row r="1042">
      <c r="C1042" s="1" t="s">
        <v>1039</v>
      </c>
      <c r="D1042" s="3" t="str">
        <f>IFERROR(__xludf.DUMMYFUNCTION("GOOGLETRANSLATE(C1042,""en"",""pl"")"),"skoki")</f>
        <v>skoki</v>
      </c>
    </row>
    <row r="1043">
      <c r="C1043" s="1" t="s">
        <v>1040</v>
      </c>
      <c r="D1043" s="3" t="str">
        <f>IFERROR(__xludf.DUMMYFUNCTION("GOOGLETRANSLATE(C1043,""en"",""pl"")"),"superbohater")</f>
        <v>superbohater</v>
      </c>
    </row>
    <row r="1044">
      <c r="C1044" s="1" t="s">
        <v>1041</v>
      </c>
      <c r="D1044" s="3" t="str">
        <f>IFERROR(__xludf.DUMMYFUNCTION("GOOGLETRANSLATE(C1044,""en"",""pl"")"),"lasy")</f>
        <v>lasy</v>
      </c>
    </row>
    <row r="1045">
      <c r="C1045" s="1" t="s">
        <v>1042</v>
      </c>
      <c r="D1045" s="3" t="str">
        <f>IFERROR(__xludf.DUMMYFUNCTION("GOOGLETRANSLATE(C1045,""en"",""pl"")"),"klaskanie")</f>
        <v>klaskanie</v>
      </c>
    </row>
    <row r="1046">
      <c r="C1046" s="1" t="s">
        <v>1043</v>
      </c>
      <c r="D1046" s="3" t="str">
        <f>IFERROR(__xludf.DUMMYFUNCTION("GOOGLETRANSLATE(C1046,""en"",""pl"")"),"psychiatryczny")</f>
        <v>psychiatryczny</v>
      </c>
    </row>
    <row r="1047">
      <c r="C1047" s="1" t="s">
        <v>1044</v>
      </c>
      <c r="D1047" s="3" t="str">
        <f>IFERROR(__xludf.DUMMYFUNCTION("GOOGLETRANSLATE(C1047,""en"",""pl"")"),"wkradł się")</f>
        <v>wkradł się</v>
      </c>
    </row>
    <row r="1048">
      <c r="C1048" s="1" t="s">
        <v>1045</v>
      </c>
      <c r="D1048" s="3" t="str">
        <f>IFERROR(__xludf.DUMMYFUNCTION("GOOGLETRANSLATE(C1048,""en"",""pl"")"),"mniej więcej")</f>
        <v>mniej więcej</v>
      </c>
    </row>
    <row r="1049">
      <c r="C1049" s="1" t="s">
        <v>1046</v>
      </c>
      <c r="D1049" s="3" t="str">
        <f>IFERROR(__xludf.DUMMYFUNCTION("GOOGLETRANSLATE(C1049,""en"",""pl"")"),"krzyczał")</f>
        <v>krzyczał</v>
      </c>
    </row>
    <row r="1050">
      <c r="C1050" s="1" t="s">
        <v>1047</v>
      </c>
      <c r="D1050" s="3" t="str">
        <f>IFERROR(__xludf.DUMMYFUNCTION("GOOGLETRANSLATE(C1050,""en"",""pl"")"),"radża")</f>
        <v>radża</v>
      </c>
    </row>
    <row r="1051">
      <c r="C1051" s="1" t="s">
        <v>1048</v>
      </c>
      <c r="D1051" s="3" t="str">
        <f>IFERROR(__xludf.DUMMYFUNCTION("GOOGLETRANSLATE(C1051,""en"",""pl"")"),"znikać")</f>
        <v>znikać</v>
      </c>
    </row>
    <row r="1052">
      <c r="C1052" s="1" t="s">
        <v>1049</v>
      </c>
      <c r="D1052" s="3" t="str">
        <f>IFERROR(__xludf.DUMMYFUNCTION("GOOGLETRANSLATE(C1052,""en"",""pl"")"),"ustanowienie")</f>
        <v>ustanowienie</v>
      </c>
    </row>
    <row r="1053">
      <c r="C1053" s="1" t="s">
        <v>1050</v>
      </c>
      <c r="D1053" s="3" t="str">
        <f>IFERROR(__xludf.DUMMYFUNCTION("GOOGLETRANSLATE(C1053,""en"",""pl"")"),"wieloryby")</f>
        <v>wieloryby</v>
      </c>
    </row>
    <row r="1054">
      <c r="C1054" s="1" t="s">
        <v>1051</v>
      </c>
      <c r="D1054" s="3" t="str">
        <f>IFERROR(__xludf.DUMMYFUNCTION("GOOGLETRANSLATE(C1054,""en"",""pl"")"),"bryła")</f>
        <v>bryła</v>
      </c>
    </row>
    <row r="1055">
      <c r="C1055" s="1" t="s">
        <v>1052</v>
      </c>
      <c r="D1055" s="3" t="str">
        <f>IFERROR(__xludf.DUMMYFUNCTION("GOOGLETRANSLATE(C1055,""en"",""pl"")"),"karzeł")</f>
        <v>karzeł</v>
      </c>
    </row>
    <row r="1056">
      <c r="C1056" s="1" t="s">
        <v>1053</v>
      </c>
      <c r="D1056" s="3" t="str">
        <f>IFERROR(__xludf.DUMMYFUNCTION("GOOGLETRANSLATE(C1056,""en"",""pl"")"),"środowiskowy")</f>
        <v>środowiskowy</v>
      </c>
    </row>
    <row r="1057">
      <c r="C1057" s="1" t="s">
        <v>1054</v>
      </c>
      <c r="D1057" s="3" t="str">
        <f>IFERROR(__xludf.DUMMYFUNCTION("GOOGLETRANSLATE(C1057,""en"",""pl"")"),"mama")</f>
        <v>mama</v>
      </c>
    </row>
    <row r="1058">
      <c r="C1058" s="1" t="s">
        <v>1055</v>
      </c>
      <c r="D1058" s="3" t="str">
        <f>IFERROR(__xludf.DUMMYFUNCTION("GOOGLETRANSLATE(C1058,""en"",""pl"")"),"pół kwarty")</f>
        <v>pół kwarty</v>
      </c>
    </row>
    <row r="1059">
      <c r="C1059" s="1" t="s">
        <v>1056</v>
      </c>
      <c r="D1059" s="3" t="str">
        <f>IFERROR(__xludf.DUMMYFUNCTION("GOOGLETRANSLATE(C1059,""en"",""pl"")"),"załadunek")</f>
        <v>załadunek</v>
      </c>
    </row>
    <row r="1060">
      <c r="C1060" s="1" t="s">
        <v>1057</v>
      </c>
      <c r="D1060" s="3" t="str">
        <f>IFERROR(__xludf.DUMMYFUNCTION("GOOGLETRANSLATE(C1060,""en"",""pl"")"),"dyplomatyczny")</f>
        <v>dyplomatyczny</v>
      </c>
    </row>
    <row r="1061">
      <c r="C1061" s="1" t="s">
        <v>1058</v>
      </c>
      <c r="D1061" s="3" t="str">
        <f>IFERROR(__xludf.DUMMYFUNCTION("GOOGLETRANSLATE(C1061,""en"",""pl"")"),"wykrzykuje")</f>
        <v>wykrzykuje</v>
      </c>
    </row>
    <row r="1062">
      <c r="C1062" s="1" t="s">
        <v>1059</v>
      </c>
      <c r="D1062" s="3" t="str">
        <f>IFERROR(__xludf.DUMMYFUNCTION("GOOGLETRANSLATE(C1062,""en"",""pl"")"),"kontekst")</f>
        <v>kontekst</v>
      </c>
    </row>
    <row r="1063">
      <c r="C1063" s="1" t="s">
        <v>1060</v>
      </c>
      <c r="D1063" s="3" t="str">
        <f>IFERROR(__xludf.DUMMYFUNCTION("GOOGLETRANSLATE(C1063,""en"",""pl"")"),"zgłosił się na ochotnika")</f>
        <v>zgłosił się na ochotnika</v>
      </c>
    </row>
    <row r="1064">
      <c r="C1064" s="1" t="s">
        <v>1061</v>
      </c>
      <c r="D1064" s="3" t="str">
        <f>IFERROR(__xludf.DUMMYFUNCTION("GOOGLETRANSLATE(C1064,""en"",""pl"")"),"zaryzykował")</f>
        <v>zaryzykował</v>
      </c>
    </row>
    <row r="1065">
      <c r="C1065" s="1" t="s">
        <v>1062</v>
      </c>
      <c r="D1065" s="3" t="str">
        <f>IFERROR(__xludf.DUMMYFUNCTION("GOOGLETRANSLATE(C1065,""en"",""pl"")"),"gangi")</f>
        <v>gangi</v>
      </c>
    </row>
    <row r="1066">
      <c r="C1066" s="1" t="s">
        <v>1063</v>
      </c>
      <c r="D1066" s="3" t="str">
        <f>IFERROR(__xludf.DUMMYFUNCTION("GOOGLETRANSLATE(C1066,""en"",""pl"")"),"zwiększyć")</f>
        <v>zwiększyć</v>
      </c>
    </row>
    <row r="1067">
      <c r="C1067" s="1" t="s">
        <v>1064</v>
      </c>
      <c r="D1067" s="3" t="str">
        <f>IFERROR(__xludf.DUMMYFUNCTION("GOOGLETRANSLATE(C1067,""en"",""pl"")"),"faks")</f>
        <v>faks</v>
      </c>
    </row>
    <row r="1068">
      <c r="C1068" s="1" t="s">
        <v>1065</v>
      </c>
      <c r="D1068" s="3" t="str">
        <f>IFERROR(__xludf.DUMMYFUNCTION("GOOGLETRANSLATE(C1068,""en"",""pl"")"),"Dante")</f>
        <v>Dante</v>
      </c>
    </row>
    <row r="1069">
      <c r="C1069" s="1" t="s">
        <v>1066</v>
      </c>
      <c r="D1069" s="3" t="str">
        <f>IFERROR(__xludf.DUMMYFUNCTION("GOOGLETRANSLATE(C1069,""en"",""pl"")"),"częściowy")</f>
        <v>częściowy</v>
      </c>
    </row>
    <row r="1070">
      <c r="C1070" s="1" t="s">
        <v>1067</v>
      </c>
      <c r="D1070" s="3" t="str">
        <f>IFERROR(__xludf.DUMMYFUNCTION("GOOGLETRANSLATE(C1070,""en"",""pl"")"),"odmawianie")</f>
        <v>odmawianie</v>
      </c>
    </row>
    <row r="1071">
      <c r="C1071" s="1" t="s">
        <v>1068</v>
      </c>
      <c r="D1071" s="3" t="str">
        <f>IFERROR(__xludf.DUMMYFUNCTION("GOOGLETRANSLATE(C1071,""en"",""pl"")"),"spojrzenie")</f>
        <v>spojrzenie</v>
      </c>
    </row>
    <row r="1072">
      <c r="C1072" s="1" t="s">
        <v>1069</v>
      </c>
      <c r="D1072" s="3" t="str">
        <f>IFERROR(__xludf.DUMMYFUNCTION("GOOGLETRANSLATE(C1072,""en"",""pl"")"),"René")</f>
        <v>René</v>
      </c>
    </row>
    <row r="1073">
      <c r="C1073" s="1" t="s">
        <v>1070</v>
      </c>
      <c r="D1073" s="3" t="str">
        <f>IFERROR(__xludf.DUMMYFUNCTION("GOOGLETRANSLATE(C1073,""en"",""pl"")"),"niedogodność")</f>
        <v>niedogodność</v>
      </c>
    </row>
    <row r="1074">
      <c r="C1074" s="1" t="s">
        <v>1071</v>
      </c>
      <c r="D1074" s="3" t="str">
        <f>IFERROR(__xludf.DUMMYFUNCTION("GOOGLETRANSLATE(C1074,""en"",""pl"")"),"terroryzm")</f>
        <v>terroryzm</v>
      </c>
    </row>
    <row r="1075">
      <c r="C1075" s="1" t="s">
        <v>1072</v>
      </c>
      <c r="D1075" s="3" t="str">
        <f>IFERROR(__xludf.DUMMYFUNCTION("GOOGLETRANSLATE(C1075,""en"",""pl"")"),"Jerome")</f>
        <v>Jerome</v>
      </c>
    </row>
    <row r="1076">
      <c r="C1076" s="1" t="s">
        <v>1073</v>
      </c>
      <c r="D1076" s="3" t="str">
        <f>IFERROR(__xludf.DUMMYFUNCTION("GOOGLETRANSLATE(C1076,""en"",""pl"")"),"niewdzięczny")</f>
        <v>niewdzięczny</v>
      </c>
    </row>
    <row r="1077">
      <c r="C1077" s="1" t="s">
        <v>1074</v>
      </c>
      <c r="D1077" s="3" t="str">
        <f>IFERROR(__xludf.DUMMYFUNCTION("GOOGLETRANSLATE(C1077,""en"",""pl"")"),"podarować")</f>
        <v>podarować</v>
      </c>
    </row>
    <row r="1078">
      <c r="C1078" s="1" t="s">
        <v>1075</v>
      </c>
      <c r="D1078" s="3" t="str">
        <f>IFERROR(__xludf.DUMMYFUNCTION("GOOGLETRANSLATE(C1078,""en"",""pl"")"),"łagodzić : uśmierzać")</f>
        <v>łagodzić : uśmierzać</v>
      </c>
    </row>
    <row r="1079">
      <c r="C1079" s="1" t="s">
        <v>1076</v>
      </c>
      <c r="D1079" s="3" t="str">
        <f>IFERROR(__xludf.DUMMYFUNCTION("GOOGLETRANSLATE(C1079,""en"",""pl"")"),"13.")</f>
        <v>13.</v>
      </c>
    </row>
    <row r="1080">
      <c r="C1080" s="1" t="s">
        <v>1077</v>
      </c>
      <c r="D1080" s="3" t="str">
        <f>IFERROR(__xludf.DUMMYFUNCTION("GOOGLETRANSLATE(C1080,""en"",""pl"")"),"wnuki")</f>
        <v>wnuki</v>
      </c>
    </row>
    <row r="1081">
      <c r="C1081" s="1" t="s">
        <v>1078</v>
      </c>
      <c r="D1081" s="3" t="str">
        <f>IFERROR(__xludf.DUMMYFUNCTION("GOOGLETRANSLATE(C1081,""en"",""pl"")"),"szczęście")</f>
        <v>szczęście</v>
      </c>
    </row>
    <row r="1082">
      <c r="C1082" s="1" t="s">
        <v>1079</v>
      </c>
      <c r="D1082" s="3" t="str">
        <f>IFERROR(__xludf.DUMMYFUNCTION("GOOGLETRANSLATE(C1082,""en"",""pl"")"),"Maureen")</f>
        <v>Maureen</v>
      </c>
    </row>
    <row r="1083">
      <c r="C1083" s="1" t="s">
        <v>1080</v>
      </c>
      <c r="D1083" s="3" t="str">
        <f>IFERROR(__xludf.DUMMYFUNCTION("GOOGLETRANSLATE(C1083,""en"",""pl"")"),"reprezentowany")</f>
        <v>reprezentowany</v>
      </c>
    </row>
    <row r="1084">
      <c r="C1084" s="1" t="s">
        <v>1081</v>
      </c>
      <c r="D1084" s="3" t="str">
        <f>IFERROR(__xludf.DUMMYFUNCTION("GOOGLETRANSLATE(C1084,""en"",""pl"")"),"współ")</f>
        <v>współ</v>
      </c>
    </row>
    <row r="1085">
      <c r="C1085" s="1" t="s">
        <v>1082</v>
      </c>
      <c r="D1085" s="3" t="str">
        <f>IFERROR(__xludf.DUMMYFUNCTION("GOOGLETRANSLATE(C1085,""en"",""pl"")"),"neutralny")</f>
        <v>neutralny</v>
      </c>
    </row>
    <row r="1086">
      <c r="C1086" s="1" t="s">
        <v>1083</v>
      </c>
      <c r="D1086" s="3" t="str">
        <f>IFERROR(__xludf.DUMMYFUNCTION("GOOGLETRANSLATE(C1086,""en"",""pl"")"),"Filip")</f>
        <v>Filip</v>
      </c>
    </row>
    <row r="1087">
      <c r="C1087" s="1" t="s">
        <v>1084</v>
      </c>
      <c r="D1087" s="3" t="str">
        <f>IFERROR(__xludf.DUMMYFUNCTION("GOOGLETRANSLATE(C1087,""en"",""pl"")"),"Pracuję")</f>
        <v>Pracuję</v>
      </c>
    </row>
    <row r="1088">
      <c r="C1088" s="1" t="s">
        <v>1085</v>
      </c>
      <c r="D1088" s="3" t="str">
        <f>IFERROR(__xludf.DUMMYFUNCTION("GOOGLETRANSLATE(C1088,""en"",""pl"")"),"sterowniczy")</f>
        <v>sterowniczy</v>
      </c>
    </row>
    <row r="1089">
      <c r="C1089" s="1" t="s">
        <v>1086</v>
      </c>
      <c r="D1089" s="3" t="str">
        <f>IFERROR(__xludf.DUMMYFUNCTION("GOOGLETRANSLATE(C1089,""en"",""pl"")"),"rm")</f>
        <v>rm</v>
      </c>
    </row>
    <row r="1090">
      <c r="C1090" s="1" t="s">
        <v>1087</v>
      </c>
      <c r="D1090" s="3" t="str">
        <f>IFERROR(__xludf.DUMMYFUNCTION("GOOGLETRANSLATE(C1090,""en"",""pl"")"),"prezydencki")</f>
        <v>prezydencki</v>
      </c>
    </row>
    <row r="1091">
      <c r="C1091" s="1" t="s">
        <v>1088</v>
      </c>
      <c r="D1091" s="3" t="str">
        <f>IFERROR(__xludf.DUMMYFUNCTION("GOOGLETRANSLATE(C1091,""en"",""pl"")"),"dzierżawa")</f>
        <v>dzierżawa</v>
      </c>
    </row>
    <row r="1092">
      <c r="C1092" s="1" t="s">
        <v>1089</v>
      </c>
      <c r="D1092" s="3" t="str">
        <f>IFERROR(__xludf.DUMMYFUNCTION("GOOGLETRANSLATE(C1092,""en"",""pl"")"),"wyzwany")</f>
        <v>wyzwany</v>
      </c>
    </row>
    <row r="1093">
      <c r="C1093" s="1" t="s">
        <v>1090</v>
      </c>
      <c r="D1093" s="3" t="str">
        <f>IFERROR(__xludf.DUMMYFUNCTION("GOOGLETRANSLATE(C1093,""en"",""pl"")"),"Julian")</f>
        <v>Julian</v>
      </c>
    </row>
    <row r="1094">
      <c r="C1094" s="1" t="s">
        <v>1091</v>
      </c>
      <c r="D1094" s="3" t="str">
        <f>IFERROR(__xludf.DUMMYFUNCTION("GOOGLETRANSLATE(C1094,""en"",""pl"")"),"karmi")</f>
        <v>karmi</v>
      </c>
    </row>
    <row r="1095">
      <c r="C1095" s="1" t="s">
        <v>1092</v>
      </c>
      <c r="D1095" s="3" t="str">
        <f>IFERROR(__xludf.DUMMYFUNCTION("GOOGLETRANSLATE(C1095,""en"",""pl"")"),"ja")</f>
        <v>ja</v>
      </c>
    </row>
    <row r="1096">
      <c r="C1096" s="1" t="s">
        <v>1093</v>
      </c>
      <c r="D1096" s="3" t="str">
        <f>IFERROR(__xludf.DUMMYFUNCTION("GOOGLETRANSLATE(C1096,""en"",""pl"")"),"wegetariański")</f>
        <v>wegetariański</v>
      </c>
    </row>
    <row r="1097">
      <c r="C1097" s="1" t="s">
        <v>1094</v>
      </c>
      <c r="D1097" s="3" t="str">
        <f>IFERROR(__xludf.DUMMYFUNCTION("GOOGLETRANSLATE(C1097,""en"",""pl"")"),"przekomarzanie się")</f>
        <v>przekomarzanie się</v>
      </c>
    </row>
    <row r="1098">
      <c r="C1098" s="1" t="s">
        <v>1095</v>
      </c>
      <c r="D1098" s="3" t="str">
        <f>IFERROR(__xludf.DUMMYFUNCTION("GOOGLETRANSLATE(C1098,""en"",""pl"")"),"zaskakująco")</f>
        <v>zaskakująco</v>
      </c>
    </row>
    <row r="1099">
      <c r="C1099" s="1" t="s">
        <v>1096</v>
      </c>
      <c r="D1099" s="3" t="str">
        <f>IFERROR(__xludf.DUMMYFUNCTION("GOOGLETRANSLATE(C1099,""en"",""pl"")"),"iran")</f>
        <v>iran</v>
      </c>
    </row>
    <row r="1100">
      <c r="C1100" s="1" t="s">
        <v>1097</v>
      </c>
      <c r="D1100" s="3" t="str">
        <f>IFERROR(__xludf.DUMMYFUNCTION("GOOGLETRANSLATE(C1100,""en"",""pl"")"),"świątynia")</f>
        <v>świątynia</v>
      </c>
    </row>
    <row r="1101">
      <c r="C1101" s="1" t="s">
        <v>1098</v>
      </c>
      <c r="D1101" s="3" t="str">
        <f>IFERROR(__xludf.DUMMYFUNCTION("GOOGLETRANSLATE(C1101,""en"",""pl"")"),"automatycznie")</f>
        <v>automatycznie</v>
      </c>
    </row>
    <row r="1102">
      <c r="C1102" s="1" t="s">
        <v>1099</v>
      </c>
      <c r="D1102" s="3" t="str">
        <f>IFERROR(__xludf.DUMMYFUNCTION("GOOGLETRANSLATE(C1102,""en"",""pl"")"),"regulator czasowy")</f>
        <v>regulator czasowy</v>
      </c>
    </row>
    <row r="1103">
      <c r="C1103" s="1" t="s">
        <v>1100</v>
      </c>
      <c r="D1103" s="3" t="str">
        <f>IFERROR(__xludf.DUMMYFUNCTION("GOOGLETRANSLATE(C1103,""en"",""pl"")"),"benzyna")</f>
        <v>benzyna</v>
      </c>
    </row>
    <row r="1104">
      <c r="C1104" s="1" t="s">
        <v>1101</v>
      </c>
      <c r="D1104" s="3" t="str">
        <f>IFERROR(__xludf.DUMMYFUNCTION("GOOGLETRANSLATE(C1104,""en"",""pl"")"),"Julia")</f>
        <v>Julia</v>
      </c>
    </row>
    <row r="1105">
      <c r="C1105" s="1" t="s">
        <v>1102</v>
      </c>
      <c r="D1105" s="3" t="str">
        <f>IFERROR(__xludf.DUMMYFUNCTION("GOOGLETRANSLATE(C1105,""en"",""pl"")"),"zwiadowcy")</f>
        <v>zwiadowcy</v>
      </c>
    </row>
    <row r="1106">
      <c r="C1106" s="1" t="s">
        <v>1103</v>
      </c>
      <c r="D1106" s="3" t="str">
        <f>IFERROR(__xludf.DUMMYFUNCTION("GOOGLETRANSLATE(C1106,""en"",""pl"")"),"Millie")</f>
        <v>Millie</v>
      </c>
    </row>
    <row r="1107">
      <c r="C1107" s="1" t="s">
        <v>1104</v>
      </c>
      <c r="D1107" s="3" t="str">
        <f>IFERROR(__xludf.DUMMYFUNCTION("GOOGLETRANSLATE(C1107,""en"",""pl"")"),"Google’ować")</f>
        <v>Google’ować</v>
      </c>
    </row>
    <row r="1108">
      <c r="C1108" s="1" t="s">
        <v>1105</v>
      </c>
      <c r="D1108" s="3" t="str">
        <f>IFERROR(__xludf.DUMMYFUNCTION("GOOGLETRANSLATE(C1108,""en"",""pl"")"),"sala sypialna")</f>
        <v>sala sypialna</v>
      </c>
    </row>
    <row r="1109">
      <c r="C1109" s="1" t="s">
        <v>1106</v>
      </c>
      <c r="D1109" s="3" t="str">
        <f>IFERROR(__xludf.DUMMYFUNCTION("GOOGLETRANSLATE(C1109,""en"",""pl"")"),"sportowiec")</f>
        <v>sportowiec</v>
      </c>
    </row>
    <row r="1110">
      <c r="C1110" s="1" t="s">
        <v>1107</v>
      </c>
      <c r="D1110" s="3" t="str">
        <f>IFERROR(__xludf.DUMMYFUNCTION("GOOGLETRANSLATE(C1110,""en"",""pl"")"),"Śiwa")</f>
        <v>Śiwa</v>
      </c>
    </row>
    <row r="1111">
      <c r="C1111" s="1" t="s">
        <v>1108</v>
      </c>
      <c r="D1111" s="3" t="str">
        <f>IFERROR(__xludf.DUMMYFUNCTION("GOOGLETRANSLATE(C1111,""en"",""pl"")"),"bandyta")</f>
        <v>bandyta</v>
      </c>
    </row>
    <row r="1112">
      <c r="C1112" s="1" t="s">
        <v>1109</v>
      </c>
      <c r="D1112" s="3" t="str">
        <f>IFERROR(__xludf.DUMMYFUNCTION("GOOGLETRANSLATE(C1112,""en"",""pl"")"),"klasztor")</f>
        <v>klasztor</v>
      </c>
    </row>
    <row r="1113">
      <c r="C1113" s="1" t="s">
        <v>1110</v>
      </c>
      <c r="D1113" s="3" t="str">
        <f>IFERROR(__xludf.DUMMYFUNCTION("GOOGLETRANSLATE(C1113,""en"",""pl"")"),"balony")</f>
        <v>balony</v>
      </c>
    </row>
    <row r="1114">
      <c r="C1114" s="1" t="s">
        <v>1111</v>
      </c>
      <c r="D1114" s="3" t="str">
        <f>IFERROR(__xludf.DUMMYFUNCTION("GOOGLETRANSLATE(C1114,""en"",""pl"")"),"Crawford-")</f>
        <v>Crawford-</v>
      </c>
    </row>
    <row r="1115">
      <c r="C1115" s="1" t="s">
        <v>1112</v>
      </c>
      <c r="D1115" s="3" t="str">
        <f>IFERROR(__xludf.DUMMYFUNCTION("GOOGLETRANSLATE(C1115,""en"",""pl"")"),"kolec")</f>
        <v>kolec</v>
      </c>
    </row>
    <row r="1116">
      <c r="C1116" s="1" t="s">
        <v>1113</v>
      </c>
      <c r="D1116" s="3" t="str">
        <f>IFERROR(__xludf.DUMMYFUNCTION("GOOGLETRANSLATE(C1116,""en"",""pl"")"),"wchodzi")</f>
        <v>wchodzi</v>
      </c>
    </row>
    <row r="1117">
      <c r="C1117" s="1" t="s">
        <v>1114</v>
      </c>
      <c r="D1117" s="3" t="str">
        <f>IFERROR(__xludf.DUMMYFUNCTION("GOOGLETRANSLATE(C1117,""en"",""pl"")"),"mapy")</f>
        <v>mapy</v>
      </c>
    </row>
    <row r="1118">
      <c r="C1118" s="1" t="s">
        <v>1115</v>
      </c>
      <c r="D1118" s="3" t="str">
        <f>IFERROR(__xludf.DUMMYFUNCTION("GOOGLETRANSLATE(C1118,""en"",""pl"")"),"metamfetamina")</f>
        <v>metamfetamina</v>
      </c>
    </row>
    <row r="1119">
      <c r="C1119" s="1" t="s">
        <v>1116</v>
      </c>
      <c r="D1119" s="3" t="str">
        <f>IFERROR(__xludf.DUMMYFUNCTION("GOOGLETRANSLATE(C1119,""en"",""pl"")"),"jeśli ty")</f>
        <v>jeśli ty</v>
      </c>
    </row>
    <row r="1120">
      <c r="C1120" s="1" t="s">
        <v>1117</v>
      </c>
      <c r="D1120" s="3" t="str">
        <f>IFERROR(__xludf.DUMMYFUNCTION("GOOGLETRANSLATE(C1120,""en"",""pl"")"),"owoce")</f>
        <v>owoce</v>
      </c>
    </row>
    <row r="1121">
      <c r="C1121" s="1" t="s">
        <v>1118</v>
      </c>
      <c r="D1121" s="3" t="str">
        <f>IFERROR(__xludf.DUMMYFUNCTION("GOOGLETRANSLATE(C1121,""en"",""pl"")"),"kolorowy")</f>
        <v>kolorowy</v>
      </c>
    </row>
    <row r="1122">
      <c r="C1122" s="1" t="s">
        <v>1119</v>
      </c>
      <c r="D1122" s="3" t="str">
        <f>IFERROR(__xludf.DUMMYFUNCTION("GOOGLETRANSLATE(C1122,""en"",""pl"")"),"mak roślina")</f>
        <v>mak roślina</v>
      </c>
    </row>
    <row r="1123">
      <c r="C1123" s="1" t="s">
        <v>1120</v>
      </c>
      <c r="D1123" s="3" t="str">
        <f>IFERROR(__xludf.DUMMYFUNCTION("GOOGLETRANSLATE(C1123,""en"",""pl"")"),"metro")</f>
        <v>metro</v>
      </c>
    </row>
    <row r="1124">
      <c r="C1124" s="1" t="s">
        <v>1121</v>
      </c>
      <c r="D1124" s="3" t="str">
        <f>IFERROR(__xludf.DUMMYFUNCTION("GOOGLETRANSLATE(C1124,""en"",""pl"")"),"clark")</f>
        <v>clark</v>
      </c>
    </row>
    <row r="1125">
      <c r="C1125" s="1" t="s">
        <v>1122</v>
      </c>
      <c r="D1125" s="3" t="str">
        <f>IFERROR(__xludf.DUMMYFUNCTION("GOOGLETRANSLATE(C1125,""en"",""pl"")"),"Fernando")</f>
        <v>Fernando</v>
      </c>
    </row>
    <row r="1126">
      <c r="C1126" s="1" t="s">
        <v>1123</v>
      </c>
      <c r="D1126" s="3" t="str">
        <f>IFERROR(__xludf.DUMMYFUNCTION("GOOGLETRANSLATE(C1126,""en"",""pl"")"),"scully")</f>
        <v>scully</v>
      </c>
    </row>
    <row r="1127">
      <c r="C1127" s="1" t="s">
        <v>1124</v>
      </c>
      <c r="D1127" s="3" t="str">
        <f>IFERROR(__xludf.DUMMYFUNCTION("GOOGLETRANSLATE(C1127,""en"",""pl"")"),"rozwiązany")</f>
        <v>rozwiązany</v>
      </c>
    </row>
    <row r="1128">
      <c r="C1128" s="1" t="s">
        <v>1125</v>
      </c>
      <c r="D1128" s="3" t="str">
        <f>IFERROR(__xludf.DUMMYFUNCTION("GOOGLETRANSLATE(C1128,""en"",""pl"")"),"sesje")</f>
        <v>sesje</v>
      </c>
    </row>
    <row r="1129">
      <c r="C1129" s="1" t="s">
        <v>1126</v>
      </c>
      <c r="D1129" s="3" t="str">
        <f>IFERROR(__xludf.DUMMYFUNCTION("GOOGLETRANSLATE(C1129,""en"",""pl"")"),"konserwatywny")</f>
        <v>konserwatywny</v>
      </c>
    </row>
    <row r="1130">
      <c r="C1130" s="1" t="s">
        <v>1127</v>
      </c>
      <c r="D1130" s="3" t="str">
        <f>IFERROR(__xludf.DUMMYFUNCTION("GOOGLETRANSLATE(C1130,""en"",""pl"")"),"stawki")</f>
        <v>stawki</v>
      </c>
    </row>
    <row r="1131">
      <c r="C1131" s="1" t="s">
        <v>1128</v>
      </c>
      <c r="D1131" s="3" t="str">
        <f>IFERROR(__xludf.DUMMYFUNCTION("GOOGLETRANSLATE(C1131,""en"",""pl"")"),"podrobiony")</f>
        <v>podrobiony</v>
      </c>
    </row>
    <row r="1132">
      <c r="C1132" s="1" t="s">
        <v>1129</v>
      </c>
      <c r="D1132" s="3" t="str">
        <f>IFERROR(__xludf.DUMMYFUNCTION("GOOGLETRANSLATE(C1132,""en"",""pl"")"),"legendy")</f>
        <v>legendy</v>
      </c>
    </row>
    <row r="1133">
      <c r="C1133" s="1" t="s">
        <v>1130</v>
      </c>
      <c r="D1133" s="3" t="str">
        <f>IFERROR(__xludf.DUMMYFUNCTION("GOOGLETRANSLATE(C1133,""en"",""pl"")"),"strzałki")</f>
        <v>strzałki</v>
      </c>
    </row>
    <row r="1134">
      <c r="C1134" s="1" t="s">
        <v>1131</v>
      </c>
      <c r="D1134" s="3" t="str">
        <f>IFERROR(__xludf.DUMMYFUNCTION("GOOGLETRANSLATE(C1134,""en"",""pl"")"),"Charley")</f>
        <v>Charley</v>
      </c>
    </row>
    <row r="1135">
      <c r="C1135" s="1" t="s">
        <v>1132</v>
      </c>
      <c r="D1135" s="3" t="str">
        <f>IFERROR(__xludf.DUMMYFUNCTION("GOOGLETRANSLATE(C1135,""en"",""pl"")"),"odrzucać")</f>
        <v>odrzucać</v>
      </c>
    </row>
    <row r="1136">
      <c r="C1136" s="1" t="s">
        <v>1133</v>
      </c>
      <c r="D1136" s="3" t="str">
        <f>IFERROR(__xludf.DUMMYFUNCTION("GOOGLETRANSLATE(C1136,""en"",""pl"")"),"upoważniony")</f>
        <v>upoważniony</v>
      </c>
    </row>
    <row r="1137">
      <c r="C1137" s="1" t="s">
        <v>1134</v>
      </c>
      <c r="D1137" s="3" t="str">
        <f>IFERROR(__xludf.DUMMYFUNCTION("GOOGLETRANSLATE(C1137,""en"",""pl"")"),"niewolnictwo")</f>
        <v>niewolnictwo</v>
      </c>
    </row>
    <row r="1138">
      <c r="C1138" s="1" t="s">
        <v>1135</v>
      </c>
      <c r="D1138" s="3" t="str">
        <f>IFERROR(__xludf.DUMMYFUNCTION("GOOGLETRANSLATE(C1138,""en"",""pl"")"),"uczęszczany")</f>
        <v>uczęszczany</v>
      </c>
    </row>
    <row r="1139">
      <c r="C1139" s="1" t="s">
        <v>1136</v>
      </c>
      <c r="D1139" s="3" t="str">
        <f>IFERROR(__xludf.DUMMYFUNCTION("GOOGLETRANSLATE(C1139,""en"",""pl"")"),"przepływa")</f>
        <v>przepływa</v>
      </c>
    </row>
    <row r="1140">
      <c r="C1140" s="1" t="s">
        <v>1137</v>
      </c>
      <c r="D1140" s="3" t="str">
        <f>IFERROR(__xludf.DUMMYFUNCTION("GOOGLETRANSLATE(C1140,""en"",""pl"")"),"zatrudniony")</f>
        <v>zatrudniony</v>
      </c>
    </row>
    <row r="1141">
      <c r="C1141" s="1" t="s">
        <v>1138</v>
      </c>
      <c r="D1141" s="3" t="str">
        <f>IFERROR(__xludf.DUMMYFUNCTION("GOOGLETRANSLATE(C1141,""en"",""pl"")"),"ozdobiony")</f>
        <v>ozdobiony</v>
      </c>
    </row>
    <row r="1142">
      <c r="C1142" s="1" t="s">
        <v>1139</v>
      </c>
      <c r="D1142" s="3" t="str">
        <f>IFERROR(__xludf.DUMMYFUNCTION("GOOGLETRANSLATE(C1142,""en"",""pl"")"),"równoległy")</f>
        <v>równoległy</v>
      </c>
    </row>
    <row r="1143">
      <c r="C1143" s="1" t="s">
        <v>1140</v>
      </c>
      <c r="D1143" s="3" t="str">
        <f>IFERROR(__xludf.DUMMYFUNCTION("GOOGLETRANSLATE(C1143,""en"",""pl"")"),"wykryto")</f>
        <v>wykryto</v>
      </c>
    </row>
    <row r="1144">
      <c r="C1144" s="1" t="s">
        <v>1141</v>
      </c>
      <c r="D1144" s="3" t="str">
        <f>IFERROR(__xludf.DUMMYFUNCTION("GOOGLETRANSLATE(C1144,""en"",""pl"")"),"gaj")</f>
        <v>gaj</v>
      </c>
    </row>
    <row r="1145">
      <c r="C1145" s="1" t="s">
        <v>1142</v>
      </c>
      <c r="D1145" s="3" t="str">
        <f>IFERROR(__xludf.DUMMYFUNCTION("GOOGLETRANSLATE(C1145,""en"",""pl"")"),"zasięg")</f>
        <v>zasięg</v>
      </c>
    </row>
    <row r="1146">
      <c r="C1146" s="1" t="s">
        <v>1143</v>
      </c>
      <c r="D1146" s="3" t="str">
        <f>IFERROR(__xludf.DUMMYFUNCTION("GOOGLETRANSLATE(C1146,""en"",""pl"")"),"kura")</f>
        <v>kura</v>
      </c>
    </row>
    <row r="1147">
      <c r="C1147" s="1" t="s">
        <v>1144</v>
      </c>
      <c r="D1147" s="3" t="str">
        <f>IFERROR(__xludf.DUMMYFUNCTION("GOOGLETRANSLATE(C1147,""en"",""pl"")"),"piramida")</f>
        <v>piramida</v>
      </c>
    </row>
    <row r="1148">
      <c r="C1148" s="1" t="s">
        <v>1145</v>
      </c>
      <c r="D1148" s="3" t="str">
        <f>IFERROR(__xludf.DUMMYFUNCTION("GOOGLETRANSLATE(C1148,""en"",""pl"")"),"Ogólnie")</f>
        <v>Ogólnie</v>
      </c>
    </row>
    <row r="1149">
      <c r="C1149" s="1" t="s">
        <v>1146</v>
      </c>
      <c r="D1149" s="3" t="str">
        <f>IFERROR(__xludf.DUMMYFUNCTION("GOOGLETRANSLATE(C1149,""en"",""pl"")"),"szum")</f>
        <v>szum</v>
      </c>
    </row>
    <row r="1150">
      <c r="C1150" s="1" t="s">
        <v>1147</v>
      </c>
      <c r="D1150" s="3" t="str">
        <f>IFERROR(__xludf.DUMMYFUNCTION("GOOGLETRANSLATE(C1150,""en"",""pl"")"),"specjalnie")</f>
        <v>specjalnie</v>
      </c>
    </row>
    <row r="1151">
      <c r="C1151" s="1" t="s">
        <v>1148</v>
      </c>
      <c r="D1151" s="3" t="str">
        <f>IFERROR(__xludf.DUMMYFUNCTION("GOOGLETRANSLATE(C1151,""en"",""pl"")"),"odbudować")</f>
        <v>odbudować</v>
      </c>
    </row>
    <row r="1152">
      <c r="C1152" s="1" t="s">
        <v>1149</v>
      </c>
      <c r="D1152" s="3" t="str">
        <f>IFERROR(__xludf.DUMMYFUNCTION("GOOGLETRANSLATE(C1152,""en"",""pl"")"),"wykrzykując")</f>
        <v>wykrzykując</v>
      </c>
    </row>
    <row r="1153">
      <c r="C1153" s="1" t="s">
        <v>1150</v>
      </c>
      <c r="D1153" s="3" t="str">
        <f>IFERROR(__xludf.DUMMYFUNCTION("GOOGLETRANSLATE(C1153,""en"",""pl"")"),"produkować")</f>
        <v>produkować</v>
      </c>
    </row>
    <row r="1154">
      <c r="C1154" s="1" t="s">
        <v>1151</v>
      </c>
      <c r="D1154" s="3" t="str">
        <f>IFERROR(__xludf.DUMMYFUNCTION("GOOGLETRANSLATE(C1154,""en"",""pl"")"),"szycie")</f>
        <v>szycie</v>
      </c>
    </row>
    <row r="1155">
      <c r="C1155" s="1" t="s">
        <v>1152</v>
      </c>
      <c r="D1155" s="3" t="str">
        <f>IFERROR(__xludf.DUMMYFUNCTION("GOOGLETRANSLATE(C1155,""en"",""pl"")"),"okazje")</f>
        <v>okazje</v>
      </c>
    </row>
    <row r="1156">
      <c r="C1156" s="1" t="s">
        <v>1153</v>
      </c>
      <c r="D1156" s="3" t="str">
        <f>IFERROR(__xludf.DUMMYFUNCTION("GOOGLETRANSLATE(C1156,""en"",""pl"")"),"deski")</f>
        <v>deski</v>
      </c>
    </row>
    <row r="1157">
      <c r="C1157" s="1" t="s">
        <v>1154</v>
      </c>
      <c r="D1157" s="3" t="str">
        <f>IFERROR(__xludf.DUMMYFUNCTION("GOOGLETRANSLATE(C1157,""en"",""pl"")"),"trąbka")</f>
        <v>trąbka</v>
      </c>
    </row>
    <row r="1158">
      <c r="C1158" s="1" t="s">
        <v>1155</v>
      </c>
      <c r="D1158" s="3" t="str">
        <f>IFERROR(__xludf.DUMMYFUNCTION("GOOGLETRANSLATE(C1158,""en"",""pl"")"),"Tak.")</f>
        <v>Tak.</v>
      </c>
    </row>
    <row r="1159">
      <c r="C1159" s="1" t="s">
        <v>1156</v>
      </c>
      <c r="D1159" s="3" t="str">
        <f>IFERROR(__xludf.DUMMYFUNCTION("GOOGLETRANSLATE(C1159,""en"",""pl"")"),"ukształtowany")</f>
        <v>ukształtowany</v>
      </c>
    </row>
    <row r="1160">
      <c r="C1160" s="1" t="s">
        <v>1157</v>
      </c>
      <c r="D1160" s="3" t="str">
        <f>IFERROR(__xludf.DUMMYFUNCTION("GOOGLETRANSLATE(C1160,""en"",""pl"")"),"dopasowane")</f>
        <v>dopasowane</v>
      </c>
    </row>
    <row r="1161">
      <c r="C1161" s="1" t="s">
        <v>1158</v>
      </c>
      <c r="D1161" s="3" t="str">
        <f>IFERROR(__xludf.DUMMYFUNCTION("GOOGLETRANSLATE(C1161,""en"",""pl"")"),"synowa")</f>
        <v>synowa</v>
      </c>
    </row>
    <row r="1162">
      <c r="C1162" s="1" t="s">
        <v>1159</v>
      </c>
      <c r="D1162" s="3" t="str">
        <f>IFERROR(__xludf.DUMMYFUNCTION("GOOGLETRANSLATE(C1162,""en"",""pl"")"),"amunicja")</f>
        <v>amunicja</v>
      </c>
    </row>
    <row r="1163">
      <c r="C1163" s="1" t="s">
        <v>1160</v>
      </c>
      <c r="D1163" s="3" t="str">
        <f>IFERROR(__xludf.DUMMYFUNCTION("GOOGLETRANSLATE(C1163,""en"",""pl"")"),"pisanie na maszynie")</f>
        <v>pisanie na maszynie</v>
      </c>
    </row>
    <row r="1164">
      <c r="C1164" s="1" t="s">
        <v>1161</v>
      </c>
      <c r="D1164" s="3" t="str">
        <f>IFERROR(__xludf.DUMMYFUNCTION("GOOGLETRANSLATE(C1164,""en"",""pl"")"),"MacGyver")</f>
        <v>MacGyver</v>
      </c>
    </row>
    <row r="1165">
      <c r="C1165" s="1" t="s">
        <v>1162</v>
      </c>
      <c r="D1165" s="3" t="str">
        <f>IFERROR(__xludf.DUMMYFUNCTION("GOOGLETRANSLATE(C1165,""en"",""pl"")"),"ostrza")</f>
        <v>ostrza</v>
      </c>
    </row>
    <row r="1166">
      <c r="C1166" s="1" t="s">
        <v>1163</v>
      </c>
      <c r="D1166" s="3" t="str">
        <f>IFERROR(__xludf.DUMMYFUNCTION("GOOGLETRANSLATE(C1166,""en"",""pl"")"),"Tajlandia")</f>
        <v>Tajlandia</v>
      </c>
    </row>
    <row r="1167">
      <c r="C1167" s="1" t="s">
        <v>1164</v>
      </c>
      <c r="D1167" s="3" t="str">
        <f>IFERROR(__xludf.DUMMYFUNCTION("GOOGLETRANSLATE(C1167,""en"",""pl"")"),"Beka")</f>
        <v>Beka</v>
      </c>
    </row>
    <row r="1168">
      <c r="C1168" s="1" t="s">
        <v>1165</v>
      </c>
      <c r="D1168" s="3" t="str">
        <f>IFERROR(__xludf.DUMMYFUNCTION("GOOGLETRANSLATE(C1168,""en"",""pl"")"),"co?")</f>
        <v>co?</v>
      </c>
    </row>
    <row r="1169">
      <c r="C1169" s="1" t="s">
        <v>1166</v>
      </c>
      <c r="D1169" s="3" t="str">
        <f>IFERROR(__xludf.DUMMYFUNCTION("GOOGLETRANSLATE(C1169,""en"",""pl"")"),"gruz")</f>
        <v>gruz</v>
      </c>
    </row>
    <row r="1170">
      <c r="C1170" s="1" t="s">
        <v>1167</v>
      </c>
      <c r="D1170" s="3" t="str">
        <f>IFERROR(__xludf.DUMMYFUNCTION("GOOGLETRANSLATE(C1170,""en"",""pl"")"),"Luca")</f>
        <v>Luca</v>
      </c>
    </row>
    <row r="1171">
      <c r="C1171" s="1" t="s">
        <v>1168</v>
      </c>
      <c r="D1171" s="3" t="str">
        <f>IFERROR(__xludf.DUMMYFUNCTION("GOOGLETRANSLATE(C1171,""en"",""pl"")"),"cement")</f>
        <v>cement</v>
      </c>
    </row>
    <row r="1172">
      <c r="C1172" s="1" t="s">
        <v>1169</v>
      </c>
      <c r="D1172" s="3" t="str">
        <f>IFERROR(__xludf.DUMMYFUNCTION("GOOGLETRANSLATE(C1172,""en"",""pl"")"),"mała wioska")</f>
        <v>mała wioska</v>
      </c>
    </row>
    <row r="1173">
      <c r="C1173" s="1" t="s">
        <v>1170</v>
      </c>
      <c r="D1173" s="3" t="str">
        <f>IFERROR(__xludf.DUMMYFUNCTION("GOOGLETRANSLATE(C1173,""en"",""pl"")"),"nat")</f>
        <v>nat</v>
      </c>
    </row>
    <row r="1174">
      <c r="C1174" s="1" t="s">
        <v>1171</v>
      </c>
      <c r="D1174" s="3" t="str">
        <f>IFERROR(__xludf.DUMMYFUNCTION("GOOGLETRANSLATE(C1174,""en"",""pl"")"),"komuniści")</f>
        <v>komuniści</v>
      </c>
    </row>
    <row r="1175">
      <c r="C1175" s="1" t="s">
        <v>1172</v>
      </c>
      <c r="D1175" s="3" t="str">
        <f>IFERROR(__xludf.DUMMYFUNCTION("GOOGLETRANSLATE(C1175,""en"",""pl"")"),"prysznice")</f>
        <v>prysznice</v>
      </c>
    </row>
    <row r="1176">
      <c r="C1176" s="1" t="s">
        <v>1173</v>
      </c>
      <c r="D1176" s="3" t="str">
        <f>IFERROR(__xludf.DUMMYFUNCTION("GOOGLETRANSLATE(C1176,""en"",""pl"")"),"twardszy")</f>
        <v>twardszy</v>
      </c>
    </row>
    <row r="1177">
      <c r="C1177" s="1" t="s">
        <v>1174</v>
      </c>
      <c r="D1177" s="3" t="str">
        <f>IFERROR(__xludf.DUMMYFUNCTION("GOOGLETRANSLATE(C1177,""en"",""pl"")"),"żeglarze")</f>
        <v>żeglarze</v>
      </c>
    </row>
    <row r="1178">
      <c r="C1178" s="1" t="s">
        <v>1175</v>
      </c>
      <c r="D1178" s="3" t="str">
        <f>IFERROR(__xludf.DUMMYFUNCTION("GOOGLETRANSLATE(C1178,""en"",""pl"")"),"kotek")</f>
        <v>kotek</v>
      </c>
    </row>
    <row r="1179">
      <c r="C1179" s="1" t="s">
        <v>1176</v>
      </c>
      <c r="D1179" s="3" t="str">
        <f>IFERROR(__xludf.DUMMYFUNCTION("GOOGLETRANSLATE(C1179,""en"",""pl"")"),"komik")</f>
        <v>komik</v>
      </c>
    </row>
    <row r="1180">
      <c r="C1180" s="1" t="s">
        <v>1177</v>
      </c>
      <c r="D1180" s="3" t="str">
        <f>IFERROR(__xludf.DUMMYFUNCTION("GOOGLETRANSLATE(C1180,""en"",""pl"")"),"molestowanie")</f>
        <v>molestowanie</v>
      </c>
    </row>
    <row r="1181">
      <c r="C1181" s="1" t="s">
        <v>1178</v>
      </c>
      <c r="D1181" s="3" t="str">
        <f>IFERROR(__xludf.DUMMYFUNCTION("GOOGLETRANSLATE(C1181,""en"",""pl"")"),"żona")</f>
        <v>żona</v>
      </c>
    </row>
    <row r="1182">
      <c r="C1182" s="1" t="s">
        <v>1179</v>
      </c>
      <c r="D1182" s="3" t="str">
        <f>IFERROR(__xludf.DUMMYFUNCTION("GOOGLETRANSLATE(C1182,""en"",""pl"")"),"monitorowanie")</f>
        <v>monitorowanie</v>
      </c>
    </row>
    <row r="1183">
      <c r="C1183" s="1" t="s">
        <v>1180</v>
      </c>
      <c r="D1183" s="3" t="str">
        <f>IFERROR(__xludf.DUMMYFUNCTION("GOOGLETRANSLATE(C1183,""en"",""pl"")"),"druzgocący")</f>
        <v>druzgocący</v>
      </c>
    </row>
    <row r="1184">
      <c r="C1184" s="1" t="s">
        <v>1181</v>
      </c>
      <c r="D1184" s="3" t="str">
        <f>IFERROR(__xludf.DUMMYFUNCTION("GOOGLETRANSLATE(C1184,""en"",""pl"")"),"ogolony")</f>
        <v>ogolony</v>
      </c>
    </row>
    <row r="1185">
      <c r="C1185" s="1" t="s">
        <v>1182</v>
      </c>
      <c r="D1185" s="3" t="str">
        <f>IFERROR(__xludf.DUMMYFUNCTION("GOOGLETRANSLATE(C1185,""en"",""pl"")"),"spis")</f>
        <v>spis</v>
      </c>
    </row>
    <row r="1186">
      <c r="C1186" s="1" t="s">
        <v>1183</v>
      </c>
      <c r="D1186" s="3" t="str">
        <f>IFERROR(__xludf.DUMMYFUNCTION("GOOGLETRANSLATE(C1186,""en"",""pl"")"),"gospodyni domowa")</f>
        <v>gospodyni domowa</v>
      </c>
    </row>
    <row r="1187">
      <c r="C1187" s="1" t="s">
        <v>1184</v>
      </c>
      <c r="D1187" s="3" t="str">
        <f>IFERROR(__xludf.DUMMYFUNCTION("GOOGLETRANSLATE(C1187,""en"",""pl"")"),"plemiona")</f>
        <v>plemiona</v>
      </c>
    </row>
    <row r="1188">
      <c r="C1188" s="1" t="s">
        <v>1185</v>
      </c>
      <c r="D1188" s="3" t="str">
        <f>IFERROR(__xludf.DUMMYFUNCTION("GOOGLETRANSLATE(C1188,""en"",""pl"")"),"długofalowy")</f>
        <v>długofalowy</v>
      </c>
    </row>
    <row r="1189">
      <c r="C1189" s="1" t="s">
        <v>1186</v>
      </c>
      <c r="D1189" s="3" t="str">
        <f>IFERROR(__xludf.DUMMYFUNCTION("GOOGLETRANSLATE(C1189,""en"",""pl"")"),"podły")</f>
        <v>podły</v>
      </c>
    </row>
    <row r="1190">
      <c r="C1190" s="1" t="s">
        <v>1187</v>
      </c>
      <c r="D1190" s="3" t="str">
        <f>IFERROR(__xludf.DUMMYFUNCTION("GOOGLETRANSLATE(C1190,""en"",""pl"")"),"Gotham")</f>
        <v>Gotham</v>
      </c>
    </row>
    <row r="1191">
      <c r="C1191" s="1" t="s">
        <v>1188</v>
      </c>
      <c r="D1191" s="3" t="str">
        <f>IFERROR(__xludf.DUMMYFUNCTION("GOOGLETRANSLATE(C1191,""en"",""pl"")"),"wyimaginowany")</f>
        <v>wyimaginowany</v>
      </c>
    </row>
    <row r="1192">
      <c r="C1192" s="1" t="s">
        <v>1189</v>
      </c>
      <c r="D1192" s="3" t="str">
        <f>IFERROR(__xludf.DUMMYFUNCTION("GOOGLETRANSLATE(C1192,""en"",""pl"")"),"artyleria")</f>
        <v>artyleria</v>
      </c>
    </row>
    <row r="1193">
      <c r="C1193" s="1" t="s">
        <v>1190</v>
      </c>
      <c r="D1193" s="3" t="str">
        <f>IFERROR(__xludf.DUMMYFUNCTION("GOOGLETRANSLATE(C1193,""en"",""pl"")"),"świst")</f>
        <v>świst</v>
      </c>
    </row>
    <row r="1194">
      <c r="C1194" s="1" t="s">
        <v>1191</v>
      </c>
      <c r="D1194" s="3" t="str">
        <f>IFERROR(__xludf.DUMMYFUNCTION("GOOGLETRANSLATE(C1194,""en"",""pl"")"),"zboże")</f>
        <v>zboże</v>
      </c>
    </row>
    <row r="1195">
      <c r="C1195" s="1" t="s">
        <v>1192</v>
      </c>
      <c r="D1195" s="3" t="str">
        <f>IFERROR(__xludf.DUMMYFUNCTION("GOOGLETRANSLATE(C1195,""en"",""pl"")"),"brzęczenie")</f>
        <v>brzęczenie</v>
      </c>
    </row>
    <row r="1196">
      <c r="C1196" s="1" t="s">
        <v>1193</v>
      </c>
      <c r="D1196" s="3" t="str">
        <f>IFERROR(__xludf.DUMMYFUNCTION("GOOGLETRANSLATE(C1196,""en"",""pl"")"),"część")</f>
        <v>część</v>
      </c>
    </row>
    <row r="1197">
      <c r="C1197" s="1" t="s">
        <v>1194</v>
      </c>
      <c r="D1197" s="3" t="str">
        <f>IFERROR(__xludf.DUMMYFUNCTION("GOOGLETRANSLATE(C1197,""en"",""pl"")"),"ironia")</f>
        <v>ironia</v>
      </c>
    </row>
    <row r="1198">
      <c r="C1198" s="1" t="s">
        <v>1195</v>
      </c>
      <c r="D1198" s="3" t="str">
        <f>IFERROR(__xludf.DUMMYFUNCTION("GOOGLETRANSLATE(C1198,""en"",""pl"")"),"14.")</f>
        <v>14.</v>
      </c>
    </row>
    <row r="1199">
      <c r="C1199" s="1" t="s">
        <v>1196</v>
      </c>
      <c r="D1199" s="3" t="str">
        <f>IFERROR(__xludf.DUMMYFUNCTION("GOOGLETRANSLATE(C1199,""en"",""pl"")"),"wyjątkowy")</f>
        <v>wyjątkowy</v>
      </c>
    </row>
    <row r="1200">
      <c r="C1200" s="1" t="s">
        <v>1197</v>
      </c>
      <c r="D1200" s="3" t="str">
        <f>IFERROR(__xludf.DUMMYFUNCTION("GOOGLETRANSLATE(C1200,""en"",""pl"")"),"szczelina")</f>
        <v>szczelina</v>
      </c>
    </row>
    <row r="1201">
      <c r="C1201" s="1" t="s">
        <v>1198</v>
      </c>
      <c r="D1201" s="3" t="str">
        <f>IFERROR(__xludf.DUMMYFUNCTION("GOOGLETRANSLATE(C1201,""en"",""pl"")"),"SS")</f>
        <v>SS</v>
      </c>
    </row>
    <row r="1202">
      <c r="C1202" s="1" t="s">
        <v>1199</v>
      </c>
      <c r="D1202" s="3" t="str">
        <f>IFERROR(__xludf.DUMMYFUNCTION("GOOGLETRANSLATE(C1202,""en"",""pl"")"),"pogardzać")</f>
        <v>pogardzać</v>
      </c>
    </row>
    <row r="1203">
      <c r="C1203" s="1" t="s">
        <v>1200</v>
      </c>
      <c r="D1203" s="3" t="str">
        <f>IFERROR(__xludf.DUMMYFUNCTION("GOOGLETRANSLATE(C1203,""en"",""pl"")"),"walc")</f>
        <v>walc</v>
      </c>
    </row>
    <row r="1204">
      <c r="C1204" s="1" t="s">
        <v>1201</v>
      </c>
      <c r="D1204" s="3" t="str">
        <f>IFERROR(__xludf.DUMMYFUNCTION("GOOGLETRANSLATE(C1204,""en"",""pl"")"),"humor")</f>
        <v>humor</v>
      </c>
    </row>
    <row r="1205">
      <c r="C1205" s="1" t="s">
        <v>1202</v>
      </c>
      <c r="D1205" s="3" t="str">
        <f>IFERROR(__xludf.DUMMYFUNCTION("GOOGLETRANSLATE(C1205,""en"",""pl"")"),"awarie")</f>
        <v>awarie</v>
      </c>
    </row>
    <row r="1206">
      <c r="C1206" s="1" t="s">
        <v>1203</v>
      </c>
      <c r="D1206" s="3" t="str">
        <f>IFERROR(__xludf.DUMMYFUNCTION("GOOGLETRANSLATE(C1206,""en"",""pl"")"),"gul")</f>
        <v>gul</v>
      </c>
    </row>
    <row r="1207">
      <c r="C1207" s="1" t="s">
        <v>1204</v>
      </c>
      <c r="D1207" s="3" t="str">
        <f>IFERROR(__xludf.DUMMYFUNCTION("GOOGLETRANSLATE(C1207,""en"",""pl"")"),"jąkający się")</f>
        <v>jąkający się</v>
      </c>
    </row>
    <row r="1208">
      <c r="C1208" s="1" t="s">
        <v>1205</v>
      </c>
      <c r="D1208" s="3" t="str">
        <f>IFERROR(__xludf.DUMMYFUNCTION("GOOGLETRANSLATE(C1208,""en"",""pl"")"),"trenerzy")</f>
        <v>trenerzy</v>
      </c>
    </row>
    <row r="1209">
      <c r="C1209" s="1" t="s">
        <v>1206</v>
      </c>
      <c r="D1209" s="3" t="str">
        <f>IFERROR(__xludf.DUMMYFUNCTION("GOOGLETRANSLATE(C1209,""en"",""pl"")"),"joo")</f>
        <v>joo</v>
      </c>
    </row>
    <row r="1210">
      <c r="C1210" s="1" t="s">
        <v>1207</v>
      </c>
      <c r="D1210" s="3" t="str">
        <f>IFERROR(__xludf.DUMMYFUNCTION("GOOGLETRANSLATE(C1210,""en"",""pl"")"),"czekać na")</f>
        <v>czekać na</v>
      </c>
    </row>
    <row r="1211">
      <c r="C1211" s="1" t="s">
        <v>1208</v>
      </c>
      <c r="D1211" s="3" t="str">
        <f>IFERROR(__xludf.DUMMYFUNCTION("GOOGLETRANSLATE(C1211,""en"",""pl"")"),"Bryan")</f>
        <v>Bryan</v>
      </c>
    </row>
    <row r="1212">
      <c r="C1212" s="1" t="s">
        <v>1209</v>
      </c>
      <c r="D1212" s="3" t="str">
        <f>IFERROR(__xludf.DUMMYFUNCTION("GOOGLETRANSLATE(C1212,""en"",""pl"")"),"słynny")</f>
        <v>słynny</v>
      </c>
    </row>
    <row r="1213">
      <c r="C1213" s="1" t="s">
        <v>1210</v>
      </c>
      <c r="D1213" s="3" t="str">
        <f>IFERROR(__xludf.DUMMYFUNCTION("GOOGLETRANSLATE(C1213,""en"",""pl"")"),"zachęcał")</f>
        <v>zachęcał</v>
      </c>
    </row>
    <row r="1214">
      <c r="C1214" s="1" t="s">
        <v>1211</v>
      </c>
      <c r="D1214" s="3" t="str">
        <f>IFERROR(__xludf.DUMMYFUNCTION("GOOGLETRANSLATE(C1214,""en"",""pl"")"),"diabły")</f>
        <v>diabły</v>
      </c>
    </row>
    <row r="1215">
      <c r="C1215" s="1" t="s">
        <v>1212</v>
      </c>
      <c r="D1215" s="3" t="str">
        <f>IFERROR(__xludf.DUMMYFUNCTION("GOOGLETRANSLATE(C1215,""en"",""pl"")"),"knebel")</f>
        <v>knebel</v>
      </c>
    </row>
    <row r="1216">
      <c r="C1216" s="1" t="s">
        <v>1213</v>
      </c>
      <c r="D1216" s="3" t="str">
        <f>IFERROR(__xludf.DUMMYFUNCTION("GOOGLETRANSLATE(C1216,""en"",""pl"")"),"teleskop")</f>
        <v>teleskop</v>
      </c>
    </row>
    <row r="1217">
      <c r="C1217" s="1" t="s">
        <v>1214</v>
      </c>
      <c r="D1217" s="3" t="str">
        <f>IFERROR(__xludf.DUMMYFUNCTION("GOOGLETRANSLATE(C1217,""en"",""pl"")"),"werset")</f>
        <v>werset</v>
      </c>
    </row>
    <row r="1218">
      <c r="C1218" s="1" t="s">
        <v>1215</v>
      </c>
      <c r="D1218" s="3" t="str">
        <f>IFERROR(__xludf.DUMMYFUNCTION("GOOGLETRANSLATE(C1218,""en"",""pl"")"),"Stalin")</f>
        <v>Stalin</v>
      </c>
    </row>
    <row r="1219">
      <c r="C1219" s="1" t="s">
        <v>1216</v>
      </c>
      <c r="D1219" s="3" t="str">
        <f>IFERROR(__xludf.DUMMYFUNCTION("GOOGLETRANSLATE(C1219,""en"",""pl"")"),"e-maile")</f>
        <v>e-maile</v>
      </c>
    </row>
    <row r="1220">
      <c r="C1220" s="1" t="s">
        <v>1217</v>
      </c>
      <c r="D1220" s="3" t="str">
        <f>IFERROR(__xludf.DUMMYFUNCTION("GOOGLETRANSLATE(C1220,""en"",""pl"")"),"iet")</f>
        <v>iet</v>
      </c>
    </row>
    <row r="1221">
      <c r="C1221" s="1" t="s">
        <v>1218</v>
      </c>
      <c r="D1221" s="3" t="str">
        <f>IFERROR(__xludf.DUMMYFUNCTION("GOOGLETRANSLATE(C1221,""en"",""pl"")"),"opiekunka do dziecka")</f>
        <v>opiekunka do dziecka</v>
      </c>
    </row>
    <row r="1222">
      <c r="C1222" s="1" t="s">
        <v>1219</v>
      </c>
      <c r="D1222" s="3" t="str">
        <f>IFERROR(__xludf.DUMMYFUNCTION("GOOGLETRANSLATE(C1222,""en"",""pl"")"),"pr")</f>
        <v>pr</v>
      </c>
    </row>
    <row r="1223">
      <c r="C1223" s="1" t="s">
        <v>1220</v>
      </c>
      <c r="D1223" s="3" t="str">
        <f>IFERROR(__xludf.DUMMYFUNCTION("GOOGLETRANSLATE(C1223,""en"",""pl"")"),"wybitny")</f>
        <v>wybitny</v>
      </c>
    </row>
    <row r="1224">
      <c r="C1224" s="1" t="s">
        <v>1221</v>
      </c>
      <c r="D1224" s="3" t="str">
        <f>IFERROR(__xludf.DUMMYFUNCTION("GOOGLETRANSLATE(C1224,""en"",""pl"")"),"licencja")</f>
        <v>licencja</v>
      </c>
    </row>
    <row r="1225">
      <c r="C1225" s="1" t="s">
        <v>1222</v>
      </c>
      <c r="D1225" s="3" t="str">
        <f>IFERROR(__xludf.DUMMYFUNCTION("GOOGLETRANSLATE(C1225,""en"",""pl"")"),"uzależniony")</f>
        <v>uzależniony</v>
      </c>
    </row>
    <row r="1226">
      <c r="C1226" s="1" t="s">
        <v>1223</v>
      </c>
      <c r="D1226" s="3" t="str">
        <f>IFERROR(__xludf.DUMMYFUNCTION("GOOGLETRANSLATE(C1226,""en"",""pl"")"),"Bauer-")</f>
        <v>Bauer-</v>
      </c>
    </row>
    <row r="1227">
      <c r="C1227" s="1" t="s">
        <v>1224</v>
      </c>
      <c r="D1227" s="3" t="str">
        <f>IFERROR(__xludf.DUMMYFUNCTION("GOOGLETRANSLATE(C1227,""en"",""pl"")"),"przemówienia")</f>
        <v>przemówienia</v>
      </c>
    </row>
    <row r="1228">
      <c r="C1228" s="1" t="s">
        <v>1225</v>
      </c>
      <c r="D1228" s="3" t="str">
        <f>IFERROR(__xludf.DUMMYFUNCTION("GOOGLETRANSLATE(C1228,""en"",""pl"")"),"dowcip")</f>
        <v>dowcip</v>
      </c>
    </row>
    <row r="1229">
      <c r="C1229" s="1" t="s">
        <v>1226</v>
      </c>
      <c r="D1229" s="3" t="str">
        <f>IFERROR(__xludf.DUMMYFUNCTION("GOOGLETRANSLATE(C1229,""en"",""pl"")"),"zaprogramowany")</f>
        <v>zaprogramowany</v>
      </c>
    </row>
    <row r="1230">
      <c r="C1230" s="1" t="s">
        <v>1227</v>
      </c>
      <c r="D1230" s="3" t="str">
        <f>IFERROR(__xludf.DUMMYFUNCTION("GOOGLETRANSLATE(C1230,""en"",""pl"")"),"rozkosz")</f>
        <v>rozkosz</v>
      </c>
    </row>
    <row r="1231">
      <c r="C1231" s="1" t="s">
        <v>1228</v>
      </c>
      <c r="D1231" s="3" t="str">
        <f>IFERROR(__xludf.DUMMYFUNCTION("GOOGLETRANSLATE(C1231,""en"",""pl"")"),"Donny")</f>
        <v>Donny</v>
      </c>
    </row>
    <row r="1232">
      <c r="C1232" s="1" t="s">
        <v>1229</v>
      </c>
      <c r="D1232" s="3" t="str">
        <f>IFERROR(__xludf.DUMMYFUNCTION("GOOGLETRANSLATE(C1232,""en"",""pl"")"),"Elza")</f>
        <v>Elza</v>
      </c>
    </row>
    <row r="1233">
      <c r="C1233" s="1" t="s">
        <v>1230</v>
      </c>
      <c r="D1233" s="3" t="str">
        <f>IFERROR(__xludf.DUMMYFUNCTION("GOOGLETRANSLATE(C1233,""en"",""pl"")"),"com")</f>
        <v>com</v>
      </c>
    </row>
    <row r="1234">
      <c r="C1234" s="1" t="s">
        <v>1231</v>
      </c>
      <c r="D1234" s="3" t="str">
        <f>IFERROR(__xludf.DUMMYFUNCTION("GOOGLETRANSLATE(C1234,""en"",""pl"")"),"rejestrator")</f>
        <v>rejestrator</v>
      </c>
    </row>
    <row r="1235">
      <c r="C1235" s="1" t="s">
        <v>1232</v>
      </c>
      <c r="D1235" s="3" t="str">
        <f>IFERROR(__xludf.DUMMYFUNCTION("GOOGLETRANSLATE(C1235,""en"",""pl"")"),"ukrywa")</f>
        <v>ukrywa</v>
      </c>
    </row>
    <row r="1236">
      <c r="C1236" s="1" t="s">
        <v>1233</v>
      </c>
      <c r="D1236" s="3" t="str">
        <f>IFERROR(__xludf.DUMMYFUNCTION("GOOGLETRANSLATE(C1236,""en"",""pl"")"),"bezwstydny")</f>
        <v>bezwstydny</v>
      </c>
    </row>
    <row r="1237">
      <c r="C1237" s="1" t="s">
        <v>1234</v>
      </c>
      <c r="D1237" s="3" t="str">
        <f>IFERROR(__xludf.DUMMYFUNCTION("GOOGLETRANSLATE(C1237,""en"",""pl"")"),"mieszkanie")</f>
        <v>mieszkanie</v>
      </c>
    </row>
    <row r="1238">
      <c r="C1238" s="1" t="s">
        <v>1235</v>
      </c>
      <c r="D1238" s="3" t="str">
        <f>IFERROR(__xludf.DUMMYFUNCTION("GOOGLETRANSLATE(C1238,""en"",""pl"")"),"napiwek")</f>
        <v>napiwek</v>
      </c>
    </row>
    <row r="1239">
      <c r="C1239" s="1" t="s">
        <v>1236</v>
      </c>
      <c r="D1239" s="3" t="str">
        <f>IFERROR(__xludf.DUMMYFUNCTION("GOOGLETRANSLATE(C1239,""en"",""pl"")"),"darń")</f>
        <v>darń</v>
      </c>
    </row>
    <row r="1240">
      <c r="C1240" s="1" t="s">
        <v>1237</v>
      </c>
      <c r="D1240" s="3" t="str">
        <f>IFERROR(__xludf.DUMMYFUNCTION("GOOGLETRANSLATE(C1240,""en"",""pl"")"),"posmak")</f>
        <v>posmak</v>
      </c>
    </row>
    <row r="1241">
      <c r="C1241" s="1" t="s">
        <v>1238</v>
      </c>
      <c r="D1241" s="3" t="str">
        <f>IFERROR(__xludf.DUMMYFUNCTION("GOOGLETRANSLATE(C1241,""en"",""pl"")"),"ty")</f>
        <v>ty</v>
      </c>
    </row>
    <row r="1242">
      <c r="C1242" s="1" t="s">
        <v>1239</v>
      </c>
      <c r="D1242" s="3" t="str">
        <f>IFERROR(__xludf.DUMMYFUNCTION("GOOGLETRANSLATE(C1242,""en"",""pl"")"),"zwolniony")</f>
        <v>zwolniony</v>
      </c>
    </row>
    <row r="1243">
      <c r="C1243" s="1" t="s">
        <v>1240</v>
      </c>
      <c r="D1243" s="3" t="str">
        <f>IFERROR(__xludf.DUMMYFUNCTION("GOOGLETRANSLATE(C1243,""en"",""pl"")"),"psycholog")</f>
        <v>psycholog</v>
      </c>
    </row>
    <row r="1244">
      <c r="C1244" s="1" t="s">
        <v>1241</v>
      </c>
      <c r="D1244" s="3" t="str">
        <f>IFERROR(__xludf.DUMMYFUNCTION("GOOGLETRANSLATE(C1244,""en"",""pl"")"),"no jasne")</f>
        <v>no jasne</v>
      </c>
    </row>
    <row r="1245">
      <c r="C1245" s="1" t="s">
        <v>1242</v>
      </c>
      <c r="D1245" s="3" t="str">
        <f>IFERROR(__xludf.DUMMYFUNCTION("GOOGLETRANSLATE(C1245,""en"",""pl"")"),"usuwać")</f>
        <v>usuwać</v>
      </c>
    </row>
    <row r="1246">
      <c r="C1246" s="1" t="s">
        <v>1243</v>
      </c>
      <c r="D1246" s="3" t="str">
        <f>IFERROR(__xludf.DUMMYFUNCTION("GOOGLETRANSLATE(C1246,""en"",""pl"")"),"sportowiec")</f>
        <v>sportowiec</v>
      </c>
    </row>
    <row r="1247">
      <c r="C1247" s="1" t="s">
        <v>1244</v>
      </c>
      <c r="D1247" s="3" t="str">
        <f>IFERROR(__xludf.DUMMYFUNCTION("GOOGLETRANSLATE(C1247,""en"",""pl"")"),"gniew")</f>
        <v>gniew</v>
      </c>
    </row>
    <row r="1248">
      <c r="C1248" s="1" t="s">
        <v>1245</v>
      </c>
      <c r="D1248" s="3" t="str">
        <f>IFERROR(__xludf.DUMMYFUNCTION("GOOGLETRANSLATE(C1248,""en"",""pl"")"),"oszacować")</f>
        <v>oszacować</v>
      </c>
    </row>
    <row r="1249">
      <c r="C1249" s="1" t="s">
        <v>1246</v>
      </c>
      <c r="D1249" s="3" t="str">
        <f>IFERROR(__xludf.DUMMYFUNCTION("GOOGLETRANSLATE(C1249,""en"",""pl"")"),"korepetytor")</f>
        <v>korepetytor</v>
      </c>
    </row>
    <row r="1250">
      <c r="C1250" s="1" t="s">
        <v>1247</v>
      </c>
      <c r="D1250" s="3" t="str">
        <f>IFERROR(__xludf.DUMMYFUNCTION("GOOGLETRANSLATE(C1250,""en"",""pl"")"),"jurysdykcja")</f>
        <v>jurysdykcja</v>
      </c>
    </row>
    <row r="1251">
      <c r="C1251" s="1" t="s">
        <v>1248</v>
      </c>
      <c r="D1251" s="3" t="str">
        <f>IFERROR(__xludf.DUMMYFUNCTION("GOOGLETRANSLATE(C1251,""en"",""pl"")"),"impuls")</f>
        <v>impuls</v>
      </c>
    </row>
    <row r="1252">
      <c r="C1252" s="1" t="s">
        <v>1249</v>
      </c>
      <c r="D1252" s="3" t="str">
        <f>IFERROR(__xludf.DUMMYFUNCTION("GOOGLETRANSLATE(C1252,""en"",""pl"")"),"pingwin")</f>
        <v>pingwin</v>
      </c>
    </row>
    <row r="1253">
      <c r="C1253" s="1" t="s">
        <v>1250</v>
      </c>
      <c r="D1253" s="3" t="str">
        <f>IFERROR(__xludf.DUMMYFUNCTION("GOOGLETRANSLATE(C1253,""en"",""pl"")"),"rurki")</f>
        <v>rurki</v>
      </c>
    </row>
    <row r="1254">
      <c r="C1254" s="1" t="s">
        <v>1251</v>
      </c>
      <c r="D1254" s="3" t="str">
        <f>IFERROR(__xludf.DUMMYFUNCTION("GOOGLETRANSLATE(C1254,""en"",""pl"")"),"plac gier i zabaw")</f>
        <v>plac gier i zabaw</v>
      </c>
    </row>
    <row r="1255">
      <c r="C1255" s="1" t="s">
        <v>1252</v>
      </c>
      <c r="D1255" s="3" t="str">
        <f>IFERROR(__xludf.DUMMYFUNCTION("GOOGLETRANSLATE(C1255,""en"",""pl"")"),"szyć")</f>
        <v>szyć</v>
      </c>
    </row>
    <row r="1256">
      <c r="C1256" s="1" t="s">
        <v>1253</v>
      </c>
      <c r="D1256" s="3" t="str">
        <f>IFERROR(__xludf.DUMMYFUNCTION("GOOGLETRANSLATE(C1256,""en"",""pl"")"),"nikiel")</f>
        <v>nikiel</v>
      </c>
    </row>
    <row r="1257">
      <c r="C1257" s="1" t="s">
        <v>1254</v>
      </c>
      <c r="D1257" s="3" t="str">
        <f>IFERROR(__xludf.DUMMYFUNCTION("GOOGLETRANSLATE(C1257,""en"",""pl"")"),"pazury")</f>
        <v>pazury</v>
      </c>
    </row>
    <row r="1258">
      <c r="C1258" s="1" t="s">
        <v>1255</v>
      </c>
      <c r="D1258" s="3" t="str">
        <f>IFERROR(__xludf.DUMMYFUNCTION("GOOGLETRANSLATE(C1258,""en"",""pl"")"),"giganci")</f>
        <v>giganci</v>
      </c>
    </row>
    <row r="1259">
      <c r="C1259" s="1" t="s">
        <v>1256</v>
      </c>
      <c r="D1259" s="3" t="str">
        <f>IFERROR(__xludf.DUMMYFUNCTION("GOOGLETRANSLATE(C1259,""en"",""pl"")"),"śmiały")</f>
        <v>śmiały</v>
      </c>
    </row>
    <row r="1260">
      <c r="C1260" s="1" t="s">
        <v>1257</v>
      </c>
      <c r="D1260" s="3" t="str">
        <f>IFERROR(__xludf.DUMMYFUNCTION("GOOGLETRANSLATE(C1260,""en"",""pl"")"),"plakaty")</f>
        <v>plakaty</v>
      </c>
    </row>
    <row r="1261">
      <c r="C1261" s="1" t="s">
        <v>1258</v>
      </c>
      <c r="D1261" s="3" t="str">
        <f>IFERROR(__xludf.DUMMYFUNCTION("GOOGLETRANSLATE(C1261,""en"",""pl"")"),"pokojowo")</f>
        <v>pokojowo</v>
      </c>
    </row>
    <row r="1262">
      <c r="C1262" s="1" t="s">
        <v>1259</v>
      </c>
      <c r="D1262" s="3" t="str">
        <f>IFERROR(__xludf.DUMMYFUNCTION("GOOGLETRANSLATE(C1262,""en"",""pl"")"),"szmata")</f>
        <v>szmata</v>
      </c>
    </row>
    <row r="1263">
      <c r="C1263" s="1" t="s">
        <v>1260</v>
      </c>
      <c r="D1263" s="3" t="str">
        <f>IFERROR(__xludf.DUMMYFUNCTION("GOOGLETRANSLATE(C1263,""en"",""pl"")"),"jaskinie")</f>
        <v>jaskinie</v>
      </c>
    </row>
    <row r="1264">
      <c r="C1264" s="1" t="s">
        <v>1261</v>
      </c>
      <c r="D1264" s="3" t="str">
        <f>IFERROR(__xludf.DUMMYFUNCTION("GOOGLETRANSLATE(C1264,""en"",""pl"")"),"Nikita")</f>
        <v>Nikita</v>
      </c>
    </row>
    <row r="1265">
      <c r="C1265" s="1" t="s">
        <v>1262</v>
      </c>
      <c r="D1265" s="3" t="str">
        <f>IFERROR(__xludf.DUMMYFUNCTION("GOOGLETRANSLATE(C1265,""en"",""pl"")"),"rufowy")</f>
        <v>rufowy</v>
      </c>
    </row>
    <row r="1266">
      <c r="C1266" s="1" t="s">
        <v>1263</v>
      </c>
      <c r="D1266" s="3" t="str">
        <f>IFERROR(__xludf.DUMMYFUNCTION("GOOGLETRANSLATE(C1266,""en"",""pl"")"),"kondolencje")</f>
        <v>kondolencje</v>
      </c>
    </row>
    <row r="1267">
      <c r="C1267" s="1" t="s">
        <v>1264</v>
      </c>
      <c r="D1267" s="3" t="str">
        <f>IFERROR(__xludf.DUMMYFUNCTION("GOOGLETRANSLATE(C1267,""en"",""pl"")"),"ooooo")</f>
        <v>ooooo</v>
      </c>
    </row>
    <row r="1268">
      <c r="C1268" s="1" t="s">
        <v>1265</v>
      </c>
      <c r="D1268" s="3" t="str">
        <f>IFERROR(__xludf.DUMMYFUNCTION("GOOGLETRANSLATE(C1268,""en"",""pl"")"),"drogo")</f>
        <v>drogo</v>
      </c>
    </row>
    <row r="1269">
      <c r="C1269" s="1" t="s">
        <v>1266</v>
      </c>
      <c r="D1269" s="3" t="str">
        <f>IFERROR(__xludf.DUMMYFUNCTION("GOOGLETRANSLATE(C1269,""en"",""pl"")"),"upokorzenie")</f>
        <v>upokorzenie</v>
      </c>
    </row>
    <row r="1270">
      <c r="C1270" s="1" t="s">
        <v>1267</v>
      </c>
      <c r="D1270" s="3" t="str">
        <f>IFERROR(__xludf.DUMMYFUNCTION("GOOGLETRANSLATE(C1270,""en"",""pl"")"),"na całym świecie")</f>
        <v>na całym świecie</v>
      </c>
    </row>
    <row r="1271">
      <c r="C1271" s="1" t="s">
        <v>1268</v>
      </c>
      <c r="D1271" s="3" t="str">
        <f>IFERROR(__xludf.DUMMYFUNCTION("GOOGLETRANSLATE(C1271,""en"",""pl"")"),"rysunek")</f>
        <v>rysunek</v>
      </c>
    </row>
    <row r="1272">
      <c r="C1272" s="1" t="s">
        <v>1269</v>
      </c>
      <c r="D1272" s="3" t="str">
        <f>IFERROR(__xludf.DUMMYFUNCTION("GOOGLETRANSLATE(C1272,""en"",""pl"")"),"brak szacunku")</f>
        <v>brak szacunku</v>
      </c>
    </row>
    <row r="1273">
      <c r="C1273" s="1" t="s">
        <v>1270</v>
      </c>
      <c r="D1273" s="3" t="str">
        <f>IFERROR(__xludf.DUMMYFUNCTION("GOOGLETRANSLATE(C1273,""en"",""pl"")"),"Więc-")</f>
        <v>Więc-</v>
      </c>
    </row>
    <row r="1274">
      <c r="C1274" s="1" t="s">
        <v>1271</v>
      </c>
      <c r="D1274" s="3" t="str">
        <f>IFERROR(__xludf.DUMMYFUNCTION("GOOGLETRANSLATE(C1274,""en"",""pl"")"),"Cicho")</f>
        <v>Cicho</v>
      </c>
    </row>
    <row r="1275">
      <c r="C1275" s="1" t="s">
        <v>1272</v>
      </c>
      <c r="D1275" s="3" t="str">
        <f>IFERROR(__xludf.DUMMYFUNCTION("GOOGLETRANSLATE(C1275,""en"",""pl"")"),"męt")</f>
        <v>męt</v>
      </c>
    </row>
    <row r="1276">
      <c r="C1276" s="1" t="s">
        <v>1273</v>
      </c>
      <c r="D1276" s="3" t="str">
        <f>IFERROR(__xludf.DUMMYFUNCTION("GOOGLETRANSLATE(C1276,""en"",""pl"")"),"marmur")</f>
        <v>marmur</v>
      </c>
    </row>
    <row r="1277">
      <c r="C1277" s="1" t="s">
        <v>1274</v>
      </c>
      <c r="D1277" s="3" t="str">
        <f>IFERROR(__xludf.DUMMYFUNCTION("GOOGLETRANSLATE(C1277,""en"",""pl"")"),"lilia")</f>
        <v>lilia</v>
      </c>
    </row>
    <row r="1278">
      <c r="C1278" s="1" t="s">
        <v>1275</v>
      </c>
      <c r="D1278" s="3" t="str">
        <f>IFERROR(__xludf.DUMMYFUNCTION("GOOGLETRANSLATE(C1278,""en"",""pl"")"),"chun")</f>
        <v>chun</v>
      </c>
    </row>
    <row r="1279">
      <c r="C1279" s="1" t="s">
        <v>1276</v>
      </c>
      <c r="D1279" s="3" t="str">
        <f>IFERROR(__xludf.DUMMYFUNCTION("GOOGLETRANSLATE(C1279,""en"",""pl"")"),"kręcony")</f>
        <v>kręcony</v>
      </c>
    </row>
    <row r="1280">
      <c r="C1280" s="1" t="s">
        <v>1277</v>
      </c>
      <c r="D1280" s="3" t="str">
        <f>IFERROR(__xludf.DUMMYFUNCTION("GOOGLETRANSLATE(C1280,""en"",""pl"")"),"osądzony")</f>
        <v>osądzony</v>
      </c>
    </row>
    <row r="1281">
      <c r="C1281" s="1" t="s">
        <v>1278</v>
      </c>
      <c r="D1281" s="3" t="str">
        <f>IFERROR(__xludf.DUMMYFUNCTION("GOOGLETRANSLATE(C1281,""en"",""pl"")"),"licytacja")</f>
        <v>licytacja</v>
      </c>
    </row>
    <row r="1282">
      <c r="C1282" s="1" t="s">
        <v>1279</v>
      </c>
      <c r="D1282" s="3" t="str">
        <f>IFERROR(__xludf.DUMMYFUNCTION("GOOGLETRANSLATE(C1282,""en"",""pl"")"),"wymazany")</f>
        <v>wymazany</v>
      </c>
    </row>
    <row r="1283">
      <c r="C1283" s="1" t="s">
        <v>1280</v>
      </c>
      <c r="D1283" s="3" t="str">
        <f>IFERROR(__xludf.DUMMYFUNCTION("GOOGLETRANSLATE(C1283,""en"",""pl"")"),"pomylić")</f>
        <v>pomylić</v>
      </c>
    </row>
    <row r="1284">
      <c r="C1284" s="1" t="s">
        <v>1281</v>
      </c>
      <c r="D1284" s="3" t="str">
        <f>IFERROR(__xludf.DUMMYFUNCTION("GOOGLETRANSLATE(C1284,""en"",""pl"")"),"arcydzieło")</f>
        <v>arcydzieło</v>
      </c>
    </row>
    <row r="1285">
      <c r="C1285" s="1" t="s">
        <v>1282</v>
      </c>
      <c r="D1285" s="3" t="str">
        <f>IFERROR(__xludf.DUMMYFUNCTION("GOOGLETRANSLATE(C1285,""en"",""pl"")"),"pięciokąt")</f>
        <v>pięciokąt</v>
      </c>
    </row>
    <row r="1286">
      <c r="C1286" s="1" t="s">
        <v>1283</v>
      </c>
      <c r="D1286" s="3" t="str">
        <f>IFERROR(__xludf.DUMMYFUNCTION("GOOGLETRANSLATE(C1286,""en"",""pl"")"),"opppa")</f>
        <v>opppa</v>
      </c>
    </row>
    <row r="1287">
      <c r="C1287" s="1" t="s">
        <v>1284</v>
      </c>
      <c r="D1287" s="3" t="str">
        <f>IFERROR(__xludf.DUMMYFUNCTION("GOOGLETRANSLATE(C1287,""en"",""pl"")"),"holowniczy")</f>
        <v>holowniczy</v>
      </c>
    </row>
    <row r="1288">
      <c r="C1288" s="1" t="s">
        <v>1285</v>
      </c>
      <c r="D1288" s="3" t="str">
        <f>IFERROR(__xludf.DUMMYFUNCTION("GOOGLETRANSLATE(C1288,""en"",""pl"")"),"uwieść")</f>
        <v>uwieść</v>
      </c>
    </row>
    <row r="1289">
      <c r="C1289" s="1" t="s">
        <v>1286</v>
      </c>
      <c r="D1289" s="3" t="str">
        <f>IFERROR(__xludf.DUMMYFUNCTION("GOOGLETRANSLATE(C1289,""en"",""pl"")"),"wanna")</f>
        <v>wanna</v>
      </c>
    </row>
    <row r="1290">
      <c r="C1290" s="1" t="s">
        <v>1287</v>
      </c>
      <c r="D1290" s="3" t="str">
        <f>IFERROR(__xludf.DUMMYFUNCTION("GOOGLETRANSLATE(C1290,""en"",""pl"")"),"zwierzęta domowe")</f>
        <v>zwierzęta domowe</v>
      </c>
    </row>
    <row r="1291">
      <c r="C1291" s="1" t="s">
        <v>1288</v>
      </c>
      <c r="D1291" s="3" t="str">
        <f>IFERROR(__xludf.DUMMYFUNCTION("GOOGLETRANSLATE(C1291,""en"",""pl"")"),"cegły")</f>
        <v>cegły</v>
      </c>
    </row>
    <row r="1292">
      <c r="C1292" s="1" t="s">
        <v>1289</v>
      </c>
      <c r="D1292" s="3" t="str">
        <f>IFERROR(__xludf.DUMMYFUNCTION("GOOGLETRANSLATE(C1292,""en"",""pl"")"),"Goa-goa")</f>
        <v>Goa-goa</v>
      </c>
    </row>
    <row r="1293">
      <c r="C1293" s="1" t="s">
        <v>1290</v>
      </c>
      <c r="D1293" s="3" t="str">
        <f>IFERROR(__xludf.DUMMYFUNCTION("GOOGLETRANSLATE(C1293,""en"",""pl"")"),"gorętszy")</f>
        <v>gorętszy</v>
      </c>
    </row>
    <row r="1294">
      <c r="C1294" s="1" t="s">
        <v>1291</v>
      </c>
      <c r="D1294" s="3" t="str">
        <f>IFERROR(__xludf.DUMMYFUNCTION("GOOGLETRANSLATE(C1294,""en"",""pl"")"),"reżim")</f>
        <v>reżim</v>
      </c>
    </row>
    <row r="1295">
      <c r="C1295" s="1" t="s">
        <v>1292</v>
      </c>
      <c r="D1295" s="3" t="str">
        <f>IFERROR(__xludf.DUMMYFUNCTION("GOOGLETRANSLATE(C1295,""en"",""pl"")"),"pogarda")</f>
        <v>pogarda</v>
      </c>
    </row>
    <row r="1296">
      <c r="C1296" s="1" t="s">
        <v>1293</v>
      </c>
      <c r="D1296" s="3" t="str">
        <f>IFERROR(__xludf.DUMMYFUNCTION("GOOGLETRANSLATE(C1296,""en"",""pl"")"),"seria")</f>
        <v>seria</v>
      </c>
    </row>
    <row r="1297">
      <c r="C1297" s="4" t="s">
        <v>1294</v>
      </c>
      <c r="D1297" s="3" t="str">
        <f>IFERROR(__xludf.DUMMYFUNCTION("GOOGLETRANSLATE(C1297,""en"",""pl"")"),"mi")</f>
        <v>mi</v>
      </c>
    </row>
    <row r="1298">
      <c r="C1298" s="1" t="s">
        <v>1295</v>
      </c>
      <c r="D1298" s="3" t="str">
        <f>IFERROR(__xludf.DUMMYFUNCTION("GOOGLETRANSLATE(C1298,""en"",""pl"")"),"Ramsay")</f>
        <v>Ramsay</v>
      </c>
    </row>
    <row r="1299">
      <c r="C1299" s="1" t="s">
        <v>1296</v>
      </c>
      <c r="D1299" s="3" t="str">
        <f>IFERROR(__xludf.DUMMYFUNCTION("GOOGLETRANSLATE(C1299,""en"",""pl"")"),"przyśpieszenie")</f>
        <v>przyśpieszenie</v>
      </c>
    </row>
    <row r="1300">
      <c r="C1300" s="1" t="s">
        <v>1297</v>
      </c>
      <c r="D1300" s="3" t="str">
        <f>IFERROR(__xludf.DUMMYFUNCTION("GOOGLETRANSLATE(C1300,""en"",""pl"")"),"przedział")</f>
        <v>przedział</v>
      </c>
    </row>
    <row r="1301">
      <c r="C1301" s="1" t="s">
        <v>1298</v>
      </c>
      <c r="D1301" s="3" t="str">
        <f>IFERROR(__xludf.DUMMYFUNCTION("GOOGLETRANSLATE(C1301,""en"",""pl"")"),"przybory")</f>
        <v>przybory</v>
      </c>
    </row>
    <row r="1302">
      <c r="C1302" s="1" t="s">
        <v>1299</v>
      </c>
      <c r="D1302" s="3" t="str">
        <f>IFERROR(__xludf.DUMMYFUNCTION("GOOGLETRANSLATE(C1302,""en"",""pl"")"),"płaca")</f>
        <v>płaca</v>
      </c>
    </row>
    <row r="1303">
      <c r="C1303" s="1" t="s">
        <v>1300</v>
      </c>
      <c r="D1303" s="3" t="str">
        <f>IFERROR(__xludf.DUMMYFUNCTION("GOOGLETRANSLATE(C1303,""en"",""pl"")"),"świeci")</f>
        <v>świeci</v>
      </c>
    </row>
    <row r="1304">
      <c r="C1304" s="1" t="s">
        <v>1301</v>
      </c>
      <c r="D1304" s="3" t="str">
        <f>IFERROR(__xludf.DUMMYFUNCTION("GOOGLETRANSLATE(C1304,""en"",""pl"")"),"podnoszenie")</f>
        <v>podnoszenie</v>
      </c>
    </row>
    <row r="1305">
      <c r="C1305" s="1" t="s">
        <v>1302</v>
      </c>
      <c r="D1305" s="3" t="str">
        <f>IFERROR(__xludf.DUMMYFUNCTION("GOOGLETRANSLATE(C1305,""en"",""pl"")"),"gwar")</f>
        <v>gwar</v>
      </c>
    </row>
    <row r="1306">
      <c r="C1306" s="1" t="s">
        <v>1303</v>
      </c>
      <c r="D1306" s="3" t="str">
        <f>IFERROR(__xludf.DUMMYFUNCTION("GOOGLETRANSLATE(C1306,""en"",""pl"")"),"więźniowie")</f>
        <v>więźniowie</v>
      </c>
    </row>
    <row r="1307">
      <c r="C1307" s="1" t="s">
        <v>1304</v>
      </c>
      <c r="D1307" s="3" t="str">
        <f>IFERROR(__xludf.DUMMYFUNCTION("GOOGLETRANSLATE(C1307,""en"",""pl"")"),"km")</f>
        <v>km</v>
      </c>
    </row>
    <row r="1308">
      <c r="C1308" s="1" t="s">
        <v>1305</v>
      </c>
      <c r="D1308" s="3" t="str">
        <f>IFERROR(__xludf.DUMMYFUNCTION("GOOGLETRANSLATE(C1308,""en"",""pl"")"),"Psst")</f>
        <v>Psst</v>
      </c>
    </row>
    <row r="1309">
      <c r="C1309" s="1" t="s">
        <v>1306</v>
      </c>
      <c r="D1309" s="3" t="str">
        <f>IFERROR(__xludf.DUMMYFUNCTION("GOOGLETRANSLATE(C1309,""en"",""pl"")"),"skuter")</f>
        <v>skuter</v>
      </c>
    </row>
    <row r="1310">
      <c r="C1310" s="1" t="s">
        <v>1307</v>
      </c>
      <c r="D1310" s="3" t="str">
        <f>IFERROR(__xludf.DUMMYFUNCTION("GOOGLETRANSLATE(C1310,""en"",""pl"")"),"stosunkowo")</f>
        <v>stosunkowo</v>
      </c>
    </row>
    <row r="1311">
      <c r="C1311" s="1" t="s">
        <v>1308</v>
      </c>
      <c r="D1311" s="3" t="str">
        <f>IFERROR(__xludf.DUMMYFUNCTION("GOOGLETRANSLATE(C1311,""en"",""pl"")"),"naćpany")</f>
        <v>naćpany</v>
      </c>
    </row>
    <row r="1312">
      <c r="C1312" s="1" t="s">
        <v>1309</v>
      </c>
      <c r="D1312" s="3" t="str">
        <f>IFERROR(__xludf.DUMMYFUNCTION("GOOGLETRANSLATE(C1312,""en"",""pl"")"),"nadprzyrodzony")</f>
        <v>nadprzyrodzony</v>
      </c>
    </row>
    <row r="1313">
      <c r="C1313" s="1" t="s">
        <v>1310</v>
      </c>
      <c r="D1313" s="3" t="str">
        <f>IFERROR(__xludf.DUMMYFUNCTION("GOOGLETRANSLATE(C1313,""en"",""pl"")"),"Darwin")</f>
        <v>Darwin</v>
      </c>
    </row>
    <row r="1314">
      <c r="C1314" s="1" t="s">
        <v>1311</v>
      </c>
      <c r="D1314" s="3" t="str">
        <f>IFERROR(__xludf.DUMMYFUNCTION("GOOGLETRANSLATE(C1314,""en"",""pl"")"),"widzowie")</f>
        <v>widzowie</v>
      </c>
    </row>
    <row r="1315">
      <c r="C1315" s="1" t="s">
        <v>1312</v>
      </c>
      <c r="D1315" s="3" t="str">
        <f>IFERROR(__xludf.DUMMYFUNCTION("GOOGLETRANSLATE(C1315,""en"",""pl"")"),"Wawrzyniec")</f>
        <v>Wawrzyniec</v>
      </c>
    </row>
    <row r="1316">
      <c r="C1316" s="1" t="s">
        <v>1313</v>
      </c>
      <c r="D1316" s="3" t="str">
        <f>IFERROR(__xludf.DUMMYFUNCTION("GOOGLETRANSLATE(C1316,""en"",""pl"")"),"skarby")</f>
        <v>skarby</v>
      </c>
    </row>
    <row r="1317">
      <c r="C1317" s="1" t="s">
        <v>1314</v>
      </c>
      <c r="D1317" s="3" t="str">
        <f>IFERROR(__xludf.DUMMYFUNCTION("GOOGLETRANSLATE(C1317,""en"",""pl"")"),"Jankes")</f>
        <v>Jankes</v>
      </c>
    </row>
    <row r="1318">
      <c r="C1318" s="1" t="s">
        <v>1315</v>
      </c>
      <c r="D1318" s="3" t="str">
        <f>IFERROR(__xludf.DUMMYFUNCTION("GOOGLETRANSLATE(C1318,""en"",""pl"")"),"język")</f>
        <v>język</v>
      </c>
    </row>
    <row r="1319">
      <c r="C1319" s="1" t="s">
        <v>1316</v>
      </c>
      <c r="D1319" s="3" t="str">
        <f>IFERROR(__xludf.DUMMYFUNCTION("GOOGLETRANSLATE(C1319,""en"",""pl"")"),"taco")</f>
        <v>taco</v>
      </c>
    </row>
    <row r="1320">
      <c r="C1320" s="1" t="s">
        <v>1317</v>
      </c>
      <c r="D1320" s="3" t="str">
        <f>IFERROR(__xludf.DUMMYFUNCTION("GOOGLETRANSLATE(C1320,""en"",""pl"")"),"wykresy")</f>
        <v>wykresy</v>
      </c>
    </row>
    <row r="1321">
      <c r="C1321" s="1" t="s">
        <v>1318</v>
      </c>
      <c r="D1321" s="3" t="str">
        <f>IFERROR(__xludf.DUMMYFUNCTION("GOOGLETRANSLATE(C1321,""en"",""pl"")"),"brygada")</f>
        <v>brygada</v>
      </c>
    </row>
    <row r="1322">
      <c r="C1322" s="1" t="s">
        <v>1319</v>
      </c>
      <c r="D1322" s="3" t="str">
        <f>IFERROR(__xludf.DUMMYFUNCTION("GOOGLETRANSLATE(C1322,""en"",""pl"")"),"bankrut")</f>
        <v>bankrut</v>
      </c>
    </row>
    <row r="1323">
      <c r="C1323" s="1" t="s">
        <v>1320</v>
      </c>
      <c r="D1323" s="3" t="str">
        <f>IFERROR(__xludf.DUMMYFUNCTION("GOOGLETRANSLATE(C1323,""en"",""pl"")"),"Marianna")</f>
        <v>Marianna</v>
      </c>
    </row>
    <row r="1324">
      <c r="C1324" s="1" t="s">
        <v>1321</v>
      </c>
      <c r="D1324" s="3" t="str">
        <f>IFERROR(__xludf.DUMMYFUNCTION("GOOGLETRANSLATE(C1324,""en"",""pl"")"),"rowery")</f>
        <v>rowery</v>
      </c>
    </row>
    <row r="1325">
      <c r="C1325" s="1" t="s">
        <v>1322</v>
      </c>
      <c r="D1325" s="3" t="str">
        <f>IFERROR(__xludf.DUMMYFUNCTION("GOOGLETRANSLATE(C1325,""en"",""pl"")"),"punkt obserwacyjny")</f>
        <v>punkt obserwacyjny</v>
      </c>
    </row>
    <row r="1326">
      <c r="C1326" s="1" t="s">
        <v>1323</v>
      </c>
      <c r="D1326" s="3" t="str">
        <f>IFERROR(__xludf.DUMMYFUNCTION("GOOGLETRANSLATE(C1326,""en"",""pl"")"),"towar")</f>
        <v>towar</v>
      </c>
    </row>
    <row r="1327">
      <c r="C1327" s="1" t="s">
        <v>1324</v>
      </c>
      <c r="D1327" s="3" t="str">
        <f>IFERROR(__xludf.DUMMYFUNCTION("GOOGLETRANSLATE(C1327,""en"",""pl"")"),"śliski")</f>
        <v>śliski</v>
      </c>
    </row>
    <row r="1328">
      <c r="C1328" s="1" t="s">
        <v>1325</v>
      </c>
      <c r="D1328" s="3" t="str">
        <f>IFERROR(__xludf.DUMMYFUNCTION("GOOGLETRANSLATE(C1328,""en"",""pl"")"),"księżna")</f>
        <v>księżna</v>
      </c>
    </row>
    <row r="1329">
      <c r="C1329" s="1" t="s">
        <v>1326</v>
      </c>
      <c r="D1329" s="3" t="str">
        <f>IFERROR(__xludf.DUMMYFUNCTION("GOOGLETRANSLATE(C1329,""en"",""pl"")"),"przepaść")</f>
        <v>przepaść</v>
      </c>
    </row>
    <row r="1330">
      <c r="C1330" s="1" t="s">
        <v>1327</v>
      </c>
      <c r="D1330" s="3" t="str">
        <f>IFERROR(__xludf.DUMMYFUNCTION("GOOGLETRANSLATE(C1330,""en"",""pl"")"),"piana")</f>
        <v>piana</v>
      </c>
    </row>
    <row r="1331">
      <c r="C1331" s="1" t="s">
        <v>1328</v>
      </c>
      <c r="D1331" s="3" t="str">
        <f>IFERROR(__xludf.DUMMYFUNCTION("GOOGLETRANSLATE(C1331,""en"",""pl"")"),"kradnie")</f>
        <v>kradnie</v>
      </c>
    </row>
    <row r="1332">
      <c r="C1332" s="1" t="s">
        <v>1329</v>
      </c>
      <c r="D1332" s="3" t="str">
        <f>IFERROR(__xludf.DUMMYFUNCTION("GOOGLETRANSLATE(C1332,""en"",""pl"")"),"liczny")</f>
        <v>liczny</v>
      </c>
    </row>
    <row r="1333">
      <c r="C1333" s="1" t="s">
        <v>1330</v>
      </c>
      <c r="D1333" s="3" t="str">
        <f>IFERROR(__xludf.DUMMYFUNCTION("GOOGLETRANSLATE(C1333,""en"",""pl"")"),"przybierka")</f>
        <v>przybierka</v>
      </c>
    </row>
    <row r="1334">
      <c r="C1334" s="1" t="s">
        <v>1331</v>
      </c>
      <c r="D1334" s="3" t="str">
        <f>IFERROR(__xludf.DUMMYFUNCTION("GOOGLETRANSLATE(C1334,""en"",""pl"")"),"zaufanie")</f>
        <v>zaufanie</v>
      </c>
    </row>
    <row r="1335">
      <c r="C1335" s="1" t="s">
        <v>1332</v>
      </c>
      <c r="D1335" s="3" t="str">
        <f>IFERROR(__xludf.DUMMYFUNCTION("GOOGLETRANSLATE(C1335,""en"",""pl"")"),"trzoda")</f>
        <v>trzoda</v>
      </c>
    </row>
    <row r="1336">
      <c r="C1336" s="1" t="s">
        <v>1333</v>
      </c>
      <c r="D1336" s="3" t="str">
        <f>IFERROR(__xludf.DUMMYFUNCTION("GOOGLETRANSLATE(C1336,""en"",""pl"")"),"napój")</f>
        <v>napój</v>
      </c>
    </row>
    <row r="1337">
      <c r="C1337" s="1" t="s">
        <v>1334</v>
      </c>
      <c r="D1337" s="3" t="str">
        <f>IFERROR(__xludf.DUMMYFUNCTION("GOOGLETRANSLATE(C1337,""en"",""pl"")"),"narzeczony")</f>
        <v>narzeczony</v>
      </c>
    </row>
    <row r="1338">
      <c r="C1338" s="1" t="s">
        <v>1335</v>
      </c>
      <c r="D1338" s="3" t="str">
        <f>IFERROR(__xludf.DUMMYFUNCTION("GOOGLETRANSLATE(C1338,""en"",""pl"")"),"dojrzeć")</f>
        <v>dojrzeć</v>
      </c>
    </row>
    <row r="1339">
      <c r="C1339" s="1" t="s">
        <v>1336</v>
      </c>
      <c r="D1339" s="3" t="str">
        <f>IFERROR(__xludf.DUMMYFUNCTION("GOOGLETRANSLATE(C1339,""en"",""pl"")"),"niezwyciężony")</f>
        <v>niezwyciężony</v>
      </c>
    </row>
    <row r="1340">
      <c r="C1340" s="1" t="s">
        <v>1337</v>
      </c>
      <c r="D1340" s="3" t="str">
        <f>IFERROR(__xludf.DUMMYFUNCTION("GOOGLETRANSLATE(C1340,""en"",""pl"")"),"odszkodowanie")</f>
        <v>odszkodowanie</v>
      </c>
    </row>
    <row r="1341">
      <c r="C1341" s="1" t="s">
        <v>1338</v>
      </c>
      <c r="D1341" s="3" t="str">
        <f>IFERROR(__xludf.DUMMYFUNCTION("GOOGLETRANSLATE(C1341,""en"",""pl"")"),"czajnik")</f>
        <v>czajnik</v>
      </c>
    </row>
    <row r="1342">
      <c r="C1342" s="1" t="s">
        <v>1339</v>
      </c>
      <c r="D1342" s="3" t="str">
        <f>IFERROR(__xludf.DUMMYFUNCTION("GOOGLETRANSLATE(C1342,""en"",""pl"")"),"spacer")</f>
        <v>spacer</v>
      </c>
    </row>
    <row r="1343">
      <c r="C1343" s="1" t="s">
        <v>1340</v>
      </c>
      <c r="D1343" s="3" t="str">
        <f>IFERROR(__xludf.DUMMYFUNCTION("GOOGLETRANSLATE(C1343,""en"",""pl"")"),"Trishy")</f>
        <v>Trishy</v>
      </c>
    </row>
    <row r="1344">
      <c r="C1344" s="1" t="s">
        <v>1341</v>
      </c>
      <c r="D1344" s="3" t="str">
        <f>IFERROR(__xludf.DUMMYFUNCTION("GOOGLETRANSLATE(C1344,""en"",""pl"")"),"Brendan")</f>
        <v>Brendan</v>
      </c>
    </row>
    <row r="1345">
      <c r="C1345" s="1" t="s">
        <v>1342</v>
      </c>
      <c r="D1345" s="3" t="str">
        <f>IFERROR(__xludf.DUMMYFUNCTION("GOOGLETRANSLATE(C1345,""en"",""pl"")"),"kawiarnia")</f>
        <v>kawiarnia</v>
      </c>
    </row>
    <row r="1346">
      <c r="C1346" s="1" t="s">
        <v>1343</v>
      </c>
      <c r="D1346" s="3" t="str">
        <f>IFERROR(__xludf.DUMMYFUNCTION("GOOGLETRANSLATE(C1346,""en"",""pl"")"),"rozsądny")</f>
        <v>rozsądny</v>
      </c>
    </row>
    <row r="1347">
      <c r="C1347" s="1" t="s">
        <v>1344</v>
      </c>
      <c r="D1347" s="3" t="str">
        <f>IFERROR(__xludf.DUMMYFUNCTION("GOOGLETRANSLATE(C1347,""en"",""pl"")"),"waluta")</f>
        <v>waluta</v>
      </c>
    </row>
    <row r="1348">
      <c r="C1348" s="1" t="s">
        <v>1345</v>
      </c>
      <c r="D1348" s="3" t="str">
        <f>IFERROR(__xludf.DUMMYFUNCTION("GOOGLETRANSLATE(C1348,""en"",""pl"")"),"Amsterdam")</f>
        <v>Amsterdam</v>
      </c>
    </row>
    <row r="1349">
      <c r="C1349" s="1" t="s">
        <v>1346</v>
      </c>
      <c r="D1349" s="3" t="str">
        <f>IFERROR(__xludf.DUMMYFUNCTION("GOOGLETRANSLATE(C1349,""en"",""pl"")"),"promień")</f>
        <v>promień</v>
      </c>
    </row>
    <row r="1350">
      <c r="C1350" s="1" t="s">
        <v>1347</v>
      </c>
      <c r="D1350" s="3" t="str">
        <f>IFERROR(__xludf.DUMMYFUNCTION("GOOGLETRANSLATE(C1350,""en"",""pl"")"),"zweryfikować")</f>
        <v>zweryfikować</v>
      </c>
    </row>
    <row r="1351">
      <c r="C1351" s="1" t="s">
        <v>1348</v>
      </c>
      <c r="D1351" s="3" t="str">
        <f>IFERROR(__xludf.DUMMYFUNCTION("GOOGLETRANSLATE(C1351,""en"",""pl"")"),"założony")</f>
        <v>założony</v>
      </c>
    </row>
    <row r="1352">
      <c r="C1352" s="1" t="s">
        <v>1349</v>
      </c>
      <c r="D1352" s="3" t="str">
        <f>IFERROR(__xludf.DUMMYFUNCTION("GOOGLETRANSLATE(C1352,""en"",""pl"")"),"lekarski")</f>
        <v>lekarski</v>
      </c>
    </row>
    <row r="1353">
      <c r="C1353" s="1" t="s">
        <v>1350</v>
      </c>
      <c r="D1353" s="3" t="str">
        <f>IFERROR(__xludf.DUMMYFUNCTION("GOOGLETRANSLATE(C1353,""en"",""pl"")"),"zerkać")</f>
        <v>zerkać</v>
      </c>
    </row>
    <row r="1354">
      <c r="C1354" s="1" t="s">
        <v>1351</v>
      </c>
      <c r="D1354" s="3" t="str">
        <f>IFERROR(__xludf.DUMMYFUNCTION("GOOGLETRANSLATE(C1354,""en"",""pl"")"),"kanał ściekowy")</f>
        <v>kanał ściekowy</v>
      </c>
    </row>
    <row r="1355">
      <c r="C1355" s="1" t="s">
        <v>1352</v>
      </c>
      <c r="D1355" s="3" t="str">
        <f>IFERROR(__xludf.DUMMYFUNCTION("GOOGLETRANSLATE(C1355,""en"",""pl"")"),"Vernon")</f>
        <v>Vernon</v>
      </c>
    </row>
    <row r="1356">
      <c r="C1356" s="1" t="s">
        <v>1353</v>
      </c>
      <c r="D1356" s="3" t="str">
        <f>IFERROR(__xludf.DUMMYFUNCTION("GOOGLETRANSLATE(C1356,""en"",""pl"")"),"kalie")</f>
        <v>kalie</v>
      </c>
    </row>
    <row r="1357">
      <c r="C1357" s="1" t="s">
        <v>1354</v>
      </c>
      <c r="D1357" s="3" t="str">
        <f>IFERROR(__xludf.DUMMYFUNCTION("GOOGLETRANSLATE(C1357,""en"",""pl"")"),"BBC")</f>
        <v>BBC</v>
      </c>
    </row>
    <row r="1358">
      <c r="C1358" s="1" t="s">
        <v>1355</v>
      </c>
      <c r="D1358" s="3" t="str">
        <f>IFERROR(__xludf.DUMMYFUNCTION("GOOGLETRANSLATE(C1358,""en"",""pl"")"),"kadłub")</f>
        <v>kadłub</v>
      </c>
    </row>
    <row r="1359">
      <c r="C1359" s="1" t="s">
        <v>1356</v>
      </c>
      <c r="D1359" s="3" t="str">
        <f>IFERROR(__xludf.DUMMYFUNCTION("GOOGLETRANSLATE(C1359,""en"",""pl"")"),"Salomon")</f>
        <v>Salomon</v>
      </c>
    </row>
    <row r="1360">
      <c r="C1360" s="1" t="s">
        <v>1357</v>
      </c>
      <c r="D1360" s="3" t="str">
        <f>IFERROR(__xludf.DUMMYFUNCTION("GOOGLETRANSLATE(C1360,""en"",""pl"")"),"Madonna")</f>
        <v>Madonna</v>
      </c>
    </row>
    <row r="1361">
      <c r="C1361" s="1" t="s">
        <v>1358</v>
      </c>
      <c r="D1361" s="3" t="str">
        <f>IFERROR(__xludf.DUMMYFUNCTION("GOOGLETRANSLATE(C1361,""en"",""pl"")"),"ropucha")</f>
        <v>ropucha</v>
      </c>
    </row>
    <row r="1362">
      <c r="C1362" s="1" t="s">
        <v>1359</v>
      </c>
      <c r="D1362" s="3" t="str">
        <f>IFERROR(__xludf.DUMMYFUNCTION("GOOGLETRANSLATE(C1362,""en"",""pl"")"),"Powell")</f>
        <v>Powell</v>
      </c>
    </row>
    <row r="1363">
      <c r="C1363" s="1" t="s">
        <v>1360</v>
      </c>
      <c r="D1363" s="3" t="str">
        <f>IFERROR(__xludf.DUMMYFUNCTION("GOOGLETRANSLATE(C1363,""en"",""pl"")"),"makswell")</f>
        <v>makswell</v>
      </c>
    </row>
    <row r="1364">
      <c r="C1364" s="1" t="s">
        <v>1361</v>
      </c>
      <c r="D1364" s="3" t="str">
        <f>IFERROR(__xludf.DUMMYFUNCTION("GOOGLETRANSLATE(C1364,""en"",""pl"")"),"łoś")</f>
        <v>łoś</v>
      </c>
    </row>
    <row r="1365">
      <c r="C1365" s="1" t="s">
        <v>1362</v>
      </c>
      <c r="D1365" s="3" t="str">
        <f>IFERROR(__xludf.DUMMYFUNCTION("GOOGLETRANSLATE(C1365,""en"",""pl"")"),"pamiątka")</f>
        <v>pamiątka</v>
      </c>
    </row>
    <row r="1366">
      <c r="C1366" s="1" t="s">
        <v>1363</v>
      </c>
      <c r="D1366" s="3" t="str">
        <f>IFERROR(__xludf.DUMMYFUNCTION("GOOGLETRANSLATE(C1366,""en"",""pl"")"),"ścieg")</f>
        <v>ścieg</v>
      </c>
    </row>
    <row r="1367">
      <c r="C1367" s="1" t="s">
        <v>1364</v>
      </c>
      <c r="D1367" s="3" t="str">
        <f>IFERROR(__xludf.DUMMYFUNCTION("GOOGLETRANSLATE(C1367,""en"",""pl"")"),"kompas")</f>
        <v>kompas</v>
      </c>
    </row>
    <row r="1368">
      <c r="C1368" s="1" t="s">
        <v>1365</v>
      </c>
      <c r="D1368" s="3" t="str">
        <f>IFERROR(__xludf.DUMMYFUNCTION("GOOGLETRANSLATE(C1368,""en"",""pl"")"),"rtęć")</f>
        <v>rtęć</v>
      </c>
    </row>
    <row r="1369">
      <c r="C1369" s="1" t="s">
        <v>1366</v>
      </c>
      <c r="D1369" s="3" t="str">
        <f>IFERROR(__xludf.DUMMYFUNCTION("GOOGLETRANSLATE(C1369,""en"",""pl"")"),"zamykający")</f>
        <v>zamykający</v>
      </c>
    </row>
    <row r="1370">
      <c r="C1370" s="1" t="s">
        <v>1367</v>
      </c>
      <c r="D1370" s="3" t="str">
        <f>IFERROR(__xludf.DUMMYFUNCTION("GOOGLETRANSLATE(C1370,""en"",""pl"")"),"Edward")</f>
        <v>Edward</v>
      </c>
    </row>
    <row r="1371">
      <c r="C1371" s="1" t="s">
        <v>1368</v>
      </c>
      <c r="D1371" s="3" t="str">
        <f>IFERROR(__xludf.DUMMYFUNCTION("GOOGLETRANSLATE(C1371,""en"",""pl"")"),"Fryderyk")</f>
        <v>Fryderyk</v>
      </c>
    </row>
    <row r="1372">
      <c r="C1372" s="1" t="s">
        <v>1369</v>
      </c>
      <c r="D1372" s="3" t="str">
        <f>IFERROR(__xludf.DUMMYFUNCTION("GOOGLETRANSLATE(C1372,""en"",""pl"")"),"nie lubić")</f>
        <v>nie lubić</v>
      </c>
    </row>
    <row r="1373">
      <c r="C1373" s="1" t="s">
        <v>1370</v>
      </c>
      <c r="D1373" s="3" t="str">
        <f>IFERROR(__xludf.DUMMYFUNCTION("GOOGLETRANSLATE(C1373,""en"",""pl"")"),"stu")</f>
        <v>stu</v>
      </c>
    </row>
    <row r="1374">
      <c r="C1374" s="1" t="s">
        <v>1371</v>
      </c>
      <c r="D1374" s="3" t="str">
        <f>IFERROR(__xludf.DUMMYFUNCTION("GOOGLETRANSLATE(C1374,""en"",""pl"")"),"żebro")</f>
        <v>żebro</v>
      </c>
    </row>
    <row r="1375">
      <c r="C1375" s="1" t="s">
        <v>1372</v>
      </c>
      <c r="D1375" s="3" t="str">
        <f>IFERROR(__xludf.DUMMYFUNCTION("GOOGLETRANSLATE(C1375,""en"",""pl"")"),"Pamela")</f>
        <v>Pamela</v>
      </c>
    </row>
    <row r="1376">
      <c r="C1376" s="1" t="s">
        <v>1373</v>
      </c>
      <c r="D1376" s="3" t="str">
        <f>IFERROR(__xludf.DUMMYFUNCTION("GOOGLETRANSLATE(C1376,""en"",""pl"")"),"klamra")</f>
        <v>klamra</v>
      </c>
    </row>
    <row r="1377">
      <c r="C1377" s="1" t="s">
        <v>1374</v>
      </c>
      <c r="D1377" s="3" t="str">
        <f>IFERROR(__xludf.DUMMYFUNCTION("GOOGLETRANSLATE(C1377,""en"",""pl"")"),"zakaz")</f>
        <v>zakaz</v>
      </c>
    </row>
    <row r="1378">
      <c r="C1378" s="1" t="s">
        <v>1375</v>
      </c>
      <c r="D1378" s="3" t="str">
        <f>IFERROR(__xludf.DUMMYFUNCTION("GOOGLETRANSLATE(C1378,""en"",""pl"")"),"dziękuję")</f>
        <v>dziękuję</v>
      </c>
    </row>
    <row r="1379">
      <c r="C1379" s="1" t="s">
        <v>1376</v>
      </c>
      <c r="D1379" s="3" t="str">
        <f>IFERROR(__xludf.DUMMYFUNCTION("GOOGLETRANSLATE(C1379,""en"",""pl"")"),"szwy")</f>
        <v>szwy</v>
      </c>
    </row>
    <row r="1380">
      <c r="C1380" s="1" t="s">
        <v>1377</v>
      </c>
      <c r="D1380" s="3" t="str">
        <f>IFERROR(__xludf.DUMMYFUNCTION("GOOGLETRANSLATE(C1380,""en"",""pl"")"),"pchnięcie")</f>
        <v>pchnięcie</v>
      </c>
    </row>
    <row r="1381">
      <c r="C1381" s="1" t="s">
        <v>1378</v>
      </c>
      <c r="D1381" s="3" t="str">
        <f>IFERROR(__xludf.DUMMYFUNCTION("GOOGLETRANSLATE(C1381,""en"",""pl"")"),"odniesiono się")</f>
        <v>odniesiono się</v>
      </c>
    </row>
    <row r="1382">
      <c r="C1382" s="1" t="s">
        <v>1379</v>
      </c>
      <c r="D1382" s="3" t="str">
        <f>IFERROR(__xludf.DUMMYFUNCTION("GOOGLETRANSLATE(C1382,""en"",""pl"")"),"osiągnięcie")</f>
        <v>osiągnięcie</v>
      </c>
    </row>
    <row r="1383">
      <c r="C1383" s="1" t="s">
        <v>1380</v>
      </c>
      <c r="D1383" s="3" t="str">
        <f>IFERROR(__xludf.DUMMYFUNCTION("GOOGLETRANSLATE(C1383,""en"",""pl"")"),"spinki do mankietów")</f>
        <v>spinki do mankietów</v>
      </c>
    </row>
    <row r="1384">
      <c r="C1384" s="1" t="s">
        <v>1381</v>
      </c>
      <c r="D1384" s="3" t="str">
        <f>IFERROR(__xludf.DUMMYFUNCTION("GOOGLETRANSLATE(C1384,""en"",""pl"")"),"zaprzeczanie")</f>
        <v>zaprzeczanie</v>
      </c>
    </row>
    <row r="1385">
      <c r="C1385" s="1" t="s">
        <v>1382</v>
      </c>
      <c r="D1385" s="3" t="str">
        <f>IFERROR(__xludf.DUMMYFUNCTION("GOOGLETRANSLATE(C1385,""en"",""pl"")"),"klasztor")</f>
        <v>klasztor</v>
      </c>
    </row>
    <row r="1386">
      <c r="C1386" s="1" t="s">
        <v>1383</v>
      </c>
      <c r="D1386" s="3" t="str">
        <f>IFERROR(__xludf.DUMMYFUNCTION("GOOGLETRANSLATE(C1386,""en"",""pl"")"),"nowo")</f>
        <v>nowo</v>
      </c>
    </row>
    <row r="1387">
      <c r="C1387" s="1" t="s">
        <v>1384</v>
      </c>
      <c r="D1387" s="3" t="str">
        <f>IFERROR(__xludf.DUMMYFUNCTION("GOOGLETRANSLATE(C1387,""en"",""pl"")"),"niecierpliwy")</f>
        <v>niecierpliwy</v>
      </c>
    </row>
    <row r="1388">
      <c r="C1388" s="1" t="s">
        <v>1385</v>
      </c>
      <c r="D1388" s="3" t="str">
        <f>IFERROR(__xludf.DUMMYFUNCTION("GOOGLETRANSLATE(C1388,""en"",""pl"")"),"rekrut")</f>
        <v>rekrut</v>
      </c>
    </row>
    <row r="1389">
      <c r="C1389" s="1" t="s">
        <v>1386</v>
      </c>
      <c r="D1389" s="3" t="str">
        <f>IFERROR(__xludf.DUMMYFUNCTION("GOOGLETRANSLATE(C1389,""en"",""pl"")"),"zatopiony")</f>
        <v>zatopiony</v>
      </c>
    </row>
    <row r="1390">
      <c r="C1390" s="1" t="s">
        <v>1387</v>
      </c>
      <c r="D1390" s="3" t="str">
        <f>IFERROR(__xludf.DUMMYFUNCTION("GOOGLETRANSLATE(C1390,""en"",""pl"")"),"ignorancja")</f>
        <v>ignorancja</v>
      </c>
    </row>
    <row r="1391">
      <c r="C1391" s="1" t="s">
        <v>1388</v>
      </c>
      <c r="D1391" s="3" t="str">
        <f>IFERROR(__xludf.DUMMYFUNCTION("GOOGLETRANSLATE(C1391,""en"",""pl"")"),"odurzony")</f>
        <v>odurzony</v>
      </c>
    </row>
    <row r="1392">
      <c r="C1392" s="1" t="s">
        <v>1389</v>
      </c>
      <c r="D1392" s="3" t="str">
        <f>IFERROR(__xludf.DUMMYFUNCTION("GOOGLETRANSLATE(C1392,""en"",""pl"")"),"Przewidziany")</f>
        <v>Przewidziany</v>
      </c>
    </row>
    <row r="1393">
      <c r="C1393" s="1" t="s">
        <v>1390</v>
      </c>
      <c r="D1393" s="3" t="str">
        <f>IFERROR(__xludf.DUMMYFUNCTION("GOOGLETRANSLATE(C1393,""en"",""pl"")"),"Floyd")</f>
        <v>Floyd</v>
      </c>
    </row>
    <row r="1394">
      <c r="C1394" s="1" t="s">
        <v>1391</v>
      </c>
      <c r="D1394" s="3" t="str">
        <f>IFERROR(__xludf.DUMMYFUNCTION("GOOGLETRANSLATE(C1394,""en"",""pl"")"),"twórca")</f>
        <v>twórca</v>
      </c>
    </row>
    <row r="1395">
      <c r="C1395" s="1" t="s">
        <v>1392</v>
      </c>
      <c r="D1395" s="3" t="str">
        <f>IFERROR(__xludf.DUMMYFUNCTION("GOOGLETRANSLATE(C1395,""en"",""pl"")"),"Missisipi")</f>
        <v>Missisipi</v>
      </c>
    </row>
    <row r="1396">
      <c r="C1396" s="1" t="s">
        <v>1393</v>
      </c>
      <c r="D1396" s="3" t="str">
        <f>IFERROR(__xludf.DUMMYFUNCTION("GOOGLETRANSLATE(C1396,""en"",""pl"")"),"cywilizowany")</f>
        <v>cywilizowany</v>
      </c>
    </row>
    <row r="1397">
      <c r="C1397" s="1" t="s">
        <v>1394</v>
      </c>
      <c r="D1397" s="3" t="str">
        <f>IFERROR(__xludf.DUMMYFUNCTION("GOOGLETRANSLATE(C1397,""en"",""pl"")"),"tętnica")</f>
        <v>tętnica</v>
      </c>
    </row>
    <row r="1398">
      <c r="C1398" s="1" t="s">
        <v>1395</v>
      </c>
      <c r="D1398" s="3" t="str">
        <f>IFERROR(__xludf.DUMMYFUNCTION("GOOGLETRANSLATE(C1398,""en"",""pl"")"),"dynamiczny")</f>
        <v>dynamiczny</v>
      </c>
    </row>
    <row r="1399">
      <c r="C1399" s="1" t="s">
        <v>1396</v>
      </c>
      <c r="D1399" s="3" t="str">
        <f>IFERROR(__xludf.DUMMYFUNCTION("GOOGLETRANSLATE(C1399,""en"",""pl"")"),"konkurujący")</f>
        <v>konkurujący</v>
      </c>
    </row>
    <row r="1400">
      <c r="C1400" s="1" t="s">
        <v>1397</v>
      </c>
      <c r="D1400" s="3" t="str">
        <f>IFERROR(__xludf.DUMMYFUNCTION("GOOGLETRANSLATE(C1400,""en"",""pl"")"),"buffy")</f>
        <v>buffy</v>
      </c>
    </row>
    <row r="1401">
      <c r="C1401" s="1" t="s">
        <v>1398</v>
      </c>
      <c r="D1401" s="3" t="str">
        <f>IFERROR(__xludf.DUMMYFUNCTION("GOOGLETRANSLATE(C1401,""en"",""pl"")"),"dystrybucja")</f>
        <v>dystrybucja</v>
      </c>
    </row>
    <row r="1402">
      <c r="C1402" s="1" t="s">
        <v>1399</v>
      </c>
      <c r="D1402" s="3" t="str">
        <f>IFERROR(__xludf.DUMMYFUNCTION("GOOGLETRANSLATE(C1402,""en"",""pl"")"),"Turek")</f>
        <v>Turek</v>
      </c>
    </row>
    <row r="1403">
      <c r="C1403" s="1" t="s">
        <v>1400</v>
      </c>
      <c r="D1403" s="3" t="str">
        <f>IFERROR(__xludf.DUMMYFUNCTION("GOOGLETRANSLATE(C1403,""en"",""pl"")"),"lektor")</f>
        <v>lektor</v>
      </c>
    </row>
    <row r="1404">
      <c r="C1404" s="1" t="s">
        <v>1401</v>
      </c>
      <c r="D1404" s="3" t="str">
        <f>IFERROR(__xludf.DUMMYFUNCTION("GOOGLETRANSLATE(C1404,""en"",""pl"")"),"stereofoniczny")</f>
        <v>stereofoniczny</v>
      </c>
    </row>
    <row r="1405">
      <c r="C1405" s="1" t="s">
        <v>1402</v>
      </c>
      <c r="D1405" s="3" t="str">
        <f>IFERROR(__xludf.DUMMYFUNCTION("GOOGLETRANSLATE(C1405,""en"",""pl"")"),"Etel")</f>
        <v>Etel</v>
      </c>
    </row>
    <row r="1406">
      <c r="C1406" s="1" t="s">
        <v>1403</v>
      </c>
      <c r="D1406" s="3" t="str">
        <f>IFERROR(__xludf.DUMMYFUNCTION("GOOGLETRANSLATE(C1406,""en"",""pl"")"),"arka")</f>
        <v>arka</v>
      </c>
    </row>
    <row r="1407">
      <c r="C1407" s="1" t="s">
        <v>1404</v>
      </c>
      <c r="D1407" s="3" t="str">
        <f>IFERROR(__xludf.DUMMYFUNCTION("GOOGLETRANSLATE(C1407,""en"",""pl"")"),"stolarz")</f>
        <v>stolarz</v>
      </c>
    </row>
    <row r="1408">
      <c r="C1408" s="1" t="s">
        <v>1405</v>
      </c>
      <c r="D1408" s="3" t="str">
        <f>IFERROR(__xludf.DUMMYFUNCTION("GOOGLETRANSLATE(C1408,""en"",""pl"")"),"To.")</f>
        <v>To.</v>
      </c>
    </row>
    <row r="1409">
      <c r="C1409" s="1" t="s">
        <v>1406</v>
      </c>
      <c r="D1409" s="3" t="str">
        <f>IFERROR(__xludf.DUMMYFUNCTION("GOOGLETRANSLATE(C1409,""en"",""pl"")"),"warner")</f>
        <v>warner</v>
      </c>
    </row>
    <row r="1410">
      <c r="C1410" s="1" t="s">
        <v>1407</v>
      </c>
      <c r="D1410" s="3" t="str">
        <f>IFERROR(__xludf.DUMMYFUNCTION("GOOGLETRANSLATE(C1410,""en"",""pl"")"),"branże")</f>
        <v>branże</v>
      </c>
    </row>
    <row r="1411">
      <c r="C1411" s="1" t="s">
        <v>1408</v>
      </c>
      <c r="D1411" s="3" t="str">
        <f>IFERROR(__xludf.DUMMYFUNCTION("GOOGLETRANSLATE(C1411,""en"",""pl"")"),"stopiony")</f>
        <v>stopiony</v>
      </c>
    </row>
    <row r="1412">
      <c r="C1412" s="1" t="s">
        <v>1409</v>
      </c>
      <c r="D1412" s="3" t="str">
        <f>IFERROR(__xludf.DUMMYFUNCTION("GOOGLETRANSLATE(C1412,""en"",""pl"")"),"niepokojący")</f>
        <v>niepokojący</v>
      </c>
    </row>
    <row r="1413">
      <c r="C1413" s="1" t="s">
        <v>1410</v>
      </c>
      <c r="D1413" s="3" t="str">
        <f>IFERROR(__xludf.DUMMYFUNCTION("GOOGLETRANSLATE(C1413,""en"",""pl"")"),"cruz")</f>
        <v>cruz</v>
      </c>
    </row>
    <row r="1414">
      <c r="C1414" s="1" t="s">
        <v>1411</v>
      </c>
      <c r="D1414" s="3" t="str">
        <f>IFERROR(__xludf.DUMMYFUNCTION("GOOGLETRANSLATE(C1414,""en"",""pl"")"),"laboratoria")</f>
        <v>laboratoria</v>
      </c>
    </row>
    <row r="1415">
      <c r="C1415" s="1" t="s">
        <v>1412</v>
      </c>
      <c r="D1415" s="3" t="str">
        <f>IFERROR(__xludf.DUMMYFUNCTION("GOOGLETRANSLATE(C1415,""en"",""pl"")"),"urwisko")</f>
        <v>urwisko</v>
      </c>
    </row>
    <row r="1416">
      <c r="C1416" s="1" t="s">
        <v>1413</v>
      </c>
      <c r="D1416" s="3" t="str">
        <f>IFERROR(__xludf.DUMMYFUNCTION("GOOGLETRANSLATE(C1416,""en"",""pl"")"),"giętarka")</f>
        <v>giętarka</v>
      </c>
    </row>
    <row r="1417">
      <c r="C1417" s="1" t="s">
        <v>1414</v>
      </c>
      <c r="D1417" s="3" t="str">
        <f>IFERROR(__xludf.DUMMYFUNCTION("GOOGLETRANSLATE(C1417,""en"",""pl"")"),"nie do zniesienia")</f>
        <v>nie do zniesienia</v>
      </c>
    </row>
    <row r="1418">
      <c r="C1418" s="1" t="s">
        <v>1415</v>
      </c>
      <c r="D1418" s="3" t="str">
        <f>IFERROR(__xludf.DUMMYFUNCTION("GOOGLETRANSLATE(C1418,""en"",""pl"")"),"Narkotyki")</f>
        <v>Narkotyki</v>
      </c>
    </row>
    <row r="1419">
      <c r="C1419" s="1" t="s">
        <v>1416</v>
      </c>
      <c r="D1419" s="3" t="str">
        <f>IFERROR(__xludf.DUMMYFUNCTION("GOOGLETRANSLATE(C1419,""en"",""pl"")"),"soczysty")</f>
        <v>soczysty</v>
      </c>
    </row>
    <row r="1420">
      <c r="C1420" s="1" t="s">
        <v>1417</v>
      </c>
      <c r="D1420" s="3" t="str">
        <f>IFERROR(__xludf.DUMMYFUNCTION("GOOGLETRANSLATE(C1420,""en"",""pl"")"),"niesamowity")</f>
        <v>niesamowity</v>
      </c>
    </row>
    <row r="1421">
      <c r="C1421" s="1" t="s">
        <v>1418</v>
      </c>
      <c r="D1421" s="3" t="str">
        <f>IFERROR(__xludf.DUMMYFUNCTION("GOOGLETRANSLATE(C1421,""en"",""pl"")"),"wtrącać")</f>
        <v>wtrącać</v>
      </c>
    </row>
    <row r="1422">
      <c r="C1422" s="1" t="s">
        <v>1419</v>
      </c>
      <c r="D1422" s="3" t="str">
        <f>IFERROR(__xludf.DUMMYFUNCTION("GOOGLETRANSLATE(C1422,""en"",""pl"")"),"mwah")</f>
        <v>mwah</v>
      </c>
    </row>
    <row r="1423">
      <c r="C1423" s="1" t="s">
        <v>1420</v>
      </c>
      <c r="D1423" s="3" t="str">
        <f>IFERROR(__xludf.DUMMYFUNCTION("GOOGLETRANSLATE(C1423,""en"",""pl"")"),"kapcie")</f>
        <v>kapcie</v>
      </c>
    </row>
    <row r="1424">
      <c r="C1424" s="1" t="s">
        <v>1421</v>
      </c>
      <c r="D1424" s="3" t="str">
        <f>IFERROR(__xludf.DUMMYFUNCTION("GOOGLETRANSLATE(C1424,""en"",""pl"")"),"dziwaczny")</f>
        <v>dziwaczny</v>
      </c>
    </row>
    <row r="1425">
      <c r="C1425" s="1" t="s">
        <v>1422</v>
      </c>
      <c r="D1425" s="3" t="str">
        <f>IFERROR(__xludf.DUMMYFUNCTION("GOOGLETRANSLATE(C1425,""en"",""pl"")"),"VIP-y")</f>
        <v>VIP-y</v>
      </c>
    </row>
    <row r="1426">
      <c r="C1426" s="1" t="s">
        <v>1423</v>
      </c>
      <c r="D1426" s="3" t="str">
        <f>IFERROR(__xludf.DUMMYFUNCTION("GOOGLETRANSLATE(C1426,""en"",""pl"")"),"stado")</f>
        <v>stado</v>
      </c>
    </row>
    <row r="1427">
      <c r="C1427" s="1" t="s">
        <v>1424</v>
      </c>
      <c r="D1427" s="3" t="str">
        <f>IFERROR(__xludf.DUMMYFUNCTION("GOOGLETRANSLATE(C1427,""en"",""pl"")"),"ślady stóp")</f>
        <v>ślady stóp</v>
      </c>
    </row>
    <row r="1428">
      <c r="C1428" s="1" t="s">
        <v>1425</v>
      </c>
      <c r="D1428" s="3" t="str">
        <f>IFERROR(__xludf.DUMMYFUNCTION("GOOGLETRANSLATE(C1428,""en"",""pl"")"),"danie")</f>
        <v>danie</v>
      </c>
    </row>
    <row r="1429">
      <c r="C1429" s="1" t="s">
        <v>1426</v>
      </c>
      <c r="D1429" s="3" t="str">
        <f>IFERROR(__xludf.DUMMYFUNCTION("GOOGLETRANSLATE(C1429,""en"",""pl"")"),"pakt")</f>
        <v>pakt</v>
      </c>
    </row>
    <row r="1430">
      <c r="C1430" s="1" t="s">
        <v>1427</v>
      </c>
      <c r="D1430" s="3" t="str">
        <f>IFERROR(__xludf.DUMMYFUNCTION("GOOGLETRANSLATE(C1430,""en"",""pl"")"),"pozorny")</f>
        <v>pozorny</v>
      </c>
    </row>
    <row r="1431">
      <c r="C1431" s="1" t="s">
        <v>1428</v>
      </c>
      <c r="D1431" s="3" t="str">
        <f>IFERROR(__xludf.DUMMYFUNCTION("GOOGLETRANSLATE(C1431,""en"",""pl"")"),"powtarzający się")</f>
        <v>powtarzający się</v>
      </c>
    </row>
    <row r="1432">
      <c r="C1432" s="1" t="s">
        <v>1429</v>
      </c>
      <c r="D1432" s="3" t="str">
        <f>IFERROR(__xludf.DUMMYFUNCTION("GOOGLETRANSLATE(C1432,""en"",""pl"")"),"cudzoziemiec")</f>
        <v>cudzoziemiec</v>
      </c>
    </row>
    <row r="1433">
      <c r="C1433" s="1" t="s">
        <v>1430</v>
      </c>
      <c r="D1433" s="3" t="str">
        <f>IFERROR(__xludf.DUMMYFUNCTION("GOOGLETRANSLATE(C1433,""en"",""pl"")"),"czuć")</f>
        <v>czuć</v>
      </c>
    </row>
    <row r="1434">
      <c r="C1434" s="1" t="s">
        <v>1431</v>
      </c>
      <c r="D1434" s="3" t="str">
        <f>IFERROR(__xludf.DUMMYFUNCTION("GOOGLETRANSLATE(C1434,""en"",""pl"")"),"dziennikarze")</f>
        <v>dziennikarze</v>
      </c>
    </row>
    <row r="1435">
      <c r="C1435" s="1" t="s">
        <v>1432</v>
      </c>
      <c r="D1435" s="3" t="str">
        <f>IFERROR(__xludf.DUMMYFUNCTION("GOOGLETRANSLATE(C1435,""en"",""pl"")"),"pracodawca")</f>
        <v>pracodawca</v>
      </c>
    </row>
    <row r="1436">
      <c r="C1436" s="1" t="s">
        <v>1433</v>
      </c>
      <c r="D1436" s="3" t="str">
        <f>IFERROR(__xludf.DUMMYFUNCTION("GOOGLETRANSLATE(C1436,""en"",""pl"")"),"Penelopa")</f>
        <v>Penelopa</v>
      </c>
    </row>
    <row r="1437">
      <c r="C1437" s="1" t="s">
        <v>1434</v>
      </c>
      <c r="D1437" s="3" t="str">
        <f>IFERROR(__xludf.DUMMYFUNCTION("GOOGLETRANSLATE(C1437,""en"",""pl"")"),"ponury")</f>
        <v>ponury</v>
      </c>
    </row>
    <row r="1438">
      <c r="C1438" s="1" t="s">
        <v>1435</v>
      </c>
      <c r="D1438" s="3" t="str">
        <f>IFERROR(__xludf.DUMMYFUNCTION("GOOGLETRANSLATE(C1438,""en"",""pl"")"),"średniowieczny")</f>
        <v>średniowieczny</v>
      </c>
    </row>
    <row r="1439">
      <c r="C1439" s="1" t="s">
        <v>1436</v>
      </c>
      <c r="D1439" s="3" t="str">
        <f>IFERROR(__xludf.DUMMYFUNCTION("GOOGLETRANSLATE(C1439,""en"",""pl"")"),"Damian")</f>
        <v>Damian</v>
      </c>
    </row>
    <row r="1440">
      <c r="C1440" s="1" t="s">
        <v>1437</v>
      </c>
      <c r="D1440" s="3" t="str">
        <f>IFERROR(__xludf.DUMMYFUNCTION("GOOGLETRANSLATE(C1440,""en"",""pl"")"),"denerwujący")</f>
        <v>denerwujący</v>
      </c>
    </row>
    <row r="1441">
      <c r="C1441" s="1" t="s">
        <v>1438</v>
      </c>
      <c r="D1441" s="3" t="str">
        <f>IFERROR(__xludf.DUMMYFUNCTION("GOOGLETRANSLATE(C1441,""en"",""pl"")"),"odbywać próby")</f>
        <v>odbywać próby</v>
      </c>
    </row>
    <row r="1442">
      <c r="C1442" s="1" t="s">
        <v>1439</v>
      </c>
      <c r="D1442" s="3" t="str">
        <f>IFERROR(__xludf.DUMMYFUNCTION("GOOGLETRANSLATE(C1442,""en"",""pl"")"),"bywały")</f>
        <v>bywały</v>
      </c>
    </row>
    <row r="1443">
      <c r="C1443" s="1" t="s">
        <v>1440</v>
      </c>
      <c r="D1443" s="3" t="str">
        <f>IFERROR(__xludf.DUMMYFUNCTION("GOOGLETRANSLATE(C1443,""en"",""pl"")"),"przygotowanie")</f>
        <v>przygotowanie</v>
      </c>
    </row>
    <row r="1444">
      <c r="C1444" s="1" t="s">
        <v>1441</v>
      </c>
      <c r="D1444" s="3" t="str">
        <f>IFERROR(__xludf.DUMMYFUNCTION("GOOGLETRANSLATE(C1444,""en"",""pl"")"),"mikrofalowy")</f>
        <v>mikrofalowy</v>
      </c>
    </row>
    <row r="1445">
      <c r="C1445" s="1" t="s">
        <v>1442</v>
      </c>
      <c r="D1445" s="3" t="str">
        <f>IFERROR(__xludf.DUMMYFUNCTION("GOOGLETRANSLATE(C1445,""en"",""pl"")"),"odmowa")</f>
        <v>odmowa</v>
      </c>
    </row>
    <row r="1446">
      <c r="C1446" s="1" t="s">
        <v>1443</v>
      </c>
      <c r="D1446" s="3" t="str">
        <f>IFERROR(__xludf.DUMMYFUNCTION("GOOGLETRANSLATE(C1446,""en"",""pl"")"),"flet")</f>
        <v>flet</v>
      </c>
    </row>
    <row r="1447">
      <c r="C1447" s="1" t="s">
        <v>1444</v>
      </c>
      <c r="D1447" s="3" t="str">
        <f>IFERROR(__xludf.DUMMYFUNCTION("GOOGLETRANSLATE(C1447,""en"",""pl"")"),"nieletni")</f>
        <v>nieletni</v>
      </c>
    </row>
    <row r="1448">
      <c r="C1448" s="1" t="s">
        <v>1445</v>
      </c>
      <c r="D1448" s="3" t="str">
        <f>IFERROR(__xludf.DUMMYFUNCTION("GOOGLETRANSLATE(C1448,""en"",""pl"")"),"ryż")</f>
        <v>ryż</v>
      </c>
    </row>
    <row r="1449">
      <c r="C1449" s="1" t="s">
        <v>1446</v>
      </c>
      <c r="D1449" s="3" t="str">
        <f>IFERROR(__xludf.DUMMYFUNCTION("GOOGLETRANSLATE(C1449,""en"",""pl"")"),"niedorozwinięty")</f>
        <v>niedorozwinięty</v>
      </c>
    </row>
    <row r="1450">
      <c r="C1450" s="1" t="s">
        <v>1447</v>
      </c>
      <c r="D1450" s="3" t="str">
        <f>IFERROR(__xludf.DUMMYFUNCTION("GOOGLETRANSLATE(C1450,""en"",""pl"")"),"notatka")</f>
        <v>notatka</v>
      </c>
    </row>
    <row r="1451">
      <c r="C1451" s="1" t="s">
        <v>1448</v>
      </c>
      <c r="D1451" s="3" t="str">
        <f>IFERROR(__xludf.DUMMYFUNCTION("GOOGLETRANSLATE(C1451,""en"",""pl"")"),"płótno")</f>
        <v>płótno</v>
      </c>
    </row>
    <row r="1452">
      <c r="C1452" s="1" t="s">
        <v>1449</v>
      </c>
      <c r="D1452" s="3" t="str">
        <f>IFERROR(__xludf.DUMMYFUNCTION("GOOGLETRANSLATE(C1452,""en"",""pl"")"),"fa")</f>
        <v>fa</v>
      </c>
    </row>
    <row r="1453">
      <c r="C1453" s="1" t="s">
        <v>1450</v>
      </c>
      <c r="D1453" s="3" t="str">
        <f>IFERROR(__xludf.DUMMYFUNCTION("GOOGLETRANSLATE(C1453,""en"",""pl"")"),"i-i")</f>
        <v>i-i</v>
      </c>
    </row>
    <row r="1454">
      <c r="C1454" s="1" t="s">
        <v>1451</v>
      </c>
      <c r="D1454" s="3" t="str">
        <f>IFERROR(__xludf.DUMMYFUNCTION("GOOGLETRANSLATE(C1454,""en"",""pl"")"),"symbolika")</f>
        <v>symbolika</v>
      </c>
    </row>
    <row r="1455">
      <c r="C1455" s="1" t="s">
        <v>1452</v>
      </c>
      <c r="D1455" s="3" t="str">
        <f>IFERROR(__xludf.DUMMYFUNCTION("GOOGLETRANSLATE(C1455,""en"",""pl"")"),"mccoy")</f>
        <v>mccoy</v>
      </c>
    </row>
    <row r="1456">
      <c r="C1456" s="1" t="s">
        <v>1453</v>
      </c>
      <c r="D1456" s="3" t="str">
        <f>IFERROR(__xludf.DUMMYFUNCTION("GOOGLETRANSLATE(C1456,""en"",""pl"")"),"dzień")</f>
        <v>dzień</v>
      </c>
    </row>
    <row r="1457">
      <c r="C1457" s="1" t="s">
        <v>1454</v>
      </c>
      <c r="D1457" s="3" t="str">
        <f>IFERROR(__xludf.DUMMYFUNCTION("GOOGLETRANSLATE(C1457,""en"",""pl"")"),"podjazd")</f>
        <v>podjazd</v>
      </c>
    </row>
    <row r="1458">
      <c r="C1458" s="1" t="s">
        <v>1455</v>
      </c>
      <c r="D1458" s="3" t="str">
        <f>IFERROR(__xludf.DUMMYFUNCTION("GOOGLETRANSLATE(C1458,""en"",""pl"")"),"tchórzliwy")</f>
        <v>tchórzliwy</v>
      </c>
    </row>
    <row r="1459">
      <c r="C1459" s="1" t="s">
        <v>1456</v>
      </c>
      <c r="D1459" s="3" t="str">
        <f>IFERROR(__xludf.DUMMYFUNCTION("GOOGLETRANSLATE(C1459,""en"",""pl"")"),"kotek")</f>
        <v>kotek</v>
      </c>
    </row>
    <row r="1460">
      <c r="C1460" s="1" t="s">
        <v>1457</v>
      </c>
      <c r="D1460" s="3" t="str">
        <f>IFERROR(__xludf.DUMMYFUNCTION("GOOGLETRANSLATE(C1460,""en"",""pl"")"),"najfajniejszy")</f>
        <v>najfajniejszy</v>
      </c>
    </row>
    <row r="1461">
      <c r="C1461" s="1" t="s">
        <v>1458</v>
      </c>
      <c r="D1461" s="3" t="str">
        <f>IFERROR(__xludf.DUMMYFUNCTION("GOOGLETRANSLATE(C1461,""en"",""pl"")"),"zwodzić")</f>
        <v>zwodzić</v>
      </c>
    </row>
    <row r="1462">
      <c r="C1462" s="1" t="s">
        <v>1459</v>
      </c>
      <c r="D1462" s="3" t="str">
        <f>IFERROR(__xludf.DUMMYFUNCTION("GOOGLETRANSLATE(C1462,""en"",""pl"")"),"Murzyn")</f>
        <v>Murzyn</v>
      </c>
    </row>
    <row r="1463">
      <c r="C1463" s="1" t="s">
        <v>1460</v>
      </c>
      <c r="D1463" s="3" t="str">
        <f>IFERROR(__xludf.DUMMYFUNCTION("GOOGLETRANSLATE(C1463,""en"",""pl"")"),"krojony")</f>
        <v>krojony</v>
      </c>
    </row>
    <row r="1464">
      <c r="C1464" s="1" t="s">
        <v>1461</v>
      </c>
      <c r="D1464" s="3" t="str">
        <f>IFERROR(__xludf.DUMMYFUNCTION("GOOGLETRANSLATE(C1464,""en"",""pl"")"),"konsultant")</f>
        <v>konsultant</v>
      </c>
    </row>
    <row r="1465">
      <c r="C1465" s="1" t="s">
        <v>1462</v>
      </c>
      <c r="D1465" s="3" t="str">
        <f>IFERROR(__xludf.DUMMYFUNCTION("GOOGLETRANSLATE(C1465,""en"",""pl"")"),"karabiny")</f>
        <v>karabiny</v>
      </c>
    </row>
    <row r="1466">
      <c r="C1466" s="1" t="s">
        <v>1463</v>
      </c>
      <c r="D1466" s="3" t="str">
        <f>IFERROR(__xludf.DUMMYFUNCTION("GOOGLETRANSLATE(C1466,""en"",""pl"")"),"ogrzewanie")</f>
        <v>ogrzewanie</v>
      </c>
    </row>
    <row r="1467">
      <c r="C1467" s="1" t="s">
        <v>1464</v>
      </c>
      <c r="D1467" s="3" t="str">
        <f>IFERROR(__xludf.DUMMYFUNCTION("GOOGLETRANSLATE(C1467,""en"",""pl"")"),"promienie")</f>
        <v>promienie</v>
      </c>
    </row>
    <row r="1468">
      <c r="C1468" s="1" t="s">
        <v>1465</v>
      </c>
      <c r="D1468" s="3" t="str">
        <f>IFERROR(__xludf.DUMMYFUNCTION("GOOGLETRANSLATE(C1468,""en"",""pl"")"),"architektura")</f>
        <v>architektura</v>
      </c>
    </row>
    <row r="1469">
      <c r="C1469" s="1" t="s">
        <v>1466</v>
      </c>
      <c r="D1469" s="3" t="str">
        <f>IFERROR(__xludf.DUMMYFUNCTION("GOOGLETRANSLATE(C1469,""en"",""pl"")"),"Gideon")</f>
        <v>Gideon</v>
      </c>
    </row>
    <row r="1470">
      <c r="C1470" s="1" t="s">
        <v>1467</v>
      </c>
      <c r="D1470" s="3" t="str">
        <f>IFERROR(__xludf.DUMMYFUNCTION("GOOGLETRANSLATE(C1470,""en"",""pl"")"),"lesbijka")</f>
        <v>lesbijka</v>
      </c>
    </row>
    <row r="1471">
      <c r="C1471" s="1" t="s">
        <v>1468</v>
      </c>
      <c r="D1471" s="3" t="str">
        <f>IFERROR(__xludf.DUMMYFUNCTION("GOOGLETRANSLATE(C1471,""en"",""pl"")"),"grzałka")</f>
        <v>grzałka</v>
      </c>
    </row>
    <row r="1472">
      <c r="C1472" s="1" t="s">
        <v>1469</v>
      </c>
      <c r="D1472" s="3" t="str">
        <f>IFERROR(__xludf.DUMMYFUNCTION("GOOGLETRANSLATE(C1472,""en"",""pl"")"),"składka")</f>
        <v>składka</v>
      </c>
    </row>
    <row r="1473">
      <c r="C1473" s="1" t="s">
        <v>1470</v>
      </c>
      <c r="D1473" s="3" t="str">
        <f>IFERROR(__xludf.DUMMYFUNCTION("GOOGLETRANSLATE(C1473,""en"",""pl"")"),"doradca")</f>
        <v>doradca</v>
      </c>
    </row>
    <row r="1474">
      <c r="C1474" s="1" t="s">
        <v>1471</v>
      </c>
      <c r="D1474" s="3" t="str">
        <f>IFERROR(__xludf.DUMMYFUNCTION("GOOGLETRANSLATE(C1474,""en"",""pl"")"),"ludzie")</f>
        <v>ludzie</v>
      </c>
    </row>
    <row r="1475">
      <c r="C1475" s="1" t="s">
        <v>1472</v>
      </c>
      <c r="D1475" s="3" t="str">
        <f>IFERROR(__xludf.DUMMYFUNCTION("GOOGLETRANSLATE(C1475,""en"",""pl"")"),"artykuły spożywcze")</f>
        <v>artykuły spożywcze</v>
      </c>
    </row>
    <row r="1476">
      <c r="C1476" s="1" t="s">
        <v>1473</v>
      </c>
      <c r="D1476" s="3" t="str">
        <f>IFERROR(__xludf.DUMMYFUNCTION("GOOGLETRANSLATE(C1476,""en"",""pl"")"),"zachowywał się")</f>
        <v>zachowywał się</v>
      </c>
    </row>
    <row r="1477">
      <c r="C1477" s="1" t="s">
        <v>1474</v>
      </c>
      <c r="D1477" s="3" t="str">
        <f>IFERROR(__xludf.DUMMYFUNCTION("GOOGLETRANSLATE(C1477,""en"",""pl"")"),"doświadczać")</f>
        <v>doświadczać</v>
      </c>
    </row>
    <row r="1478">
      <c r="C1478" s="1" t="s">
        <v>1475</v>
      </c>
      <c r="D1478" s="3" t="str">
        <f>IFERROR(__xludf.DUMMYFUNCTION("GOOGLETRANSLATE(C1478,""en"",""pl"")"),"Ty")</f>
        <v>Ty</v>
      </c>
    </row>
    <row r="1479">
      <c r="C1479" s="1" t="s">
        <v>1476</v>
      </c>
      <c r="D1479" s="3" t="str">
        <f>IFERROR(__xludf.DUMMYFUNCTION("GOOGLETRANSLATE(C1479,""en"",""pl"")"),"utknięcie")</f>
        <v>utknięcie</v>
      </c>
    </row>
    <row r="1480">
      <c r="C1480" s="1" t="s">
        <v>1477</v>
      </c>
      <c r="D1480" s="3" t="str">
        <f>IFERROR(__xludf.DUMMYFUNCTION("GOOGLETRANSLATE(C1480,""en"",""pl"")"),"ciągnik")</f>
        <v>ciągnik</v>
      </c>
    </row>
    <row r="1481">
      <c r="C1481" s="1" t="s">
        <v>1478</v>
      </c>
      <c r="D1481" s="3" t="str">
        <f>IFERROR(__xludf.DUMMYFUNCTION("GOOGLETRANSLATE(C1481,""en"",""pl"")"),"gorszący")</f>
        <v>gorszący</v>
      </c>
    </row>
    <row r="1482">
      <c r="C1482" s="1" t="s">
        <v>1479</v>
      </c>
      <c r="D1482" s="3" t="str">
        <f>IFERROR(__xludf.DUMMYFUNCTION("GOOGLETRANSLATE(C1482,""en"",""pl"")"),"naśladowanie")</f>
        <v>naśladowanie</v>
      </c>
    </row>
    <row r="1483">
      <c r="C1483" s="1" t="s">
        <v>1480</v>
      </c>
      <c r="D1483" s="3" t="str">
        <f>IFERROR(__xludf.DUMMYFUNCTION("GOOGLETRANSLATE(C1483,""en"",""pl"")"),"eskadra")</f>
        <v>eskadra</v>
      </c>
    </row>
    <row r="1484">
      <c r="C1484" s="1" t="s">
        <v>1481</v>
      </c>
      <c r="D1484" s="3" t="str">
        <f>IFERROR(__xludf.DUMMYFUNCTION("GOOGLETRANSLATE(C1484,""en"",""pl"")"),"brygady")</f>
        <v>brygady</v>
      </c>
    </row>
    <row r="1485">
      <c r="C1485" s="1" t="s">
        <v>1482</v>
      </c>
      <c r="D1485" s="3" t="str">
        <f>IFERROR(__xludf.DUMMYFUNCTION("GOOGLETRANSLATE(C1485,""en"",""pl"")"),"najmniejszy")</f>
        <v>najmniejszy</v>
      </c>
    </row>
    <row r="1486">
      <c r="C1486" s="1" t="s">
        <v>1483</v>
      </c>
      <c r="D1486" s="3" t="str">
        <f>IFERROR(__xludf.DUMMYFUNCTION("GOOGLETRANSLATE(C1486,""en"",""pl"")"),"etyka")</f>
        <v>etyka</v>
      </c>
    </row>
    <row r="1487">
      <c r="C1487" s="1" t="s">
        <v>1484</v>
      </c>
      <c r="D1487" s="3" t="str">
        <f>IFERROR(__xludf.DUMMYFUNCTION("GOOGLETRANSLATE(C1487,""en"",""pl"")"),"gibson")</f>
        <v>gibson</v>
      </c>
    </row>
    <row r="1488">
      <c r="C1488" s="1" t="s">
        <v>1485</v>
      </c>
      <c r="D1488" s="3" t="str">
        <f>IFERROR(__xludf.DUMMYFUNCTION("GOOGLETRANSLATE(C1488,""en"",""pl"")"),"oddanie")</f>
        <v>oddanie</v>
      </c>
    </row>
    <row r="1489">
      <c r="C1489" s="1" t="s">
        <v>1486</v>
      </c>
      <c r="D1489" s="3" t="str">
        <f>IFERROR(__xludf.DUMMYFUNCTION("GOOGLETRANSLATE(C1489,""en"",""pl"")"),"hydraulik")</f>
        <v>hydraulik</v>
      </c>
    </row>
    <row r="1490">
      <c r="C1490" s="1" t="s">
        <v>1487</v>
      </c>
      <c r="D1490" s="3" t="str">
        <f>IFERROR(__xludf.DUMMYFUNCTION("GOOGLETRANSLATE(C1490,""en"",""pl"")"),"burgery")</f>
        <v>burgery</v>
      </c>
    </row>
    <row r="1491">
      <c r="C1491" s="1" t="s">
        <v>1488</v>
      </c>
      <c r="D1491" s="3" t="str">
        <f>IFERROR(__xludf.DUMMYFUNCTION("GOOGLETRANSLATE(C1491,""en"",""pl"")"),"węzły")</f>
        <v>węzły</v>
      </c>
    </row>
    <row r="1492">
      <c r="C1492" s="1" t="s">
        <v>1489</v>
      </c>
      <c r="D1492" s="3" t="str">
        <f>IFERROR(__xludf.DUMMYFUNCTION("GOOGLETRANSLATE(C1492,""en"",""pl"")"),"miotła")</f>
        <v>miotła</v>
      </c>
    </row>
    <row r="1493">
      <c r="C1493" s="1" t="s">
        <v>1490</v>
      </c>
      <c r="D1493" s="3" t="str">
        <f>IFERROR(__xludf.DUMMYFUNCTION("GOOGLETRANSLATE(C1493,""en"",""pl"")"),"odprawa")</f>
        <v>odprawa</v>
      </c>
    </row>
    <row r="1494">
      <c r="C1494" s="1" t="s">
        <v>1491</v>
      </c>
      <c r="D1494" s="3" t="str">
        <f>IFERROR(__xludf.DUMMYFUNCTION("GOOGLETRANSLATE(C1494,""en"",""pl"")"),"krzywa")</f>
        <v>krzywa</v>
      </c>
    </row>
    <row r="1495">
      <c r="C1495" s="1" t="s">
        <v>1492</v>
      </c>
      <c r="D1495" s="3" t="str">
        <f>IFERROR(__xludf.DUMMYFUNCTION("GOOGLETRANSLATE(C1495,""en"",""pl"")"),"informator")</f>
        <v>informator</v>
      </c>
    </row>
    <row r="1496">
      <c r="C1496" s="1" t="s">
        <v>1493</v>
      </c>
      <c r="D1496" s="3" t="str">
        <f>IFERROR(__xludf.DUMMYFUNCTION("GOOGLETRANSLATE(C1496,""en"",""pl"")"),"oklaskiwać")</f>
        <v>oklaskiwać</v>
      </c>
    </row>
    <row r="1497">
      <c r="C1497" s="1" t="s">
        <v>1494</v>
      </c>
      <c r="D1497" s="3" t="str">
        <f>IFERROR(__xludf.DUMMYFUNCTION("GOOGLETRANSLATE(C1497,""en"",""pl"")"),"upławy")</f>
        <v>upławy</v>
      </c>
    </row>
    <row r="1498">
      <c r="C1498" s="1" t="s">
        <v>1495</v>
      </c>
      <c r="D1498" s="3" t="str">
        <f>IFERROR(__xludf.DUMMYFUNCTION("GOOGLETRANSLATE(C1498,""en"",""pl"")"),"aplikacja")</f>
        <v>aplikacja</v>
      </c>
    </row>
    <row r="1499">
      <c r="C1499" s="1" t="s">
        <v>1496</v>
      </c>
      <c r="D1499" s="3" t="str">
        <f>IFERROR(__xludf.DUMMYFUNCTION("GOOGLETRANSLATE(C1499,""en"",""pl"")"),"Andrzej")</f>
        <v>Andrzej</v>
      </c>
    </row>
    <row r="1500">
      <c r="C1500" s="1" t="s">
        <v>1497</v>
      </c>
      <c r="D1500" s="3" t="str">
        <f>IFERROR(__xludf.DUMMYFUNCTION("GOOGLETRANSLATE(C1500,""en"",""pl"")"),"blog")</f>
        <v>blog</v>
      </c>
    </row>
    <row r="1501">
      <c r="C1501" s="1" t="s">
        <v>1498</v>
      </c>
      <c r="D1501" s="3" t="str">
        <f>IFERROR(__xludf.DUMMYFUNCTION("GOOGLETRANSLATE(C1501,""en"",""pl"")"),"wół")</f>
        <v>wół</v>
      </c>
    </row>
    <row r="1502">
      <c r="C1502" s="1" t="s">
        <v>1499</v>
      </c>
      <c r="D1502" s="3" t="str">
        <f>IFERROR(__xludf.DUMMYFUNCTION("GOOGLETRANSLATE(C1502,""en"",""pl"")"),"wazon")</f>
        <v>wazon</v>
      </c>
    </row>
    <row r="1503">
      <c r="C1503" s="1" t="s">
        <v>1500</v>
      </c>
      <c r="D1503" s="3" t="str">
        <f>IFERROR(__xludf.DUMMYFUNCTION("GOOGLETRANSLATE(C1503,""en"",""pl"")"),"zerknąć")</f>
        <v>zerknąć</v>
      </c>
    </row>
    <row r="1504">
      <c r="C1504" s="1" t="s">
        <v>1501</v>
      </c>
      <c r="D1504" s="3" t="str">
        <f>IFERROR(__xludf.DUMMYFUNCTION("GOOGLETRANSLATE(C1504,""en"",""pl"")"),"kolektyw")</f>
        <v>kolektyw</v>
      </c>
    </row>
    <row r="1505">
      <c r="C1505" s="1" t="s">
        <v>1502</v>
      </c>
      <c r="D1505" s="3" t="str">
        <f>IFERROR(__xludf.DUMMYFUNCTION("GOOGLETRANSLATE(C1505,""en"",""pl"")"),"bieguny")</f>
        <v>bieguny</v>
      </c>
    </row>
    <row r="1506">
      <c r="C1506" s="1" t="s">
        <v>1503</v>
      </c>
      <c r="D1506" s="3" t="str">
        <f>IFERROR(__xludf.DUMMYFUNCTION("GOOGLETRANSLATE(C1506,""en"",""pl"")"),"sześćdziesiąt")</f>
        <v>sześćdziesiąt</v>
      </c>
    </row>
    <row r="1507">
      <c r="C1507" s="1" t="s">
        <v>1504</v>
      </c>
      <c r="D1507" s="3" t="str">
        <f>IFERROR(__xludf.DUMMYFUNCTION("GOOGLETRANSLATE(C1507,""en"",""pl"")"),"fantazje")</f>
        <v>fantazje</v>
      </c>
    </row>
    <row r="1508">
      <c r="C1508" s="1" t="s">
        <v>1505</v>
      </c>
      <c r="D1508" s="3" t="str">
        <f>IFERROR(__xludf.DUMMYFUNCTION("GOOGLETRANSLATE(C1508,""en"",""pl"")"),"dziedzictwo")</f>
        <v>dziedzictwo</v>
      </c>
    </row>
    <row r="1509">
      <c r="C1509" s="1" t="s">
        <v>1506</v>
      </c>
      <c r="D1509" s="3" t="str">
        <f>IFERROR(__xludf.DUMMYFUNCTION("GOOGLETRANSLATE(C1509,""en"",""pl"")"),"kurwa mać")</f>
        <v>kurwa mać</v>
      </c>
    </row>
    <row r="1510">
      <c r="C1510" s="1" t="s">
        <v>1507</v>
      </c>
      <c r="D1510" s="3" t="str">
        <f>IFERROR(__xludf.DUMMYFUNCTION("GOOGLETRANSLATE(C1510,""en"",""pl"")"),"rybak")</f>
        <v>rybak</v>
      </c>
    </row>
    <row r="1511">
      <c r="C1511" s="1" t="s">
        <v>1508</v>
      </c>
      <c r="D1511" s="3" t="str">
        <f>IFERROR(__xludf.DUMMYFUNCTION("GOOGLETRANSLATE(C1511,""en"",""pl"")"),"Armstrong")</f>
        <v>Armstrong</v>
      </c>
    </row>
    <row r="1512">
      <c r="C1512" s="1" t="s">
        <v>1509</v>
      </c>
      <c r="D1512" s="3" t="str">
        <f>IFERROR(__xludf.DUMMYFUNCTION("GOOGLETRANSLATE(C1512,""en"",""pl"")"),"pod")</f>
        <v>pod</v>
      </c>
    </row>
    <row r="1513">
      <c r="C1513" s="1" t="s">
        <v>1510</v>
      </c>
      <c r="D1513" s="3" t="str">
        <f>IFERROR(__xludf.DUMMYFUNCTION("GOOGLETRANSLATE(C1513,""en"",""pl"")"),"poskarżył się")</f>
        <v>poskarżył się</v>
      </c>
    </row>
    <row r="1514">
      <c r="C1514" s="1" t="s">
        <v>1511</v>
      </c>
      <c r="D1514" s="3" t="str">
        <f>IFERROR(__xludf.DUMMYFUNCTION("GOOGLETRANSLATE(C1514,""en"",""pl"")"),"klub nocny")</f>
        <v>klub nocny</v>
      </c>
    </row>
    <row r="1515">
      <c r="C1515" s="1" t="s">
        <v>1512</v>
      </c>
      <c r="D1515" s="3" t="str">
        <f>IFERROR(__xludf.DUMMYFUNCTION("GOOGLETRANSLATE(C1515,""en"",""pl"")"),"wierzba")</f>
        <v>wierzba</v>
      </c>
    </row>
    <row r="1516">
      <c r="C1516" s="1" t="s">
        <v>1513</v>
      </c>
      <c r="D1516" s="3" t="str">
        <f>IFERROR(__xludf.DUMMYFUNCTION("GOOGLETRANSLATE(C1516,""en"",""pl"")"),"wstępny")</f>
        <v>wstępny</v>
      </c>
    </row>
    <row r="1517">
      <c r="C1517" s="1" t="s">
        <v>1514</v>
      </c>
      <c r="D1517" s="3" t="str">
        <f>IFERROR(__xludf.DUMMYFUNCTION("GOOGLETRANSLATE(C1517,""en"",""pl"")"),"serwer")</f>
        <v>serwer</v>
      </c>
    </row>
    <row r="1518">
      <c r="C1518" s="1" t="s">
        <v>1515</v>
      </c>
      <c r="D1518" s="3" t="str">
        <f>IFERROR(__xludf.DUMMYFUNCTION("GOOGLETRANSLATE(C1518,""en"",""pl"")"),"zapewnia")</f>
        <v>zapewnia</v>
      </c>
    </row>
    <row r="1519">
      <c r="C1519" s="1" t="s">
        <v>1516</v>
      </c>
      <c r="D1519" s="3" t="str">
        <f>IFERROR(__xludf.DUMMYFUNCTION("GOOGLETRANSLATE(C1519,""en"",""pl"")"),"mata")</f>
        <v>mata</v>
      </c>
    </row>
    <row r="1520">
      <c r="C1520" s="1" t="s">
        <v>1517</v>
      </c>
      <c r="D1520" s="3" t="str">
        <f>IFERROR(__xludf.DUMMYFUNCTION("GOOGLETRANSLATE(C1520,""en"",""pl"")"),"uznanie")</f>
        <v>uznanie</v>
      </c>
    </row>
    <row r="1521">
      <c r="C1521" s="1" t="s">
        <v>1518</v>
      </c>
      <c r="D1521" s="3" t="str">
        <f>IFERROR(__xludf.DUMMYFUNCTION("GOOGLETRANSLATE(C1521,""en"",""pl"")"),"a-a")</f>
        <v>a-a</v>
      </c>
    </row>
    <row r="1522">
      <c r="C1522" s="1" t="s">
        <v>1519</v>
      </c>
      <c r="D1522" s="3" t="str">
        <f>IFERROR(__xludf.DUMMYFUNCTION("GOOGLETRANSLATE(C1522,""en"",""pl"")"),"historyczny")</f>
        <v>historyczny</v>
      </c>
    </row>
    <row r="1523">
      <c r="C1523" s="1" t="s">
        <v>1520</v>
      </c>
      <c r="D1523" s="3" t="str">
        <f>IFERROR(__xludf.DUMMYFUNCTION("GOOGLETRANSLATE(C1523,""en"",""pl"")"),"Jerzy")</f>
        <v>Jerzy</v>
      </c>
    </row>
    <row r="1524">
      <c r="C1524" s="1" t="s">
        <v>1521</v>
      </c>
      <c r="D1524" s="3" t="str">
        <f>IFERROR(__xludf.DUMMYFUNCTION("GOOGLETRANSLATE(C1524,""en"",""pl"")"),"promować")</f>
        <v>promować</v>
      </c>
    </row>
    <row r="1525">
      <c r="C1525" s="1" t="s">
        <v>1522</v>
      </c>
      <c r="D1525" s="3" t="str">
        <f>IFERROR(__xludf.DUMMYFUNCTION("GOOGLETRANSLATE(C1525,""en"",""pl"")"),"przetwarzanie")</f>
        <v>przetwarzanie</v>
      </c>
    </row>
    <row r="1526">
      <c r="C1526" s="1" t="s">
        <v>1523</v>
      </c>
      <c r="D1526" s="3" t="str">
        <f>IFERROR(__xludf.DUMMYFUNCTION("GOOGLETRANSLATE(C1526,""en"",""pl"")"),"Neapol")</f>
        <v>Neapol</v>
      </c>
    </row>
    <row r="1527">
      <c r="C1527" s="1" t="s">
        <v>1524</v>
      </c>
      <c r="D1527" s="3" t="str">
        <f>IFERROR(__xludf.DUMMYFUNCTION("GOOGLETRANSLATE(C1527,""en"",""pl"")"),"wysoki")</f>
        <v>wysoki</v>
      </c>
    </row>
    <row r="1528">
      <c r="C1528" s="1" t="s">
        <v>1525</v>
      </c>
      <c r="D1528" s="3" t="str">
        <f>IFERROR(__xludf.DUMMYFUNCTION("GOOGLETRANSLATE(C1528,""en"",""pl"")"),"pompowanie")</f>
        <v>pompowanie</v>
      </c>
    </row>
    <row r="1529">
      <c r="C1529" s="1" t="s">
        <v>1526</v>
      </c>
      <c r="D1529" s="3" t="str">
        <f>IFERROR(__xludf.DUMMYFUNCTION("GOOGLETRANSLATE(C1529,""en"",""pl"")"),"prześladowca")</f>
        <v>prześladowca</v>
      </c>
    </row>
    <row r="1530">
      <c r="C1530" s="1" t="s">
        <v>1527</v>
      </c>
      <c r="D1530" s="3" t="str">
        <f>IFERROR(__xludf.DUMMYFUNCTION("GOOGLETRANSLATE(C1530,""en"",""pl"")"),"kozy")</f>
        <v>kozy</v>
      </c>
    </row>
    <row r="1531">
      <c r="C1531" s="1" t="s">
        <v>1528</v>
      </c>
      <c r="D1531" s="3" t="str">
        <f>IFERROR(__xludf.DUMMYFUNCTION("GOOGLETRANSLATE(C1531,""en"",""pl"")"),"Francine")</f>
        <v>Francine</v>
      </c>
    </row>
    <row r="1532">
      <c r="C1532" s="1" t="s">
        <v>1529</v>
      </c>
      <c r="D1532" s="3" t="str">
        <f>IFERROR(__xludf.DUMMYFUNCTION("GOOGLETRANSLATE(C1532,""en"",""pl"")"),"pali")</f>
        <v>pali</v>
      </c>
    </row>
    <row r="1533">
      <c r="C1533" s="1" t="s">
        <v>1530</v>
      </c>
      <c r="D1533" s="3" t="str">
        <f>IFERROR(__xludf.DUMMYFUNCTION("GOOGLETRANSLATE(C1533,""en"",""pl"")"),"wstęp")</f>
        <v>wstęp</v>
      </c>
    </row>
    <row r="1534">
      <c r="C1534" s="1" t="s">
        <v>1531</v>
      </c>
      <c r="D1534" s="3" t="str">
        <f>IFERROR(__xludf.DUMMYFUNCTION("GOOGLETRANSLATE(C1534,""en"",""pl"")"),"ważny")</f>
        <v>ważny</v>
      </c>
    </row>
    <row r="1535">
      <c r="C1535" s="1" t="s">
        <v>1532</v>
      </c>
      <c r="D1535" s="3" t="str">
        <f>IFERROR(__xludf.DUMMYFUNCTION("GOOGLETRANSLATE(C1535,""en"",""pl"")"),"portugalski")</f>
        <v>portugalski</v>
      </c>
    </row>
    <row r="1536">
      <c r="C1536" s="1" t="s">
        <v>1533</v>
      </c>
      <c r="D1536" s="3" t="str">
        <f>IFERROR(__xludf.DUMMYFUNCTION("GOOGLETRANSLATE(C1536,""en"",""pl"")"),"układy")</f>
        <v>układy</v>
      </c>
    </row>
    <row r="1537">
      <c r="C1537" s="1" t="s">
        <v>1534</v>
      </c>
      <c r="D1537" s="3" t="str">
        <f>IFERROR(__xludf.DUMMYFUNCTION("GOOGLETRANSLATE(C1537,""en"",""pl"")"),"Lub.")</f>
        <v>Lub.</v>
      </c>
    </row>
    <row r="1538">
      <c r="C1538" s="1" t="s">
        <v>1535</v>
      </c>
      <c r="D1538" s="3" t="str">
        <f>IFERROR(__xludf.DUMMYFUNCTION("GOOGLETRANSLATE(C1538,""en"",""pl"")"),"kołodziej")</f>
        <v>kołodziej</v>
      </c>
    </row>
    <row r="1539">
      <c r="C1539" s="1" t="s">
        <v>1536</v>
      </c>
      <c r="D1539" s="3" t="str">
        <f>IFERROR(__xludf.DUMMYFUNCTION("GOOGLETRANSLATE(C1539,""en"",""pl"")"),"podsłuchany")</f>
        <v>podsłuchany</v>
      </c>
    </row>
    <row r="1540">
      <c r="C1540" s="1" t="s">
        <v>1537</v>
      </c>
      <c r="D1540" s="3" t="str">
        <f>IFERROR(__xludf.DUMMYFUNCTION("GOOGLETRANSLATE(C1540,""en"",""pl"")"),"kocham")</f>
        <v>kocham</v>
      </c>
    </row>
    <row r="1541">
      <c r="C1541" s="1" t="s">
        <v>1538</v>
      </c>
      <c r="D1541" s="3" t="str">
        <f>IFERROR(__xludf.DUMMYFUNCTION("GOOGLETRANSLATE(C1541,""en"",""pl"")"),"hodowla")</f>
        <v>hodowla</v>
      </c>
    </row>
    <row r="1542">
      <c r="C1542" s="1" t="s">
        <v>1539</v>
      </c>
      <c r="D1542" s="3" t="str">
        <f>IFERROR(__xludf.DUMMYFUNCTION("GOOGLETRANSLATE(C1542,""en"",""pl"")"),"niepełnoetatowy")</f>
        <v>niepełnoetatowy</v>
      </c>
    </row>
    <row r="1543">
      <c r="C1543" s="1" t="s">
        <v>1540</v>
      </c>
      <c r="D1543" s="3" t="str">
        <f>IFERROR(__xludf.DUMMYFUNCTION("GOOGLETRANSLATE(C1543,""en"",""pl"")"),"barka")</f>
        <v>barka</v>
      </c>
    </row>
    <row r="1544">
      <c r="C1544" s="1" t="s">
        <v>1541</v>
      </c>
      <c r="D1544" s="3" t="str">
        <f>IFERROR(__xludf.DUMMYFUNCTION("GOOGLETRANSLATE(C1544,""en"",""pl"")"),"uchodźcy")</f>
        <v>uchodźcy</v>
      </c>
    </row>
    <row r="1545">
      <c r="C1545" s="1" t="s">
        <v>1542</v>
      </c>
      <c r="D1545" s="3" t="str">
        <f>IFERROR(__xludf.DUMMYFUNCTION("GOOGLETRANSLATE(C1545,""en"",""pl"")"),"co?")</f>
        <v>co?</v>
      </c>
    </row>
    <row r="1546">
      <c r="C1546" s="1" t="s">
        <v>1543</v>
      </c>
      <c r="D1546" s="3" t="str">
        <f>IFERROR(__xludf.DUMMYFUNCTION("GOOGLETRANSLATE(C1546,""en"",""pl"")"),"zauważony")</f>
        <v>zauważony</v>
      </c>
    </row>
    <row r="1547">
      <c r="C1547" s="1" t="s">
        <v>1544</v>
      </c>
      <c r="D1547" s="3" t="str">
        <f>IFERROR(__xludf.DUMMYFUNCTION("GOOGLETRANSLATE(C1547,""en"",""pl"")"),"tygrysy")</f>
        <v>tygrysy</v>
      </c>
    </row>
    <row r="1548">
      <c r="C1548" s="1" t="s">
        <v>1545</v>
      </c>
      <c r="D1548" s="3" t="str">
        <f>IFERROR(__xludf.DUMMYFUNCTION("GOOGLETRANSLATE(C1548,""en"",""pl"")"),"burdel")</f>
        <v>burdel</v>
      </c>
    </row>
    <row r="1549">
      <c r="C1549" s="1" t="s">
        <v>1546</v>
      </c>
      <c r="D1549" s="3" t="str">
        <f>IFERROR(__xludf.DUMMYFUNCTION("GOOGLETRANSLATE(C1549,""en"",""pl"")"),"misje")</f>
        <v>misje</v>
      </c>
    </row>
    <row r="1550">
      <c r="C1550" s="1" t="s">
        <v>1547</v>
      </c>
      <c r="D1550" s="3" t="str">
        <f>IFERROR(__xludf.DUMMYFUNCTION("GOOGLETRANSLATE(C1550,""en"",""pl"")"),"na brzeg")</f>
        <v>na brzeg</v>
      </c>
    </row>
    <row r="1551">
      <c r="C1551" s="1" t="s">
        <v>1548</v>
      </c>
      <c r="D1551" s="3" t="str">
        <f>IFERROR(__xludf.DUMMYFUNCTION("GOOGLETRANSLATE(C1551,""en"",""pl"")"),"panda")</f>
        <v>panda</v>
      </c>
    </row>
    <row r="1552">
      <c r="C1552" s="1" t="s">
        <v>1549</v>
      </c>
      <c r="D1552" s="3" t="str">
        <f>IFERROR(__xludf.DUMMYFUNCTION("GOOGLETRANSLATE(C1552,""en"",""pl"")"),"dyskrecja")</f>
        <v>dyskrecja</v>
      </c>
    </row>
    <row r="1553">
      <c r="C1553" s="1" t="s">
        <v>1550</v>
      </c>
      <c r="D1553" s="3" t="str">
        <f>IFERROR(__xludf.DUMMYFUNCTION("GOOGLETRANSLATE(C1553,""en"",""pl"")"),"Yale")</f>
        <v>Yale</v>
      </c>
    </row>
    <row r="1554">
      <c r="C1554" s="1" t="s">
        <v>1551</v>
      </c>
      <c r="D1554" s="3" t="str">
        <f>IFERROR(__xludf.DUMMYFUNCTION("GOOGLETRANSLATE(C1554,""en"",""pl"")"),"niezadowalający")</f>
        <v>niezadowalający</v>
      </c>
    </row>
    <row r="1555">
      <c r="C1555" s="1" t="s">
        <v>1552</v>
      </c>
      <c r="D1555" s="3" t="str">
        <f>IFERROR(__xludf.DUMMYFUNCTION("GOOGLETRANSLATE(C1555,""en"",""pl"")"),"owad")</f>
        <v>owad</v>
      </c>
    </row>
    <row r="1556">
      <c r="C1556" s="1" t="s">
        <v>1553</v>
      </c>
      <c r="D1556" s="3" t="str">
        <f>IFERROR(__xludf.DUMMYFUNCTION("GOOGLETRANSLATE(C1556,""en"",""pl"")"),"proroctwo")</f>
        <v>proroctwo</v>
      </c>
    </row>
    <row r="1557">
      <c r="C1557" s="1" t="s">
        <v>1554</v>
      </c>
      <c r="D1557" s="3" t="str">
        <f>IFERROR(__xludf.DUMMYFUNCTION("GOOGLETRANSLATE(C1557,""en"",""pl"")"),"Wanda")</f>
        <v>Wanda</v>
      </c>
    </row>
    <row r="1558">
      <c r="C1558" s="1" t="s">
        <v>1555</v>
      </c>
      <c r="D1558" s="3" t="str">
        <f>IFERROR(__xludf.DUMMYFUNCTION("GOOGLETRANSLATE(C1558,""en"",""pl"")"),"nieobecny")</f>
        <v>nieobecny</v>
      </c>
    </row>
    <row r="1559">
      <c r="C1559" s="1" t="s">
        <v>1556</v>
      </c>
      <c r="D1559" s="3" t="str">
        <f>IFERROR(__xludf.DUMMYFUNCTION("GOOGLETRANSLATE(C1559,""en"",""pl"")"),"maszyneria")</f>
        <v>maszyneria</v>
      </c>
    </row>
    <row r="1560">
      <c r="C1560" s="1" t="s">
        <v>1557</v>
      </c>
      <c r="D1560" s="3" t="str">
        <f>IFERROR(__xludf.DUMMYFUNCTION("GOOGLETRANSLATE(C1560,""en"",""pl"")"),"generalicja")</f>
        <v>generalicja</v>
      </c>
    </row>
    <row r="1561">
      <c r="C1561" s="1" t="s">
        <v>1558</v>
      </c>
      <c r="D1561" s="3" t="str">
        <f>IFERROR(__xludf.DUMMYFUNCTION("GOOGLETRANSLATE(C1561,""en"",""pl"")"),"marchew")</f>
        <v>marchew</v>
      </c>
    </row>
    <row r="1562">
      <c r="C1562" s="1" t="s">
        <v>1559</v>
      </c>
      <c r="D1562" s="3" t="str">
        <f>IFERROR(__xludf.DUMMYFUNCTION("GOOGLETRANSLATE(C1562,""en"",""pl"")"),"ferrari")</f>
        <v>ferrari</v>
      </c>
    </row>
    <row r="1563">
      <c r="C1563" s="1" t="s">
        <v>1560</v>
      </c>
      <c r="D1563" s="3" t="str">
        <f>IFERROR(__xludf.DUMMYFUNCTION("GOOGLETRANSLATE(C1563,""en"",""pl"")"),"zniszczony")</f>
        <v>zniszczony</v>
      </c>
    </row>
    <row r="1564">
      <c r="C1564" s="1" t="s">
        <v>1561</v>
      </c>
      <c r="D1564" s="3" t="str">
        <f>IFERROR(__xludf.DUMMYFUNCTION("GOOGLETRANSLATE(C1564,""en"",""pl"")"),"gestapowiec")</f>
        <v>gestapowiec</v>
      </c>
    </row>
    <row r="1565">
      <c r="C1565" s="1" t="s">
        <v>1562</v>
      </c>
      <c r="D1565" s="3" t="str">
        <f>IFERROR(__xludf.DUMMYFUNCTION("GOOGLETRANSLATE(C1565,""en"",""pl"")"),"zielony")</f>
        <v>zielony</v>
      </c>
    </row>
    <row r="1566">
      <c r="C1566" s="1" t="s">
        <v>1563</v>
      </c>
      <c r="D1566" s="3" t="str">
        <f>IFERROR(__xludf.DUMMYFUNCTION("GOOGLETRANSLATE(C1566,""en"",""pl"")"),"sugestie")</f>
        <v>sugestie</v>
      </c>
    </row>
    <row r="1567">
      <c r="C1567" s="1" t="s">
        <v>1564</v>
      </c>
      <c r="D1567" s="3" t="str">
        <f>IFERROR(__xludf.DUMMYFUNCTION("GOOGLETRANSLATE(C1567,""en"",""pl"")"),"ptyś")</f>
        <v>ptyś</v>
      </c>
    </row>
    <row r="1568">
      <c r="C1568" s="1" t="s">
        <v>1565</v>
      </c>
      <c r="D1568" s="3" t="str">
        <f>IFERROR(__xludf.DUMMYFUNCTION("GOOGLETRANSLATE(C1568,""en"",""pl"")"),"wspierający")</f>
        <v>wspierający</v>
      </c>
    </row>
    <row r="1569">
      <c r="C1569" s="1" t="s">
        <v>1566</v>
      </c>
      <c r="D1569" s="3" t="str">
        <f>IFERROR(__xludf.DUMMYFUNCTION("GOOGLETRANSLATE(C1569,""en"",""pl"")"),"dziurkowanie")</f>
        <v>dziurkowanie</v>
      </c>
    </row>
    <row r="1570">
      <c r="C1570" s="1" t="s">
        <v>1567</v>
      </c>
      <c r="D1570" s="3" t="str">
        <f>IFERROR(__xludf.DUMMYFUNCTION("GOOGLETRANSLATE(C1570,""en"",""pl"")"),"ślicznotka")</f>
        <v>ślicznotka</v>
      </c>
    </row>
    <row r="1571">
      <c r="C1571" s="1" t="s">
        <v>1568</v>
      </c>
      <c r="D1571" s="3" t="str">
        <f>IFERROR(__xludf.DUMMYFUNCTION("GOOGLETRANSLATE(C1571,""en"",""pl"")"),"interwencja")</f>
        <v>interwencja</v>
      </c>
    </row>
    <row r="1572">
      <c r="C1572" s="1" t="s">
        <v>1569</v>
      </c>
      <c r="D1572" s="3" t="str">
        <f>IFERROR(__xludf.DUMMYFUNCTION("GOOGLETRANSLATE(C1572,""en"",""pl"")"),"warstwy")</f>
        <v>warstwy</v>
      </c>
    </row>
    <row r="1573">
      <c r="C1573" s="1" t="s">
        <v>1570</v>
      </c>
      <c r="D1573" s="3" t="str">
        <f>IFERROR(__xludf.DUMMYFUNCTION("GOOGLETRANSLATE(C1573,""en"",""pl"")"),"Hughes")</f>
        <v>Hughes</v>
      </c>
    </row>
    <row r="1574">
      <c r="C1574" s="1" t="s">
        <v>1571</v>
      </c>
      <c r="D1574" s="3" t="str">
        <f>IFERROR(__xludf.DUMMYFUNCTION("GOOGLETRANSLATE(C1574,""en"",""pl"")"),"uczony")</f>
        <v>uczony</v>
      </c>
    </row>
    <row r="1575">
      <c r="C1575" s="1" t="s">
        <v>1572</v>
      </c>
      <c r="D1575" s="3" t="str">
        <f>IFERROR(__xludf.DUMMYFUNCTION("GOOGLETRANSLATE(C1575,""en"",""pl"")"),"libka")</f>
        <v>libka</v>
      </c>
    </row>
    <row r="1576">
      <c r="C1576" s="1" t="s">
        <v>1573</v>
      </c>
      <c r="D1576" s="3" t="str">
        <f>IFERROR(__xludf.DUMMYFUNCTION("GOOGLETRANSLATE(C1576,""en"",""pl"")"),"drapieżniki")</f>
        <v>drapieżniki</v>
      </c>
    </row>
    <row r="1577">
      <c r="C1577" s="1" t="s">
        <v>1574</v>
      </c>
      <c r="D1577" s="3" t="str">
        <f>IFERROR(__xludf.DUMMYFUNCTION("GOOGLETRANSLATE(C1577,""en"",""pl"")"),"oskarżenia")</f>
        <v>oskarżenia</v>
      </c>
    </row>
    <row r="1578">
      <c r="C1578" s="1" t="s">
        <v>1575</v>
      </c>
      <c r="D1578" s="3" t="str">
        <f>IFERROR(__xludf.DUMMYFUNCTION("GOOGLETRANSLATE(C1578,""en"",""pl"")"),"8.")</f>
        <v>8.</v>
      </c>
    </row>
    <row r="1579">
      <c r="C1579" s="1" t="s">
        <v>1576</v>
      </c>
      <c r="D1579" s="3" t="str">
        <f>IFERROR(__xludf.DUMMYFUNCTION("GOOGLETRANSLATE(C1579,""en"",""pl"")"),"igrzyska olimpijskie")</f>
        <v>igrzyska olimpijskie</v>
      </c>
    </row>
    <row r="1580">
      <c r="C1580" s="1" t="s">
        <v>1577</v>
      </c>
      <c r="D1580" s="3" t="str">
        <f>IFERROR(__xludf.DUMMYFUNCTION("GOOGLETRANSLATE(C1580,""en"",""pl"")"),"księgowość")</f>
        <v>księgowość</v>
      </c>
    </row>
    <row r="1581">
      <c r="C1581" s="1" t="s">
        <v>1578</v>
      </c>
      <c r="D1581" s="3" t="str">
        <f>IFERROR(__xludf.DUMMYFUNCTION("GOOGLETRANSLATE(C1581,""en"",""pl"")"),"dż")</f>
        <v>dż</v>
      </c>
    </row>
    <row r="1582">
      <c r="C1582" s="1" t="s">
        <v>1579</v>
      </c>
      <c r="D1582" s="3" t="str">
        <f>IFERROR(__xludf.DUMMYFUNCTION("GOOGLETRANSLATE(C1582,""en"",""pl"")"),"ekspertyza")</f>
        <v>ekspertyza</v>
      </c>
    </row>
    <row r="1583">
      <c r="C1583" s="1" t="s">
        <v>1580</v>
      </c>
      <c r="D1583" s="3" t="str">
        <f>IFERROR(__xludf.DUMMYFUNCTION("GOOGLETRANSLATE(C1583,""en"",""pl"")"),"pasek")</f>
        <v>pasek</v>
      </c>
    </row>
    <row r="1584">
      <c r="C1584" s="1" t="s">
        <v>1581</v>
      </c>
      <c r="D1584" s="3" t="str">
        <f>IFERROR(__xludf.DUMMYFUNCTION("GOOGLETRANSLATE(C1584,""en"",""pl"")"),"pasuje")</f>
        <v>pasuje</v>
      </c>
    </row>
    <row r="1585">
      <c r="C1585" s="1" t="s">
        <v>1582</v>
      </c>
      <c r="D1585" s="3" t="str">
        <f>IFERROR(__xludf.DUMMYFUNCTION("GOOGLETRANSLATE(C1585,""en"",""pl"")"),"Darryl")</f>
        <v>Darryl</v>
      </c>
    </row>
    <row r="1586">
      <c r="C1586" s="1" t="s">
        <v>1583</v>
      </c>
      <c r="D1586" s="3" t="str">
        <f>IFERROR(__xludf.DUMMYFUNCTION("GOOGLETRANSLATE(C1586,""en"",""pl"")"),"pośladki")</f>
        <v>pośladki</v>
      </c>
    </row>
    <row r="1587">
      <c r="C1587" s="1" t="s">
        <v>1584</v>
      </c>
      <c r="D1587" s="3" t="str">
        <f>IFERROR(__xludf.DUMMYFUNCTION("GOOGLETRANSLATE(C1587,""en"",""pl"")"),"podchodzi do")</f>
        <v>podchodzi do</v>
      </c>
    </row>
    <row r="1588">
      <c r="C1588" s="1" t="s">
        <v>1585</v>
      </c>
      <c r="D1588" s="3" t="str">
        <f>IFERROR(__xludf.DUMMYFUNCTION("GOOGLETRANSLATE(C1588,""en"",""pl"")"),"flagi")</f>
        <v>flagi</v>
      </c>
    </row>
    <row r="1589">
      <c r="C1589" s="1" t="s">
        <v>1586</v>
      </c>
      <c r="D1589" s="3" t="str">
        <f>IFERROR(__xludf.DUMMYFUNCTION("GOOGLETRANSLATE(C1589,""en"",""pl"")"),"zakłopotanie")</f>
        <v>zakłopotanie</v>
      </c>
    </row>
    <row r="1590">
      <c r="C1590" s="1" t="s">
        <v>1587</v>
      </c>
      <c r="D1590" s="3" t="str">
        <f>IFERROR(__xludf.DUMMYFUNCTION("GOOGLETRANSLATE(C1590,""en"",""pl"")"),"udawanie")</f>
        <v>udawanie</v>
      </c>
    </row>
    <row r="1591">
      <c r="C1591" s="1" t="s">
        <v>1588</v>
      </c>
      <c r="D1591" s="3" t="str">
        <f>IFERROR(__xludf.DUMMYFUNCTION("GOOGLETRANSLATE(C1591,""en"",""pl"")"),"Jamal")</f>
        <v>Jamal</v>
      </c>
    </row>
    <row r="1592">
      <c r="C1592" s="1" t="s">
        <v>1589</v>
      </c>
      <c r="D1592" s="3" t="str">
        <f>IFERROR(__xludf.DUMMYFUNCTION("GOOGLETRANSLATE(C1592,""en"",""pl"")"),"wanilia")</f>
        <v>wanilia</v>
      </c>
    </row>
    <row r="1593">
      <c r="C1593" s="1" t="s">
        <v>1590</v>
      </c>
      <c r="D1593" s="3" t="str">
        <f>IFERROR(__xludf.DUMMYFUNCTION("GOOGLETRANSLATE(C1593,""en"",""pl"")"),"winogrona")</f>
        <v>winogrona</v>
      </c>
    </row>
    <row r="1594">
      <c r="C1594" s="1" t="s">
        <v>1591</v>
      </c>
      <c r="D1594" s="3" t="str">
        <f>IFERROR(__xludf.DUMMYFUNCTION("GOOGLETRANSLATE(C1594,""en"",""pl"")"),"Dominik")</f>
        <v>Dominik</v>
      </c>
    </row>
    <row r="1595">
      <c r="C1595" s="1" t="s">
        <v>1592</v>
      </c>
      <c r="D1595" s="3" t="str">
        <f>IFERROR(__xludf.DUMMYFUNCTION("GOOGLETRANSLATE(C1595,""en"",""pl"")"),"latarnia morska")</f>
        <v>latarnia morska</v>
      </c>
    </row>
    <row r="1596">
      <c r="C1596" s="1" t="s">
        <v>1593</v>
      </c>
      <c r="D1596" s="3" t="str">
        <f>IFERROR(__xludf.DUMMYFUNCTION("GOOGLETRANSLATE(C1596,""en"",""pl"")"),"chusteczka")</f>
        <v>chusteczka</v>
      </c>
    </row>
    <row r="1597">
      <c r="C1597" s="1" t="s">
        <v>1594</v>
      </c>
      <c r="D1597" s="3" t="str">
        <f>IFERROR(__xludf.DUMMYFUNCTION("GOOGLETRANSLATE(C1597,""en"",""pl"")"),"tarcie")</f>
        <v>tarcie</v>
      </c>
    </row>
    <row r="1598">
      <c r="C1598" s="1" t="s">
        <v>1595</v>
      </c>
      <c r="D1598" s="3" t="str">
        <f>IFERROR(__xludf.DUMMYFUNCTION("GOOGLETRANSLATE(C1598,""en"",""pl"")"),"mallory")</f>
        <v>mallory</v>
      </c>
    </row>
    <row r="1599">
      <c r="C1599" s="1" t="s">
        <v>1596</v>
      </c>
      <c r="D1599" s="3" t="str">
        <f>IFERROR(__xludf.DUMMYFUNCTION("GOOGLETRANSLATE(C1599,""en"",""pl"")"),"szelest")</f>
        <v>szelest</v>
      </c>
    </row>
    <row r="1600">
      <c r="C1600" s="1" t="s">
        <v>1597</v>
      </c>
      <c r="D1600" s="3" t="str">
        <f>IFERROR(__xludf.DUMMYFUNCTION("GOOGLETRANSLATE(C1600,""en"",""pl"")"),"rozjaśnić")</f>
        <v>rozjaśnić</v>
      </c>
    </row>
    <row r="1601">
      <c r="C1601" s="1" t="s">
        <v>1598</v>
      </c>
      <c r="D1601" s="3" t="str">
        <f>IFERROR(__xludf.DUMMYFUNCTION("GOOGLETRANSLATE(C1601,""en"",""pl"")"),"flora")</f>
        <v>flora</v>
      </c>
    </row>
    <row r="1602">
      <c r="C1602" s="1" t="s">
        <v>1599</v>
      </c>
      <c r="D1602" s="3" t="str">
        <f>IFERROR(__xludf.DUMMYFUNCTION("GOOGLETRANSLATE(C1602,""en"",""pl"")"),"kubański")</f>
        <v>kubański</v>
      </c>
    </row>
    <row r="1603">
      <c r="C1603" s="1" t="s">
        <v>1600</v>
      </c>
      <c r="D1603" s="3" t="str">
        <f>IFERROR(__xludf.DUMMYFUNCTION("GOOGLETRANSLATE(C1603,""en"",""pl"")"),"polarny")</f>
        <v>polarny</v>
      </c>
    </row>
    <row r="1604">
      <c r="C1604" s="1" t="s">
        <v>1601</v>
      </c>
      <c r="D1604" s="3" t="str">
        <f>IFERROR(__xludf.DUMMYFUNCTION("GOOGLETRANSLATE(C1604,""en"",""pl"")"),"tłumacz")</f>
        <v>tłumacz</v>
      </c>
    </row>
    <row r="1605">
      <c r="C1605" s="1" t="s">
        <v>1602</v>
      </c>
      <c r="D1605" s="3" t="str">
        <f>IFERROR(__xludf.DUMMYFUNCTION("GOOGLETRANSLATE(C1605,""en"",""pl"")"),"gratulacje")</f>
        <v>gratulacje</v>
      </c>
    </row>
    <row r="1606">
      <c r="C1606" s="1" t="s">
        <v>1603</v>
      </c>
      <c r="D1606" s="3" t="str">
        <f>IFERROR(__xludf.DUMMYFUNCTION("GOOGLETRANSLATE(C1606,""en"",""pl"")"),"paszporty")</f>
        <v>paszporty</v>
      </c>
    </row>
    <row r="1607">
      <c r="C1607" s="1" t="s">
        <v>1604</v>
      </c>
      <c r="D1607" s="3" t="str">
        <f>IFERROR(__xludf.DUMMYFUNCTION("GOOGLETRANSLATE(C1607,""en"",""pl"")"),"chwytanie")</f>
        <v>chwytanie</v>
      </c>
    </row>
    <row r="1608">
      <c r="C1608" s="1" t="s">
        <v>1605</v>
      </c>
      <c r="D1608" s="3" t="str">
        <f>IFERROR(__xludf.DUMMYFUNCTION("GOOGLETRANSLATE(C1608,""en"",""pl"")"),"Alfa")</f>
        <v>Alfa</v>
      </c>
    </row>
    <row r="1609">
      <c r="C1609" s="1" t="s">
        <v>1606</v>
      </c>
      <c r="D1609" s="3" t="str">
        <f>IFERROR(__xludf.DUMMYFUNCTION("GOOGLETRANSLATE(C1609,""en"",""pl"")"),"braterstwo")</f>
        <v>braterstwo</v>
      </c>
    </row>
    <row r="1610">
      <c r="C1610" s="1" t="s">
        <v>1607</v>
      </c>
      <c r="D1610" s="3" t="str">
        <f>IFERROR(__xludf.DUMMYFUNCTION("GOOGLETRANSLATE(C1610,""en"",""pl"")"),"ernest")</f>
        <v>ernest</v>
      </c>
    </row>
    <row r="1611">
      <c r="C1611" s="1" t="s">
        <v>1608</v>
      </c>
      <c r="D1611" s="3" t="str">
        <f>IFERROR(__xludf.DUMMYFUNCTION("GOOGLETRANSLATE(C1611,""en"",""pl"")"),"profesjonaliści")</f>
        <v>profesjonaliści</v>
      </c>
    </row>
    <row r="1612">
      <c r="C1612" s="1" t="s">
        <v>1609</v>
      </c>
      <c r="D1612" s="3" t="str">
        <f>IFERROR(__xludf.DUMMYFUNCTION("GOOGLETRANSLATE(C1612,""en"",""pl"")"),"yuan")</f>
        <v>yuan</v>
      </c>
    </row>
    <row r="1613">
      <c r="C1613" s="1" t="s">
        <v>1610</v>
      </c>
      <c r="D1613" s="3" t="str">
        <f>IFERROR(__xludf.DUMMYFUNCTION("GOOGLETRANSLATE(C1613,""en"",""pl"")"),"zrozumiały")</f>
        <v>zrozumiały</v>
      </c>
    </row>
    <row r="1614">
      <c r="C1614" s="1" t="s">
        <v>1611</v>
      </c>
      <c r="D1614" s="3" t="str">
        <f>IFERROR(__xludf.DUMMYFUNCTION("GOOGLETRANSLATE(C1614,""en"",""pl"")"),"transparent")</f>
        <v>transparent</v>
      </c>
    </row>
    <row r="1615">
      <c r="C1615" s="1" t="s">
        <v>1612</v>
      </c>
      <c r="D1615" s="3" t="str">
        <f>IFERROR(__xludf.DUMMYFUNCTION("GOOGLETRANSLATE(C1615,""en"",""pl"")"),"akademicki")</f>
        <v>akademicki</v>
      </c>
    </row>
    <row r="1616">
      <c r="C1616" s="1" t="s">
        <v>1613</v>
      </c>
      <c r="D1616" s="3" t="str">
        <f>IFERROR(__xludf.DUMMYFUNCTION("GOOGLETRANSLATE(C1616,""en"",""pl"")"),"łomoty")</f>
        <v>łomoty</v>
      </c>
    </row>
    <row r="1617">
      <c r="C1617" s="1" t="s">
        <v>1614</v>
      </c>
      <c r="D1617" s="3" t="str">
        <f>IFERROR(__xludf.DUMMYFUNCTION("GOOGLETRANSLATE(C1617,""en"",""pl"")"),"tak")</f>
        <v>tak</v>
      </c>
    </row>
    <row r="1618">
      <c r="C1618" s="1" t="s">
        <v>1615</v>
      </c>
      <c r="D1618" s="3" t="str">
        <f>IFERROR(__xludf.DUMMYFUNCTION("GOOGLETRANSLATE(C1618,""en"",""pl"")"),"publicznie")</f>
        <v>publicznie</v>
      </c>
    </row>
    <row r="1619">
      <c r="C1619" s="1" t="s">
        <v>1616</v>
      </c>
      <c r="D1619" s="3" t="str">
        <f>IFERROR(__xludf.DUMMYFUNCTION("GOOGLETRANSLATE(C1619,""en"",""pl"")"),"sieroty")</f>
        <v>sieroty</v>
      </c>
    </row>
    <row r="1620">
      <c r="C1620" s="1" t="s">
        <v>1617</v>
      </c>
      <c r="D1620" s="3" t="str">
        <f>IFERROR(__xludf.DUMMYFUNCTION("GOOGLETRANSLATE(C1620,""en"",""pl"")"),"perły")</f>
        <v>perły</v>
      </c>
    </row>
    <row r="1621">
      <c r="C1621" s="1" t="s">
        <v>1618</v>
      </c>
      <c r="D1621" s="3" t="str">
        <f>IFERROR(__xludf.DUMMYFUNCTION("GOOGLETRANSLATE(C1621,""en"",""pl"")"),"drapieżnik")</f>
        <v>drapieżnik</v>
      </c>
    </row>
    <row r="1622">
      <c r="C1622" s="4" t="s">
        <v>1619</v>
      </c>
      <c r="D1622" s="3" t="str">
        <f>IFERROR(__xludf.DUMMYFUNCTION("GOOGLETRANSLATE(C1622,""en"",""pl"")"),"Bryan")</f>
        <v>Bryan</v>
      </c>
    </row>
    <row r="1623">
      <c r="C1623" s="1" t="s">
        <v>1620</v>
      </c>
      <c r="D1623" s="3" t="str">
        <f>IFERROR(__xludf.DUMMYFUNCTION("GOOGLETRANSLATE(C1623,""en"",""pl"")"),"francuzki")</f>
        <v>francuzki</v>
      </c>
    </row>
    <row r="1624">
      <c r="C1624" s="1" t="s">
        <v>1621</v>
      </c>
      <c r="D1624" s="3" t="str">
        <f>IFERROR(__xludf.DUMMYFUNCTION("GOOGLETRANSLATE(C1624,""en"",""pl"")"),"dodatek")</f>
        <v>dodatek</v>
      </c>
    </row>
    <row r="1625">
      <c r="C1625" s="1" t="s">
        <v>1622</v>
      </c>
      <c r="D1625" s="3" t="str">
        <f>IFERROR(__xludf.DUMMYFUNCTION("GOOGLETRANSLATE(C1625,""en"",""pl"")"),"syrop")</f>
        <v>syrop</v>
      </c>
    </row>
    <row r="1626">
      <c r="C1626" s="1" t="s">
        <v>1623</v>
      </c>
      <c r="D1626" s="3" t="str">
        <f>IFERROR(__xludf.DUMMYFUNCTION("GOOGLETRANSLATE(C1626,""en"",""pl"")"),"kartel")</f>
        <v>kartel</v>
      </c>
    </row>
    <row r="1627">
      <c r="C1627" s="1" t="s">
        <v>1624</v>
      </c>
      <c r="D1627" s="3" t="str">
        <f>IFERROR(__xludf.DUMMYFUNCTION("GOOGLETRANSLATE(C1627,""en"",""pl"")"),"Nasz")</f>
        <v>Nasz</v>
      </c>
    </row>
    <row r="1628">
      <c r="C1628" s="1" t="s">
        <v>1625</v>
      </c>
      <c r="D1628" s="3" t="str">
        <f>IFERROR(__xludf.DUMMYFUNCTION("GOOGLETRANSLATE(C1628,""en"",""pl"")"),"Walisz")</f>
        <v>Walisz</v>
      </c>
    </row>
    <row r="1629">
      <c r="C1629" s="1" t="s">
        <v>1626</v>
      </c>
      <c r="D1629" s="3" t="str">
        <f>IFERROR(__xludf.DUMMYFUNCTION("GOOGLETRANSLATE(C1629,""en"",""pl"")"),"norma")</f>
        <v>norma</v>
      </c>
    </row>
    <row r="1630">
      <c r="C1630" s="1" t="s">
        <v>1627</v>
      </c>
      <c r="D1630" s="3" t="str">
        <f>IFERROR(__xludf.DUMMYFUNCTION("GOOGLETRANSLATE(C1630,""en"",""pl"")"),"blefowanie")</f>
        <v>blefowanie</v>
      </c>
    </row>
    <row r="1631">
      <c r="C1631" s="1" t="s">
        <v>1628</v>
      </c>
      <c r="D1631" s="3" t="str">
        <f>IFERROR(__xludf.DUMMYFUNCTION("GOOGLETRANSLATE(C1631,""en"",""pl"")"),"dozwolony")</f>
        <v>dozwolony</v>
      </c>
    </row>
    <row r="1632">
      <c r="C1632" s="1" t="s">
        <v>1629</v>
      </c>
      <c r="D1632" s="3" t="str">
        <f>IFERROR(__xludf.DUMMYFUNCTION("GOOGLETRANSLATE(C1632,""en"",""pl"")"),"nieobliczalny")</f>
        <v>nieobliczalny</v>
      </c>
    </row>
    <row r="1633">
      <c r="C1633" s="1" t="s">
        <v>1630</v>
      </c>
      <c r="D1633" s="3" t="str">
        <f>IFERROR(__xludf.DUMMYFUNCTION("GOOGLETRANSLATE(C1633,""en"",""pl"")"),"Wagner")</f>
        <v>Wagner</v>
      </c>
    </row>
    <row r="1634">
      <c r="C1634" s="1" t="s">
        <v>1631</v>
      </c>
      <c r="D1634" s="3" t="str">
        <f>IFERROR(__xludf.DUMMYFUNCTION("GOOGLETRANSLATE(C1634,""en"",""pl"")"),"zawieszenie")</f>
        <v>zawieszenie</v>
      </c>
    </row>
    <row r="1635">
      <c r="C1635" s="1" t="s">
        <v>1632</v>
      </c>
      <c r="D1635" s="3" t="str">
        <f>IFERROR(__xludf.DUMMYFUNCTION("GOOGLETRANSLATE(C1635,""en"",""pl"")"),"adresy")</f>
        <v>adresy</v>
      </c>
    </row>
    <row r="1636">
      <c r="C1636" s="1" t="s">
        <v>1633</v>
      </c>
      <c r="D1636" s="3" t="str">
        <f>IFERROR(__xludf.DUMMYFUNCTION("GOOGLETRANSLATE(C1636,""en"",""pl"")"),"znaczki")</f>
        <v>znaczki</v>
      </c>
    </row>
    <row r="1637">
      <c r="C1637" s="1" t="s">
        <v>1634</v>
      </c>
      <c r="D1637" s="3" t="str">
        <f>IFERROR(__xludf.DUMMYFUNCTION("GOOGLETRANSLATE(C1637,""en"",""pl"")"),"kategoria")</f>
        <v>kategoria</v>
      </c>
    </row>
    <row r="1638">
      <c r="C1638" s="1" t="s">
        <v>1635</v>
      </c>
      <c r="D1638" s="3" t="str">
        <f>IFERROR(__xludf.DUMMYFUNCTION("GOOGLETRANSLATE(C1638,""en"",""pl"")"),"przemiana")</f>
        <v>przemiana</v>
      </c>
    </row>
    <row r="1639">
      <c r="C1639" s="1" t="s">
        <v>1636</v>
      </c>
      <c r="D1639" s="3" t="str">
        <f>IFERROR(__xludf.DUMMYFUNCTION("GOOGLETRANSLATE(C1639,""en"",""pl"")"),"groszek")</f>
        <v>groszek</v>
      </c>
    </row>
    <row r="1640">
      <c r="C1640" s="1" t="s">
        <v>1637</v>
      </c>
      <c r="D1640" s="3" t="str">
        <f>IFERROR(__xludf.DUMMYFUNCTION("GOOGLETRANSLATE(C1640,""en"",""pl"")"),"ostrożny")</f>
        <v>ostrożny</v>
      </c>
    </row>
    <row r="1641">
      <c r="C1641" s="1" t="s">
        <v>1638</v>
      </c>
      <c r="D1641" s="3" t="str">
        <f>IFERROR(__xludf.DUMMYFUNCTION("GOOGLETRANSLATE(C1641,""en"",""pl"")"),"k.")</f>
        <v>k.</v>
      </c>
    </row>
    <row r="1642">
      <c r="C1642" s="1" t="s">
        <v>1639</v>
      </c>
      <c r="D1642" s="3" t="str">
        <f>IFERROR(__xludf.DUMMYFUNCTION("GOOGLETRANSLATE(C1642,""en"",""pl"")"),"Izabela")</f>
        <v>Izabela</v>
      </c>
    </row>
    <row r="1643">
      <c r="C1643" s="1" t="s">
        <v>1640</v>
      </c>
      <c r="D1643" s="3" t="str">
        <f>IFERROR(__xludf.DUMMYFUNCTION("GOOGLETRANSLATE(C1643,""en"",""pl"")"),"porównanie")</f>
        <v>porównanie</v>
      </c>
    </row>
    <row r="1644">
      <c r="C1644" s="1" t="s">
        <v>1641</v>
      </c>
      <c r="D1644" s="3" t="str">
        <f>IFERROR(__xludf.DUMMYFUNCTION("GOOGLETRANSLATE(C1644,""en"",""pl"")"),"płaszcze")</f>
        <v>płaszcze</v>
      </c>
    </row>
    <row r="1645">
      <c r="C1645" s="1" t="s">
        <v>1642</v>
      </c>
      <c r="D1645" s="3" t="str">
        <f>IFERROR(__xludf.DUMMYFUNCTION("GOOGLETRANSLATE(C1645,""en"",""pl"")"),"islam")</f>
        <v>islam</v>
      </c>
    </row>
    <row r="1646">
      <c r="C1646" s="1" t="s">
        <v>1643</v>
      </c>
      <c r="D1646" s="3" t="str">
        <f>IFERROR(__xludf.DUMMYFUNCTION("GOOGLETRANSLATE(C1646,""en"",""pl"")"),"bandyci")</f>
        <v>bandyci</v>
      </c>
    </row>
    <row r="1647">
      <c r="C1647" s="1" t="s">
        <v>1644</v>
      </c>
      <c r="D1647" s="3" t="str">
        <f>IFERROR(__xludf.DUMMYFUNCTION("GOOGLETRANSLATE(C1647,""en"",""pl"")"),"gramy")</f>
        <v>gramy</v>
      </c>
    </row>
    <row r="1648">
      <c r="C1648" s="1" t="s">
        <v>1645</v>
      </c>
      <c r="D1648" s="3" t="str">
        <f>IFERROR(__xludf.DUMMYFUNCTION("GOOGLETRANSLATE(C1648,""en"",""pl"")"),"student pierwszego roku")</f>
        <v>student pierwszego roku</v>
      </c>
    </row>
    <row r="1649">
      <c r="C1649" s="1" t="s">
        <v>1646</v>
      </c>
      <c r="D1649" s="3" t="str">
        <f>IFERROR(__xludf.DUMMYFUNCTION("GOOGLETRANSLATE(C1649,""en"",""pl"")"),"WC")</f>
        <v>WC</v>
      </c>
    </row>
    <row r="1650">
      <c r="C1650" s="1" t="s">
        <v>1647</v>
      </c>
      <c r="D1650" s="3" t="str">
        <f>IFERROR(__xludf.DUMMYFUNCTION("GOOGLETRANSLATE(C1650,""en"",""pl"")"),"bankiet")</f>
        <v>bankiet</v>
      </c>
    </row>
    <row r="1651">
      <c r="C1651" s="1" t="s">
        <v>1648</v>
      </c>
      <c r="D1651" s="3" t="str">
        <f>IFERROR(__xludf.DUMMYFUNCTION("GOOGLETRANSLATE(C1651,""en"",""pl"")"),"wspaniały wyczyn")</f>
        <v>wspaniały wyczyn</v>
      </c>
    </row>
    <row r="1652">
      <c r="C1652" s="1" t="s">
        <v>1649</v>
      </c>
      <c r="D1652" s="3" t="str">
        <f>IFERROR(__xludf.DUMMYFUNCTION("GOOGLETRANSLATE(C1652,""en"",""pl"")"),"przygotowany w shakerze")</f>
        <v>przygotowany w shakerze</v>
      </c>
    </row>
    <row r="1653">
      <c r="C1653" s="1" t="s">
        <v>1650</v>
      </c>
      <c r="D1653" s="3" t="str">
        <f>IFERROR(__xludf.DUMMYFUNCTION("GOOGLETRANSLATE(C1653,""en"",""pl"")"),"śledztwa")</f>
        <v>śledztwa</v>
      </c>
    </row>
    <row r="1654">
      <c r="C1654" s="1" t="s">
        <v>1651</v>
      </c>
      <c r="D1654" s="3" t="str">
        <f>IFERROR(__xludf.DUMMYFUNCTION("GOOGLETRANSLATE(C1654,""en"",""pl"")"),"szczoteczka do zębów")</f>
        <v>szczoteczka do zębów</v>
      </c>
    </row>
    <row r="1655">
      <c r="C1655" s="1" t="s">
        <v>1652</v>
      </c>
      <c r="D1655" s="3" t="str">
        <f>IFERROR(__xludf.DUMMYFUNCTION("GOOGLETRANSLATE(C1655,""en"",""pl"")"),"Wyrażony")</f>
        <v>Wyrażony</v>
      </c>
    </row>
    <row r="1656">
      <c r="C1656" s="1" t="s">
        <v>1653</v>
      </c>
      <c r="D1656" s="3" t="str">
        <f>IFERROR(__xludf.DUMMYFUNCTION("GOOGLETRANSLATE(C1656,""en"",""pl"")"),"wulgarny")</f>
        <v>wulgarny</v>
      </c>
    </row>
    <row r="1657">
      <c r="C1657" s="1" t="s">
        <v>1654</v>
      </c>
      <c r="D1657" s="3" t="str">
        <f>IFERROR(__xludf.DUMMYFUNCTION("GOOGLETRANSLATE(C1657,""en"",""pl"")"),"straszyć")</f>
        <v>straszyć</v>
      </c>
    </row>
    <row r="1658">
      <c r="C1658" s="1" t="s">
        <v>1655</v>
      </c>
      <c r="D1658" s="3" t="str">
        <f>IFERROR(__xludf.DUMMYFUNCTION("GOOGLETRANSLATE(C1658,""en"",""pl"")"),"poprawa")</f>
        <v>poprawa</v>
      </c>
    </row>
    <row r="1659">
      <c r="C1659" s="1" t="s">
        <v>1656</v>
      </c>
      <c r="D1659" s="3" t="str">
        <f>IFERROR(__xludf.DUMMYFUNCTION("GOOGLETRANSLATE(C1659,""en"",""pl"")"),"Zeus")</f>
        <v>Zeus</v>
      </c>
    </row>
    <row r="1660">
      <c r="C1660" s="1" t="s">
        <v>1657</v>
      </c>
      <c r="D1660" s="3" t="str">
        <f>IFERROR(__xludf.DUMMYFUNCTION("GOOGLETRANSLATE(C1660,""en"",""pl"")"),"Murdoch")</f>
        <v>Murdoch</v>
      </c>
    </row>
    <row r="1661">
      <c r="C1661" s="1" t="s">
        <v>1658</v>
      </c>
      <c r="D1661" s="3" t="str">
        <f>IFERROR(__xludf.DUMMYFUNCTION("GOOGLETRANSLATE(C1661,""en"",""pl"")"),"pachnący")</f>
        <v>pachnący</v>
      </c>
    </row>
    <row r="1662">
      <c r="C1662" s="1" t="s">
        <v>1659</v>
      </c>
      <c r="D1662" s="3" t="str">
        <f>IFERROR(__xludf.DUMMYFUNCTION("GOOGLETRANSLATE(C1662,""en"",""pl"")"),"kirby")</f>
        <v>kirby</v>
      </c>
    </row>
    <row r="1663">
      <c r="C1663" s="1" t="s">
        <v>1660</v>
      </c>
      <c r="D1663" s="3" t="str">
        <f>IFERROR(__xludf.DUMMYFUNCTION("GOOGLETRANSLATE(C1663,""en"",""pl"")"),"remont")</f>
        <v>remont</v>
      </c>
    </row>
    <row r="1664">
      <c r="C1664" s="1" t="s">
        <v>1661</v>
      </c>
      <c r="D1664" s="3" t="str">
        <f>IFERROR(__xludf.DUMMYFUNCTION("GOOGLETRANSLATE(C1664,""en"",""pl"")"),"dżong")</f>
        <v>dżong</v>
      </c>
    </row>
    <row r="1665">
      <c r="C1665" s="1" t="s">
        <v>1662</v>
      </c>
      <c r="D1665" s="3" t="str">
        <f>IFERROR(__xludf.DUMMYFUNCTION("GOOGLETRANSLATE(C1665,""en"",""pl"")"),"prowadzone")</f>
        <v>prowadzone</v>
      </c>
    </row>
    <row r="1666">
      <c r="C1666" s="1" t="s">
        <v>1663</v>
      </c>
      <c r="D1666" s="3" t="str">
        <f>IFERROR(__xludf.DUMMYFUNCTION("GOOGLETRANSLATE(C1666,""en"",""pl"")"),"Ollie")</f>
        <v>Ollie</v>
      </c>
    </row>
    <row r="1667">
      <c r="C1667" s="1" t="s">
        <v>1664</v>
      </c>
      <c r="D1667" s="3" t="str">
        <f>IFERROR(__xludf.DUMMYFUNCTION("GOOGLETRANSLATE(C1667,""en"",""pl"")"),"piekarnia")</f>
        <v>piekarnia</v>
      </c>
    </row>
    <row r="1668">
      <c r="C1668" s="1" t="s">
        <v>1665</v>
      </c>
      <c r="D1668" s="3" t="str">
        <f>IFERROR(__xludf.DUMMYFUNCTION("GOOGLETRANSLATE(C1668,""en"",""pl"")"),"rozbijanie")</f>
        <v>rozbijanie</v>
      </c>
    </row>
    <row r="1669">
      <c r="C1669" s="1" t="s">
        <v>1666</v>
      </c>
      <c r="D1669" s="3" t="str">
        <f>IFERROR(__xludf.DUMMYFUNCTION("GOOGLETRANSLATE(C1669,""en"",""pl"")"),"zbadano")</f>
        <v>zbadano</v>
      </c>
    </row>
    <row r="1670">
      <c r="C1670" s="1" t="s">
        <v>1667</v>
      </c>
      <c r="D1670" s="3" t="str">
        <f>IFERROR(__xludf.DUMMYFUNCTION("GOOGLETRANSLATE(C1670,""en"",""pl"")"),"Lata 60.")</f>
        <v>Lata 60.</v>
      </c>
    </row>
    <row r="1671">
      <c r="C1671" s="1" t="s">
        <v>1668</v>
      </c>
      <c r="D1671" s="3" t="str">
        <f>IFERROR(__xludf.DUMMYFUNCTION("GOOGLETRANSLATE(C1671,""en"",""pl"")"),"wstęp")</f>
        <v>wstęp</v>
      </c>
    </row>
    <row r="1672">
      <c r="C1672" s="1" t="s">
        <v>1669</v>
      </c>
      <c r="D1672" s="3" t="str">
        <f>IFERROR(__xludf.DUMMYFUNCTION("GOOGLETRANSLATE(C1672,""en"",""pl"")"),"esej")</f>
        <v>esej</v>
      </c>
    </row>
    <row r="1673">
      <c r="C1673" s="1" t="s">
        <v>1670</v>
      </c>
      <c r="D1673" s="3" t="str">
        <f>IFERROR(__xludf.DUMMYFUNCTION("GOOGLETRANSLATE(C1673,""en"",""pl"")"),"świergot")</f>
        <v>świergot</v>
      </c>
    </row>
    <row r="1674">
      <c r="C1674" s="1" t="s">
        <v>1671</v>
      </c>
      <c r="D1674" s="3" t="str">
        <f>IFERROR(__xludf.DUMMYFUNCTION("GOOGLETRANSLATE(C1674,""en"",""pl"")"),"otchłań")</f>
        <v>otchłań</v>
      </c>
    </row>
    <row r="1675">
      <c r="C1675" s="1" t="s">
        <v>1672</v>
      </c>
      <c r="D1675" s="3" t="str">
        <f>IFERROR(__xludf.DUMMYFUNCTION("GOOGLETRANSLATE(C1675,""en"",""pl"")"),"mniej")</f>
        <v>mniej</v>
      </c>
    </row>
    <row r="1676">
      <c r="C1676" s="1" t="s">
        <v>1673</v>
      </c>
      <c r="D1676" s="3" t="str">
        <f>IFERROR(__xludf.DUMMYFUNCTION("GOOGLETRANSLATE(C1676,""en"",""pl"")"),"strzegący")</f>
        <v>strzegący</v>
      </c>
    </row>
    <row r="1677">
      <c r="C1677" s="1" t="s">
        <v>1674</v>
      </c>
      <c r="D1677" s="3" t="str">
        <f>IFERROR(__xludf.DUMMYFUNCTION("GOOGLETRANSLATE(C1677,""en"",""pl"")"),"zmieniony")</f>
        <v>zmieniony</v>
      </c>
    </row>
    <row r="1678">
      <c r="C1678" s="1" t="s">
        <v>1675</v>
      </c>
      <c r="D1678" s="3" t="str">
        <f>IFERROR(__xludf.DUMMYFUNCTION("GOOGLETRANSLATE(C1678,""en"",""pl"")"),"odkładanie do akt")</f>
        <v>odkładanie do akt</v>
      </c>
    </row>
    <row r="1679">
      <c r="C1679" s="1" t="s">
        <v>1676</v>
      </c>
      <c r="D1679" s="3" t="str">
        <f>IFERROR(__xludf.DUMMYFUNCTION("GOOGLETRANSLATE(C1679,""en"",""pl"")"),"ekstaza")</f>
        <v>ekstaza</v>
      </c>
    </row>
    <row r="1680">
      <c r="C1680" s="1" t="s">
        <v>1677</v>
      </c>
      <c r="D1680" s="3" t="str">
        <f>IFERROR(__xludf.DUMMYFUNCTION("GOOGLETRANSLATE(C1680,""en"",""pl"")"),"urywek")</f>
        <v>urywek</v>
      </c>
    </row>
    <row r="1681">
      <c r="C1681" s="1" t="s">
        <v>1678</v>
      </c>
      <c r="D1681" s="3" t="str">
        <f>IFERROR(__xludf.DUMMYFUNCTION("GOOGLETRANSLATE(C1681,""en"",""pl"")"),"przechowywany")</f>
        <v>przechowywany</v>
      </c>
    </row>
    <row r="1682">
      <c r="C1682" s="1" t="s">
        <v>1679</v>
      </c>
      <c r="D1682" s="3" t="str">
        <f>IFERROR(__xludf.DUMMYFUNCTION("GOOGLETRANSLATE(C1682,""en"",""pl"")"),"tropikalny")</f>
        <v>tropikalny</v>
      </c>
    </row>
    <row r="1683">
      <c r="C1683" s="1" t="s">
        <v>1680</v>
      </c>
      <c r="D1683" s="3" t="str">
        <f>IFERROR(__xludf.DUMMYFUNCTION("GOOGLETRANSLATE(C1683,""en"",""pl"")"),"Apteka")</f>
        <v>Apteka</v>
      </c>
    </row>
    <row r="1684">
      <c r="C1684" s="1" t="s">
        <v>1681</v>
      </c>
      <c r="D1684" s="3" t="str">
        <f>IFERROR(__xludf.DUMMYFUNCTION("GOOGLETRANSLATE(C1684,""en"",""pl"")"),"Dalton")</f>
        <v>Dalton</v>
      </c>
    </row>
    <row r="1685">
      <c r="C1685" s="1" t="s">
        <v>1682</v>
      </c>
      <c r="D1685" s="3" t="str">
        <f>IFERROR(__xludf.DUMMYFUNCTION("GOOGLETRANSLATE(C1685,""en"",""pl"")"),"wysokość")</f>
        <v>wysokość</v>
      </c>
    </row>
    <row r="1686">
      <c r="C1686" s="1" t="s">
        <v>1683</v>
      </c>
      <c r="D1686" s="3" t="str">
        <f>IFERROR(__xludf.DUMMYFUNCTION("GOOGLETRANSLATE(C1686,""en"",""pl"")"),"Podziwiany")</f>
        <v>Podziwiany</v>
      </c>
    </row>
    <row r="1687">
      <c r="C1687" s="1" t="s">
        <v>1684</v>
      </c>
      <c r="D1687" s="3" t="str">
        <f>IFERROR(__xludf.DUMMYFUNCTION("GOOGLETRANSLATE(C1687,""en"",""pl"")"),"palant")</f>
        <v>palant</v>
      </c>
    </row>
    <row r="1688">
      <c r="C1688" s="1" t="s">
        <v>1685</v>
      </c>
      <c r="D1688" s="3" t="str">
        <f>IFERROR(__xludf.DUMMYFUNCTION("GOOGLETRANSLATE(C1688,""en"",""pl"")"),"priya")</f>
        <v>priya</v>
      </c>
    </row>
    <row r="1689">
      <c r="C1689" s="1" t="s">
        <v>1686</v>
      </c>
      <c r="D1689" s="3" t="str">
        <f>IFERROR(__xludf.DUMMYFUNCTION("GOOGLETRANSLATE(C1689,""en"",""pl"")"),"mama")</f>
        <v>mama</v>
      </c>
    </row>
    <row r="1690">
      <c r="C1690" s="1" t="s">
        <v>1687</v>
      </c>
      <c r="D1690" s="3" t="str">
        <f>IFERROR(__xludf.DUMMYFUNCTION("GOOGLETRANSLATE(C1690,""en"",""pl"")"),"moe")</f>
        <v>moe</v>
      </c>
    </row>
    <row r="1691">
      <c r="C1691" s="1" t="s">
        <v>1688</v>
      </c>
      <c r="D1691" s="3" t="str">
        <f>IFERROR(__xludf.DUMMYFUNCTION("GOOGLETRANSLATE(C1691,""en"",""pl"")"),"mielić")</f>
        <v>mielić</v>
      </c>
    </row>
    <row r="1692">
      <c r="C1692" s="1" t="s">
        <v>1689</v>
      </c>
      <c r="D1692" s="3" t="str">
        <f>IFERROR(__xludf.DUMMYFUNCTION("GOOGLETRANSLATE(C1692,""en"",""pl"")"),"Bombaj")</f>
        <v>Bombaj</v>
      </c>
    </row>
    <row r="1693">
      <c r="C1693" s="4" t="s">
        <v>1690</v>
      </c>
      <c r="D1693" s="3" t="str">
        <f>IFERROR(__xludf.DUMMYFUNCTION("GOOGLETRANSLATE(C1693,""en"",""pl"")"),"On")</f>
        <v>On</v>
      </c>
    </row>
    <row r="1694">
      <c r="C1694" s="1" t="s">
        <v>1691</v>
      </c>
      <c r="D1694" s="3" t="str">
        <f>IFERROR(__xludf.DUMMYFUNCTION("GOOGLETRANSLATE(C1694,""en"",""pl"")"),"najniższy")</f>
        <v>najniższy</v>
      </c>
    </row>
    <row r="1695">
      <c r="C1695" s="1" t="s">
        <v>1692</v>
      </c>
      <c r="D1695" s="3" t="str">
        <f>IFERROR(__xludf.DUMMYFUNCTION("GOOGLETRANSLATE(C1695,""en"",""pl"")"),"robić")</f>
        <v>robić</v>
      </c>
    </row>
    <row r="1696">
      <c r="C1696" s="1" t="s">
        <v>1693</v>
      </c>
      <c r="D1696" s="3" t="str">
        <f>IFERROR(__xludf.DUMMYFUNCTION("GOOGLETRANSLATE(C1696,""en"",""pl"")"),"zdania")</f>
        <v>zdania</v>
      </c>
    </row>
    <row r="1697">
      <c r="C1697" s="1" t="s">
        <v>1694</v>
      </c>
      <c r="D1697" s="3" t="str">
        <f>IFERROR(__xludf.DUMMYFUNCTION("GOOGLETRANSLATE(C1697,""en"",""pl"")"),"niemy")</f>
        <v>niemy</v>
      </c>
    </row>
    <row r="1698">
      <c r="C1698" s="1" t="s">
        <v>1695</v>
      </c>
      <c r="D1698" s="3" t="str">
        <f>IFERROR(__xludf.DUMMYFUNCTION("GOOGLETRANSLATE(C1698,""en"",""pl"")"),"pełny etat")</f>
        <v>pełny etat</v>
      </c>
    </row>
    <row r="1699">
      <c r="C1699" s="1" t="s">
        <v>1696</v>
      </c>
      <c r="D1699" s="3" t="str">
        <f>IFERROR(__xludf.DUMMYFUNCTION("GOOGLETRANSLATE(C1699,""en"",""pl"")"),"drapanie")</f>
        <v>drapanie</v>
      </c>
    </row>
    <row r="1700">
      <c r="C1700" s="1" t="s">
        <v>1697</v>
      </c>
      <c r="D1700" s="3" t="str">
        <f>IFERROR(__xludf.DUMMYFUNCTION("GOOGLETRANSLATE(C1700,""en"",""pl"")"),"uwięziony")</f>
        <v>uwięziony</v>
      </c>
    </row>
    <row r="1701">
      <c r="C1701" s="1" t="s">
        <v>1698</v>
      </c>
      <c r="D1701" s="3" t="str">
        <f>IFERROR(__xludf.DUMMYFUNCTION("GOOGLETRANSLATE(C1701,""en"",""pl"")"),"duński")</f>
        <v>duński</v>
      </c>
    </row>
    <row r="1702">
      <c r="C1702" s="1" t="s">
        <v>1699</v>
      </c>
      <c r="D1702" s="3" t="str">
        <f>IFERROR(__xludf.DUMMYFUNCTION("GOOGLETRANSLATE(C1702,""en"",""pl"")"),"rozjarzony")</f>
        <v>rozjarzony</v>
      </c>
    </row>
    <row r="1703">
      <c r="C1703" s="1" t="s">
        <v>1700</v>
      </c>
      <c r="D1703" s="3" t="str">
        <f>IFERROR(__xludf.DUMMYFUNCTION("GOOGLETRANSLATE(C1703,""en"",""pl"")"),"Zhang")</f>
        <v>Zhang</v>
      </c>
    </row>
    <row r="1704">
      <c r="C1704" s="1" t="s">
        <v>1701</v>
      </c>
      <c r="D1704" s="3" t="str">
        <f>IFERROR(__xludf.DUMMYFUNCTION("GOOGLETRANSLATE(C1704,""en"",""pl"")"),"martini")</f>
        <v>martini</v>
      </c>
    </row>
    <row r="1705">
      <c r="C1705" s="1" t="s">
        <v>1702</v>
      </c>
      <c r="D1705" s="3" t="str">
        <f>IFERROR(__xludf.DUMMYFUNCTION("GOOGLETRANSLATE(C1705,""en"",""pl"")"),"Leah")</f>
        <v>Leah</v>
      </c>
    </row>
    <row r="1706">
      <c r="C1706" s="1" t="s">
        <v>1703</v>
      </c>
      <c r="D1706" s="3" t="str">
        <f>IFERROR(__xludf.DUMMYFUNCTION("GOOGLETRANSLATE(C1706,""en"",""pl"")"),"cesarzowa")</f>
        <v>cesarzowa</v>
      </c>
    </row>
    <row r="1707">
      <c r="C1707" s="1" t="s">
        <v>1704</v>
      </c>
      <c r="D1707" s="3" t="str">
        <f>IFERROR(__xludf.DUMMYFUNCTION("GOOGLETRANSLATE(C1707,""en"",""pl"")"),"wyposażony")</f>
        <v>wyposażony</v>
      </c>
    </row>
    <row r="1708">
      <c r="C1708" s="1" t="s">
        <v>1705</v>
      </c>
      <c r="D1708" s="3" t="str">
        <f>IFERROR(__xludf.DUMMYFUNCTION("GOOGLETRANSLATE(C1708,""en"",""pl"")"),"finał")</f>
        <v>finał</v>
      </c>
    </row>
    <row r="1709">
      <c r="C1709" s="1" t="s">
        <v>1706</v>
      </c>
      <c r="D1709" s="3" t="str">
        <f>IFERROR(__xludf.DUMMYFUNCTION("GOOGLETRANSLATE(C1709,""en"",""pl"")"),"Tarzan")</f>
        <v>Tarzan</v>
      </c>
    </row>
    <row r="1710">
      <c r="C1710" s="1" t="s">
        <v>1707</v>
      </c>
      <c r="D1710" s="3" t="str">
        <f>IFERROR(__xludf.DUMMYFUNCTION("GOOGLETRANSLATE(C1710,""en"",""pl"")"),"burze")</f>
        <v>burze</v>
      </c>
    </row>
    <row r="1711">
      <c r="C1711" s="1" t="s">
        <v>1708</v>
      </c>
      <c r="D1711" s="3" t="str">
        <f>IFERROR(__xludf.DUMMYFUNCTION("GOOGLETRANSLATE(C1711,""en"",""pl"")"),"powąchać")</f>
        <v>powąchać</v>
      </c>
    </row>
    <row r="1712">
      <c r="C1712" s="1" t="s">
        <v>1709</v>
      </c>
      <c r="D1712" s="3" t="str">
        <f>IFERROR(__xludf.DUMMYFUNCTION("GOOGLETRANSLATE(C1712,""en"",""pl"")"),"Oh.")</f>
        <v>Oh.</v>
      </c>
    </row>
    <row r="1713">
      <c r="C1713" s="1" t="s">
        <v>1710</v>
      </c>
      <c r="D1713" s="3" t="str">
        <f>IFERROR(__xludf.DUMMYFUNCTION("GOOGLETRANSLATE(C1713,""en"",""pl"")"),"Ja.")</f>
        <v>Ja.</v>
      </c>
    </row>
    <row r="1714">
      <c r="C1714" s="1" t="s">
        <v>1711</v>
      </c>
      <c r="D1714" s="3" t="str">
        <f>IFERROR(__xludf.DUMMYFUNCTION("GOOGLETRANSLATE(C1714,""en"",""pl"")"),"przysiek")</f>
        <v>przysiek</v>
      </c>
    </row>
    <row r="1715">
      <c r="C1715" s="1" t="s">
        <v>1712</v>
      </c>
      <c r="D1715" s="3" t="str">
        <f>IFERROR(__xludf.DUMMYFUNCTION("GOOGLETRANSLATE(C1715,""en"",""pl"")"),"bezbronny")</f>
        <v>bezbronny</v>
      </c>
    </row>
    <row r="1716">
      <c r="C1716" s="1" t="s">
        <v>1713</v>
      </c>
      <c r="D1716" s="3" t="str">
        <f>IFERROR(__xludf.DUMMYFUNCTION("GOOGLETRANSLATE(C1716,""en"",""pl"")"),"16.")</f>
        <v>16.</v>
      </c>
    </row>
    <row r="1717">
      <c r="C1717" s="1" t="s">
        <v>1714</v>
      </c>
      <c r="D1717" s="3" t="str">
        <f>IFERROR(__xludf.DUMMYFUNCTION("GOOGLETRANSLATE(C1717,""en"",""pl"")"),"naruszony")</f>
        <v>naruszony</v>
      </c>
    </row>
    <row r="1718">
      <c r="C1718" s="1" t="s">
        <v>1715</v>
      </c>
      <c r="D1718" s="3" t="str">
        <f>IFERROR(__xludf.DUMMYFUNCTION("GOOGLETRANSLATE(C1718,""en"",""pl"")"),"odpowietrznik")</f>
        <v>odpowietrznik</v>
      </c>
    </row>
    <row r="1719">
      <c r="C1719" s="1" t="s">
        <v>1716</v>
      </c>
      <c r="D1719" s="3" t="str">
        <f>IFERROR(__xludf.DUMMYFUNCTION("GOOGLETRANSLATE(C1719,""en"",""pl"")"),"DD")</f>
        <v>DD</v>
      </c>
    </row>
    <row r="1720">
      <c r="C1720" s="1" t="s">
        <v>1717</v>
      </c>
      <c r="D1720" s="3" t="str">
        <f>IFERROR(__xludf.DUMMYFUNCTION("GOOGLETRANSLATE(C1720,""en"",""pl"")"),"wyłom")</f>
        <v>wyłom</v>
      </c>
    </row>
    <row r="1721">
      <c r="C1721" s="1" t="s">
        <v>1718</v>
      </c>
      <c r="D1721" s="3" t="str">
        <f>IFERROR(__xludf.DUMMYFUNCTION("GOOGLETRANSLATE(C1721,""en"",""pl"")"),"stadnina")</f>
        <v>stadnina</v>
      </c>
    </row>
    <row r="1722">
      <c r="C1722" s="1" t="s">
        <v>1719</v>
      </c>
      <c r="D1722" s="3" t="str">
        <f>IFERROR(__xludf.DUMMYFUNCTION("GOOGLETRANSLATE(C1722,""en"",""pl"")"),"zaadresowany")</f>
        <v>zaadresowany</v>
      </c>
    </row>
    <row r="1723">
      <c r="C1723" s="1" t="s">
        <v>1720</v>
      </c>
      <c r="D1723" s="3" t="str">
        <f>IFERROR(__xludf.DUMMYFUNCTION("GOOGLETRANSLATE(C1723,""en"",""pl"")"),"taktyczny")</f>
        <v>taktyczny</v>
      </c>
    </row>
    <row r="1724">
      <c r="C1724" s="1" t="s">
        <v>1721</v>
      </c>
      <c r="D1724" s="3" t="str">
        <f>IFERROR(__xludf.DUMMYFUNCTION("GOOGLETRANSLATE(C1724,""en"",""pl"")"),"statki")</f>
        <v>statki</v>
      </c>
    </row>
    <row r="1725">
      <c r="C1725" s="1" t="s">
        <v>1722</v>
      </c>
      <c r="D1725" s="3" t="str">
        <f>IFERROR(__xludf.DUMMYFUNCTION("GOOGLETRANSLATE(C1725,""en"",""pl"")"),"procedury")</f>
        <v>procedury</v>
      </c>
    </row>
    <row r="1726">
      <c r="C1726" s="1" t="s">
        <v>1723</v>
      </c>
      <c r="D1726" s="3" t="str">
        <f>IFERROR(__xludf.DUMMYFUNCTION("GOOGLETRANSLATE(C1726,""en"",""pl"")"),"ching")</f>
        <v>ching</v>
      </c>
    </row>
    <row r="1727">
      <c r="C1727" s="1" t="s">
        <v>1724</v>
      </c>
      <c r="D1727" s="3" t="str">
        <f>IFERROR(__xludf.DUMMYFUNCTION("GOOGLETRANSLATE(C1727,""en"",""pl"")"),"jeść obiad")</f>
        <v>jeść obiad</v>
      </c>
    </row>
    <row r="1728">
      <c r="C1728" s="1" t="s">
        <v>1725</v>
      </c>
      <c r="D1728" s="3" t="str">
        <f>IFERROR(__xludf.DUMMYFUNCTION("GOOGLETRANSLATE(C1728,""en"",""pl"")"),"rysuje")</f>
        <v>rysuje</v>
      </c>
    </row>
    <row r="1729">
      <c r="C1729" s="1" t="s">
        <v>1726</v>
      </c>
      <c r="D1729" s="3" t="str">
        <f>IFERROR(__xludf.DUMMYFUNCTION("GOOGLETRANSLATE(C1729,""en"",""pl"")"),"tłumy")</f>
        <v>tłumy</v>
      </c>
    </row>
    <row r="1730">
      <c r="C1730" s="1" t="s">
        <v>1727</v>
      </c>
      <c r="D1730" s="3" t="str">
        <f>IFERROR(__xludf.DUMMYFUNCTION("GOOGLETRANSLATE(C1730,""en"",""pl"")"),"kończyna")</f>
        <v>kończyna</v>
      </c>
    </row>
    <row r="1731">
      <c r="C1731" s="1" t="s">
        <v>1728</v>
      </c>
      <c r="D1731" s="3" t="str">
        <f>IFERROR(__xludf.DUMMYFUNCTION("GOOGLETRANSLATE(C1731,""en"",""pl"")"),"wełna")</f>
        <v>wełna</v>
      </c>
    </row>
    <row r="1732">
      <c r="C1732" s="1" t="s">
        <v>1729</v>
      </c>
      <c r="D1732" s="3" t="str">
        <f>IFERROR(__xludf.DUMMYFUNCTION("GOOGLETRANSLATE(C1732,""en"",""pl"")"),"Montana")</f>
        <v>Montana</v>
      </c>
    </row>
    <row r="1733">
      <c r="C1733" s="1" t="s">
        <v>1730</v>
      </c>
      <c r="D1733" s="3" t="str">
        <f>IFERROR(__xludf.DUMMYFUNCTION("GOOGLETRANSLATE(C1733,""en"",""pl"")"),"Jan")</f>
        <v>Jan</v>
      </c>
    </row>
    <row r="1734">
      <c r="C1734" s="1" t="s">
        <v>1731</v>
      </c>
      <c r="D1734" s="3" t="str">
        <f>IFERROR(__xludf.DUMMYFUNCTION("GOOGLETRANSLATE(C1734,""en"",""pl"")"),"targanie")</f>
        <v>targanie</v>
      </c>
    </row>
    <row r="1735">
      <c r="C1735" s="1" t="s">
        <v>1732</v>
      </c>
      <c r="D1735" s="3" t="str">
        <f>IFERROR(__xludf.DUMMYFUNCTION("GOOGLETRANSLATE(C1735,""en"",""pl"")"),"zdrętwiały")</f>
        <v>zdrętwiały</v>
      </c>
    </row>
    <row r="1736">
      <c r="C1736" s="1" t="s">
        <v>1733</v>
      </c>
      <c r="D1736" s="3" t="str">
        <f>IFERROR(__xludf.DUMMYFUNCTION("GOOGLETRANSLATE(C1736,""en"",""pl"")"),"oceany")</f>
        <v>oceany</v>
      </c>
    </row>
    <row r="1737">
      <c r="C1737" s="1" t="s">
        <v>1734</v>
      </c>
      <c r="D1737" s="3" t="str">
        <f>IFERROR(__xludf.DUMMYFUNCTION("GOOGLETRANSLATE(C1737,""en"",""pl"")"),"bezcenny")</f>
        <v>bezcenny</v>
      </c>
    </row>
    <row r="1738">
      <c r="C1738" s="1" t="s">
        <v>1735</v>
      </c>
      <c r="D1738" s="3" t="str">
        <f>IFERROR(__xludf.DUMMYFUNCTION("GOOGLETRANSLATE(C1738,""en"",""pl"")"),"kołysanie")</f>
        <v>kołysanie</v>
      </c>
    </row>
    <row r="1739">
      <c r="C1739" s="1" t="s">
        <v>1736</v>
      </c>
      <c r="D1739" s="3" t="str">
        <f>IFERROR(__xludf.DUMMYFUNCTION("GOOGLETRANSLATE(C1739,""en"",""pl"")"),"imponujący")</f>
        <v>imponujący</v>
      </c>
    </row>
    <row r="1740">
      <c r="C1740" s="1" t="s">
        <v>1737</v>
      </c>
      <c r="D1740" s="3" t="str">
        <f>IFERROR(__xludf.DUMMYFUNCTION("GOOGLETRANSLATE(C1740,""en"",""pl"")"),"odprężający")</f>
        <v>odprężający</v>
      </c>
    </row>
    <row r="1741">
      <c r="C1741" s="1" t="s">
        <v>1738</v>
      </c>
      <c r="D1741" s="3" t="str">
        <f>IFERROR(__xludf.DUMMYFUNCTION("GOOGLETRANSLATE(C1741,""en"",""pl"")"),"klekocze")</f>
        <v>klekocze</v>
      </c>
    </row>
    <row r="1742">
      <c r="C1742" s="1" t="s">
        <v>1739</v>
      </c>
      <c r="D1742" s="3" t="str">
        <f>IFERROR(__xludf.DUMMYFUNCTION("GOOGLETRANSLATE(C1742,""en"",""pl"")"),"dziękuję")</f>
        <v>dziękuję</v>
      </c>
    </row>
    <row r="1743">
      <c r="C1743" s="1" t="s">
        <v>1740</v>
      </c>
      <c r="D1743" s="3" t="str">
        <f>IFERROR(__xludf.DUMMYFUNCTION("GOOGLETRANSLATE(C1743,""en"",""pl"")"),"Gerard")</f>
        <v>Gerard</v>
      </c>
    </row>
    <row r="1744">
      <c r="C1744" s="1" t="s">
        <v>1741</v>
      </c>
      <c r="D1744" s="3" t="str">
        <f>IFERROR(__xludf.DUMMYFUNCTION("GOOGLETRANSLATE(C1744,""en"",""pl"")"),"pakiety")</f>
        <v>pakiety</v>
      </c>
    </row>
    <row r="1745">
      <c r="C1745" s="1" t="s">
        <v>1742</v>
      </c>
      <c r="D1745" s="3" t="str">
        <f>IFERROR(__xludf.DUMMYFUNCTION("GOOGLETRANSLATE(C1745,""en"",""pl"")"),"salon")</f>
        <v>salon</v>
      </c>
    </row>
    <row r="1746">
      <c r="C1746" s="1" t="s">
        <v>1743</v>
      </c>
      <c r="D1746" s="3" t="str">
        <f>IFERROR(__xludf.DUMMYFUNCTION("GOOGLETRANSLATE(C1746,""en"",""pl"")"),"kapusta")</f>
        <v>kapusta</v>
      </c>
    </row>
    <row r="1747">
      <c r="C1747" s="1" t="s">
        <v>1744</v>
      </c>
      <c r="D1747" s="3" t="str">
        <f>IFERROR(__xludf.DUMMYFUNCTION("GOOGLETRANSLATE(C1747,""en"",""pl"")"),"Józef")</f>
        <v>Józef</v>
      </c>
    </row>
    <row r="1748">
      <c r="C1748" s="1" t="s">
        <v>1745</v>
      </c>
      <c r="D1748" s="3" t="str">
        <f>IFERROR(__xludf.DUMMYFUNCTION("GOOGLETRANSLATE(C1748,""en"",""pl"")"),"intruz")</f>
        <v>intruz</v>
      </c>
    </row>
    <row r="1749">
      <c r="C1749" s="1" t="s">
        <v>1746</v>
      </c>
      <c r="D1749" s="3" t="str">
        <f>IFERROR(__xludf.DUMMYFUNCTION("GOOGLETRANSLATE(C1749,""en"",""pl"")"),"znaczny")</f>
        <v>znaczny</v>
      </c>
    </row>
    <row r="1750">
      <c r="C1750" s="1" t="s">
        <v>1747</v>
      </c>
      <c r="D1750" s="3" t="str">
        <f>IFERROR(__xludf.DUMMYFUNCTION("GOOGLETRANSLATE(C1750,""en"",""pl"")"),"argumentował")</f>
        <v>argumentował</v>
      </c>
    </row>
    <row r="1751">
      <c r="C1751" s="1" t="s">
        <v>1748</v>
      </c>
      <c r="D1751" s="3" t="str">
        <f>IFERROR(__xludf.DUMMYFUNCTION("GOOGLETRANSLATE(C1751,""en"",""pl"")"),"paladyn")</f>
        <v>paladyn</v>
      </c>
    </row>
    <row r="1752">
      <c r="C1752" s="1" t="s">
        <v>1749</v>
      </c>
      <c r="D1752" s="3" t="str">
        <f>IFERROR(__xludf.DUMMYFUNCTION("GOOGLETRANSLATE(C1752,""en"",""pl"")"),"opowiadać")</f>
        <v>opowiadać</v>
      </c>
    </row>
    <row r="1753">
      <c r="C1753" s="1" t="s">
        <v>1750</v>
      </c>
      <c r="D1753" s="3" t="str">
        <f>IFERROR(__xludf.DUMMYFUNCTION("GOOGLETRANSLATE(C1753,""en"",""pl"")"),"uczniowie")</f>
        <v>uczniowie</v>
      </c>
    </row>
    <row r="1754">
      <c r="C1754" s="1" t="s">
        <v>1751</v>
      </c>
      <c r="D1754" s="3" t="str">
        <f>IFERROR(__xludf.DUMMYFUNCTION("GOOGLETRANSLATE(C1754,""en"",""pl"")"),"inspirować")</f>
        <v>inspirować</v>
      </c>
    </row>
    <row r="1755">
      <c r="C1755" s="1" t="s">
        <v>1752</v>
      </c>
      <c r="D1755" s="3" t="str">
        <f>IFERROR(__xludf.DUMMYFUNCTION("GOOGLETRANSLATE(C1755,""en"",""pl"")"),"pozytywnie")</f>
        <v>pozytywnie</v>
      </c>
    </row>
    <row r="1756">
      <c r="C1756" s="1" t="s">
        <v>1753</v>
      </c>
      <c r="D1756" s="3" t="str">
        <f>IFERROR(__xludf.DUMMYFUNCTION("GOOGLETRANSLATE(C1756,""en"",""pl"")"),"Igor")</f>
        <v>Igor</v>
      </c>
    </row>
    <row r="1757">
      <c r="C1757" s="1" t="s">
        <v>1754</v>
      </c>
      <c r="D1757" s="3" t="str">
        <f>IFERROR(__xludf.DUMMYFUNCTION("GOOGLETRANSLATE(C1757,""en"",""pl"")"),"handlowano")</f>
        <v>handlowano</v>
      </c>
    </row>
    <row r="1758">
      <c r="C1758" s="1" t="s">
        <v>1755</v>
      </c>
      <c r="D1758" s="3" t="str">
        <f>IFERROR(__xludf.DUMMYFUNCTION("GOOGLETRANSLATE(C1758,""en"",""pl"")"),"wysłany")</f>
        <v>wysłany</v>
      </c>
    </row>
    <row r="1759">
      <c r="C1759" s="1" t="s">
        <v>1756</v>
      </c>
      <c r="D1759" s="3" t="str">
        <f>IFERROR(__xludf.DUMMYFUNCTION("GOOGLETRANSLATE(C1759,""en"",""pl"")"),"kobiecy")</f>
        <v>kobiecy</v>
      </c>
    </row>
    <row r="1760">
      <c r="C1760" s="1" t="s">
        <v>1757</v>
      </c>
      <c r="D1760" s="3" t="str">
        <f>IFERROR(__xludf.DUMMYFUNCTION("GOOGLETRANSLATE(C1760,""en"",""pl"")"),"niejasny")</f>
        <v>niejasny</v>
      </c>
    </row>
    <row r="1761">
      <c r="C1761" s="1" t="s">
        <v>1758</v>
      </c>
      <c r="D1761" s="3" t="str">
        <f>IFERROR(__xludf.DUMMYFUNCTION("GOOGLETRANSLATE(C1761,""en"",""pl"")"),"częściowo")</f>
        <v>częściowo</v>
      </c>
    </row>
    <row r="1762">
      <c r="C1762" s="1" t="s">
        <v>1759</v>
      </c>
      <c r="D1762" s="3" t="str">
        <f>IFERROR(__xludf.DUMMYFUNCTION("GOOGLETRANSLATE(C1762,""en"",""pl"")"),"6.")</f>
        <v>6.</v>
      </c>
    </row>
    <row r="1763">
      <c r="C1763" s="1" t="s">
        <v>1760</v>
      </c>
      <c r="D1763" s="3" t="str">
        <f>IFERROR(__xludf.DUMMYFUNCTION("GOOGLETRANSLATE(C1763,""en"",""pl"")"),"wgląd")</f>
        <v>wgląd</v>
      </c>
    </row>
    <row r="1764">
      <c r="C1764" s="1" t="s">
        <v>1761</v>
      </c>
      <c r="D1764" s="3" t="str">
        <f>IFERROR(__xludf.DUMMYFUNCTION("GOOGLETRANSLATE(C1764,""en"",""pl"")"),"Łucja")</f>
        <v>Łucja</v>
      </c>
    </row>
    <row r="1765">
      <c r="C1765" s="1" t="s">
        <v>1762</v>
      </c>
      <c r="D1765" s="3" t="str">
        <f>IFERROR(__xludf.DUMMYFUNCTION("GOOGLETRANSLATE(C1765,""en"",""pl"")"),"gradacja")</f>
        <v>gradacja</v>
      </c>
    </row>
    <row r="1766">
      <c r="C1766" s="1" t="s">
        <v>1763</v>
      </c>
      <c r="D1766" s="3" t="str">
        <f>IFERROR(__xludf.DUMMYFUNCTION("GOOGLETRANSLATE(C1766,""en"",""pl"")"),"eee-")</f>
        <v>eee-</v>
      </c>
    </row>
    <row r="1767">
      <c r="C1767" s="1" t="s">
        <v>1764</v>
      </c>
      <c r="D1767" s="3" t="str">
        <f>IFERROR(__xludf.DUMMYFUNCTION("GOOGLETRANSLATE(C1767,""en"",""pl"")"),"scenariusz")</f>
        <v>scenariusz</v>
      </c>
    </row>
    <row r="1768">
      <c r="C1768" s="1" t="s">
        <v>1765</v>
      </c>
      <c r="D1768" s="3" t="str">
        <f>IFERROR(__xludf.DUMMYFUNCTION("GOOGLETRANSLATE(C1768,""en"",""pl"")"),"markiz")</f>
        <v>markiz</v>
      </c>
    </row>
    <row r="1769">
      <c r="C1769" s="1" t="s">
        <v>1766</v>
      </c>
      <c r="D1769" s="3" t="str">
        <f>IFERROR(__xludf.DUMMYFUNCTION("GOOGLETRANSLATE(C1769,""en"",""pl"")"),"Rahul")</f>
        <v>Rahul</v>
      </c>
    </row>
    <row r="1770">
      <c r="C1770" s="1" t="s">
        <v>1767</v>
      </c>
      <c r="D1770" s="3" t="str">
        <f>IFERROR(__xludf.DUMMYFUNCTION("GOOGLETRANSLATE(C1770,""en"",""pl"")"),"dojrzały")</f>
        <v>dojrzały</v>
      </c>
    </row>
    <row r="1771">
      <c r="C1771" s="1" t="s">
        <v>1768</v>
      </c>
      <c r="D1771" s="3" t="str">
        <f>IFERROR(__xludf.DUMMYFUNCTION("GOOGLETRANSLATE(C1771,""en"",""pl"")"),"oczekujący")</f>
        <v>oczekujący</v>
      </c>
    </row>
    <row r="1772">
      <c r="C1772" s="1" t="s">
        <v>1769</v>
      </c>
      <c r="D1772" s="3" t="str">
        <f>IFERROR(__xludf.DUMMYFUNCTION("GOOGLETRANSLATE(C1772,""en"",""pl"")"),"gołębie")</f>
        <v>gołębie</v>
      </c>
    </row>
    <row r="1773">
      <c r="C1773" s="1" t="s">
        <v>1770</v>
      </c>
      <c r="D1773" s="3" t="str">
        <f>IFERROR(__xludf.DUMMYFUNCTION("GOOGLETRANSLATE(C1773,""en"",""pl"")"),"Gliniany")</f>
        <v>Gliniany</v>
      </c>
    </row>
    <row r="1774">
      <c r="C1774" s="1" t="s">
        <v>1771</v>
      </c>
      <c r="D1774" s="3" t="str">
        <f>IFERROR(__xludf.DUMMYFUNCTION("GOOGLETRANSLATE(C1774,""en"",""pl"")"),"kuszony")</f>
        <v>kuszony</v>
      </c>
    </row>
    <row r="1775">
      <c r="C1775" s="1" t="s">
        <v>1772</v>
      </c>
      <c r="D1775" s="3" t="str">
        <f>IFERROR(__xludf.DUMMYFUNCTION("GOOGLETRANSLATE(C1775,""en"",""pl"")"),"dziedziczyć")</f>
        <v>dziedziczyć</v>
      </c>
    </row>
    <row r="1776">
      <c r="C1776" s="1" t="s">
        <v>1773</v>
      </c>
      <c r="D1776" s="3" t="str">
        <f>IFERROR(__xludf.DUMMYFUNCTION("GOOGLETRANSLATE(C1776,""en"",""pl"")"),"spadek")</f>
        <v>spadek</v>
      </c>
    </row>
    <row r="1777">
      <c r="C1777" s="1" t="s">
        <v>1774</v>
      </c>
      <c r="D1777" s="3" t="str">
        <f>IFERROR(__xludf.DUMMYFUNCTION("GOOGLETRANSLATE(C1777,""en"",""pl"")"),"Pensylwania")</f>
        <v>Pensylwania</v>
      </c>
    </row>
    <row r="1778">
      <c r="C1778" s="1" t="s">
        <v>1775</v>
      </c>
      <c r="D1778" s="3" t="str">
        <f>IFERROR(__xludf.DUMMYFUNCTION("GOOGLETRANSLATE(C1778,""en"",""pl"")"),"kieł")</f>
        <v>kieł</v>
      </c>
    </row>
    <row r="1779">
      <c r="C1779" s="1" t="s">
        <v>1776</v>
      </c>
      <c r="D1779" s="3" t="str">
        <f>IFERROR(__xludf.DUMMYFUNCTION("GOOGLETRANSLATE(C1779,""en"",""pl"")"),"sranie")</f>
        <v>sranie</v>
      </c>
    </row>
    <row r="1780">
      <c r="C1780" s="1" t="s">
        <v>1777</v>
      </c>
      <c r="D1780" s="3" t="str">
        <f>IFERROR(__xludf.DUMMYFUNCTION("GOOGLETRANSLATE(C1780,""en"",""pl"")"),"kilkadziesiąt")</f>
        <v>kilkadziesiąt</v>
      </c>
    </row>
    <row r="1781">
      <c r="C1781" s="1" t="s">
        <v>1778</v>
      </c>
      <c r="D1781" s="3" t="str">
        <f>IFERROR(__xludf.DUMMYFUNCTION("GOOGLETRANSLATE(C1781,""en"",""pl"")"),"gigantyczny")</f>
        <v>gigantyczny</v>
      </c>
    </row>
    <row r="1782">
      <c r="C1782" s="1" t="s">
        <v>1779</v>
      </c>
      <c r="D1782" s="3" t="str">
        <f>IFERROR(__xludf.DUMMYFUNCTION("GOOGLETRANSLATE(C1782,""en"",""pl"")"),"szanowny pan")</f>
        <v>szanowny pan</v>
      </c>
    </row>
    <row r="1783">
      <c r="C1783" s="1" t="s">
        <v>1780</v>
      </c>
      <c r="D1783" s="3" t="str">
        <f>IFERROR(__xludf.DUMMYFUNCTION("GOOGLETRANSLATE(C1783,""en"",""pl"")"),"odczyty")</f>
        <v>odczyty</v>
      </c>
    </row>
    <row r="1784">
      <c r="C1784" s="1" t="s">
        <v>1781</v>
      </c>
      <c r="D1784" s="3" t="str">
        <f>IFERROR(__xludf.DUMMYFUNCTION("GOOGLETRANSLATE(C1784,""en"",""pl"")"),"dyrektor szkoły")</f>
        <v>dyrektor szkoły</v>
      </c>
    </row>
    <row r="1785">
      <c r="C1785" s="1" t="s">
        <v>1782</v>
      </c>
      <c r="D1785" s="3" t="str">
        <f>IFERROR(__xludf.DUMMYFUNCTION("GOOGLETRANSLATE(C1785,""en"",""pl"")"),"dziesiąty")</f>
        <v>dziesiąty</v>
      </c>
    </row>
    <row r="1786">
      <c r="C1786" s="1" t="s">
        <v>1783</v>
      </c>
      <c r="D1786" s="3" t="str">
        <f>IFERROR(__xludf.DUMMYFUNCTION("GOOGLETRANSLATE(C1786,""en"",""pl"")"),"uszczelki")</f>
        <v>uszczelki</v>
      </c>
    </row>
    <row r="1787">
      <c r="C1787" s="1" t="s">
        <v>1784</v>
      </c>
      <c r="D1787" s="3" t="str">
        <f>IFERROR(__xludf.DUMMYFUNCTION("GOOGLETRANSLATE(C1787,""en"",""pl"")"),"Peyton")</f>
        <v>Peyton</v>
      </c>
    </row>
    <row r="1788">
      <c r="C1788" s="1" t="s">
        <v>1785</v>
      </c>
      <c r="D1788" s="3" t="str">
        <f>IFERROR(__xludf.DUMMYFUNCTION("GOOGLETRANSLATE(C1788,""en"",""pl"")"),"uniknięto")</f>
        <v>uniknięto</v>
      </c>
    </row>
    <row r="1789">
      <c r="C1789" s="1" t="s">
        <v>1786</v>
      </c>
      <c r="D1789" s="3" t="str">
        <f>IFERROR(__xludf.DUMMYFUNCTION("GOOGLETRANSLATE(C1789,""en"",""pl"")"),"koce")</f>
        <v>koce</v>
      </c>
    </row>
    <row r="1790">
      <c r="C1790" s="1" t="s">
        <v>1787</v>
      </c>
      <c r="D1790" s="3" t="str">
        <f>IFERROR(__xludf.DUMMYFUNCTION("GOOGLETRANSLATE(C1790,""en"",""pl"")"),"nakładanie się")</f>
        <v>nakładanie się</v>
      </c>
    </row>
    <row r="1791">
      <c r="C1791" s="1" t="s">
        <v>1788</v>
      </c>
      <c r="D1791" s="3" t="str">
        <f>IFERROR(__xludf.DUMMYFUNCTION("GOOGLETRANSLATE(C1791,""en"",""pl"")"),"odwrócony")</f>
        <v>odwrócony</v>
      </c>
    </row>
    <row r="1792">
      <c r="C1792" s="1" t="s">
        <v>1789</v>
      </c>
      <c r="D1792" s="3" t="str">
        <f>IFERROR(__xludf.DUMMYFUNCTION("GOOGLETRANSLATE(C1792,""en"",""pl"")"),"dawać")</f>
        <v>dawać</v>
      </c>
    </row>
    <row r="1793">
      <c r="C1793" s="1" t="s">
        <v>1790</v>
      </c>
      <c r="D1793" s="3" t="str">
        <f>IFERROR(__xludf.DUMMYFUNCTION("GOOGLETRANSLATE(C1793,""en"",""pl"")"),"reklamy")</f>
        <v>reklamy</v>
      </c>
    </row>
    <row r="1794">
      <c r="C1794" s="1" t="s">
        <v>1791</v>
      </c>
      <c r="D1794" s="3" t="str">
        <f>IFERROR(__xludf.DUMMYFUNCTION("GOOGLETRANSLATE(C1794,""en"",""pl"")"),"za kulisami")</f>
        <v>za kulisami</v>
      </c>
    </row>
    <row r="1795">
      <c r="C1795" s="1" t="s">
        <v>1792</v>
      </c>
      <c r="D1795" s="3" t="str">
        <f>IFERROR(__xludf.DUMMYFUNCTION("GOOGLETRANSLATE(C1795,""en"",""pl"")"),"kwiz")</f>
        <v>kwiz</v>
      </c>
    </row>
    <row r="1796">
      <c r="C1796" s="1" t="s">
        <v>1793</v>
      </c>
      <c r="D1796" s="3" t="str">
        <f>IFERROR(__xludf.DUMMYFUNCTION("GOOGLETRANSLATE(C1796,""en"",""pl"")"),"meczet")</f>
        <v>meczet</v>
      </c>
    </row>
    <row r="1797">
      <c r="C1797" s="1" t="s">
        <v>1794</v>
      </c>
      <c r="D1797" s="3" t="str">
        <f>IFERROR(__xludf.DUMMYFUNCTION("GOOGLETRANSLATE(C1797,""en"",""pl"")"),"tkacz")</f>
        <v>tkacz</v>
      </c>
    </row>
    <row r="1798">
      <c r="C1798" s="1" t="s">
        <v>1795</v>
      </c>
      <c r="D1798" s="3" t="str">
        <f>IFERROR(__xludf.DUMMYFUNCTION("GOOGLETRANSLATE(C1798,""en"",""pl"")"),"szczenięta")</f>
        <v>szczenięta</v>
      </c>
    </row>
    <row r="1799">
      <c r="C1799" s="1" t="s">
        <v>1796</v>
      </c>
      <c r="D1799" s="3" t="str">
        <f>IFERROR(__xludf.DUMMYFUNCTION("GOOGLETRANSLATE(C1799,""en"",""pl"")"),"stwierdził")</f>
        <v>stwierdził</v>
      </c>
    </row>
    <row r="1800">
      <c r="C1800" s="1" t="s">
        <v>1797</v>
      </c>
      <c r="D1800" s="3" t="str">
        <f>IFERROR(__xludf.DUMMYFUNCTION("GOOGLETRANSLATE(C1800,""en"",""pl"")"),"Wicki")</f>
        <v>Wicki</v>
      </c>
    </row>
    <row r="1801">
      <c r="C1801" s="1" t="s">
        <v>1798</v>
      </c>
      <c r="D1801" s="3" t="str">
        <f>IFERROR(__xludf.DUMMYFUNCTION("GOOGLETRANSLATE(C1801,""en"",""pl"")"),"dziwak")</f>
        <v>dziwak</v>
      </c>
    </row>
    <row r="1802">
      <c r="C1802" s="1" t="s">
        <v>1799</v>
      </c>
      <c r="D1802" s="3" t="str">
        <f>IFERROR(__xludf.DUMMYFUNCTION("GOOGLETRANSLATE(C1802,""en"",""pl"")"),"dobytek")</f>
        <v>dobytek</v>
      </c>
    </row>
    <row r="1803">
      <c r="C1803" s="1" t="s">
        <v>1800</v>
      </c>
      <c r="D1803" s="3" t="str">
        <f>IFERROR(__xludf.DUMMYFUNCTION("GOOGLETRANSLATE(C1803,""en"",""pl"")"),"funkcje")</f>
        <v>funkcje</v>
      </c>
    </row>
    <row r="1804">
      <c r="C1804" s="1" t="s">
        <v>1801</v>
      </c>
      <c r="D1804" s="3" t="str">
        <f>IFERROR(__xludf.DUMMYFUNCTION("GOOGLETRANSLATE(C1804,""en"",""pl"")"),"rezerwacje")</f>
        <v>rezerwacje</v>
      </c>
    </row>
    <row r="1805">
      <c r="C1805" s="1" t="s">
        <v>1802</v>
      </c>
      <c r="D1805" s="3" t="str">
        <f>IFERROR(__xludf.DUMMYFUNCTION("GOOGLETRANSLATE(C1805,""en"",""pl"")"),"chłodno")</f>
        <v>chłodno</v>
      </c>
    </row>
    <row r="1806">
      <c r="C1806" s="1" t="s">
        <v>1803</v>
      </c>
      <c r="D1806" s="3" t="str">
        <f>IFERROR(__xludf.DUMMYFUNCTION("GOOGLETRANSLATE(C1806,""en"",""pl"")"),"betsy")</f>
        <v>betsy</v>
      </c>
    </row>
    <row r="1807">
      <c r="C1807" s="1" t="s">
        <v>1804</v>
      </c>
      <c r="D1807" s="3" t="str">
        <f>IFERROR(__xludf.DUMMYFUNCTION("GOOGLETRANSLATE(C1807,""en"",""pl"")"),"najstarszy")</f>
        <v>najstarszy</v>
      </c>
    </row>
    <row r="1808">
      <c r="C1808" s="1" t="s">
        <v>1805</v>
      </c>
      <c r="D1808" s="3" t="str">
        <f>IFERROR(__xludf.DUMMYFUNCTION("GOOGLETRANSLATE(C1808,""en"",""pl"")"),"tradycje")</f>
        <v>tradycje</v>
      </c>
    </row>
    <row r="1809">
      <c r="C1809" s="1" t="s">
        <v>1806</v>
      </c>
      <c r="D1809" s="3" t="str">
        <f>IFERROR(__xludf.DUMMYFUNCTION("GOOGLETRANSLATE(C1809,""en"",""pl"")"),"fabryki")</f>
        <v>fabryki</v>
      </c>
    </row>
    <row r="1810">
      <c r="C1810" s="1" t="s">
        <v>1807</v>
      </c>
      <c r="D1810" s="3" t="str">
        <f>IFERROR(__xludf.DUMMYFUNCTION("GOOGLETRANSLATE(C1810,""en"",""pl"")"),"informacja zwrotna")</f>
        <v>informacja zwrotna</v>
      </c>
    </row>
    <row r="1811">
      <c r="C1811" s="1" t="s">
        <v>1808</v>
      </c>
      <c r="D1811" s="3" t="str">
        <f>IFERROR(__xludf.DUMMYFUNCTION("GOOGLETRANSLATE(C1811,""en"",""pl"")"),"wielokrotnie")</f>
        <v>wielokrotnie</v>
      </c>
    </row>
    <row r="1812">
      <c r="C1812" s="1" t="s">
        <v>1809</v>
      </c>
      <c r="D1812" s="3" t="str">
        <f>IFERROR(__xludf.DUMMYFUNCTION("GOOGLETRANSLATE(C1812,""en"",""pl"")"),"znakomity")</f>
        <v>znakomity</v>
      </c>
    </row>
    <row r="1813">
      <c r="C1813" s="1" t="s">
        <v>1810</v>
      </c>
      <c r="D1813" s="3" t="str">
        <f>IFERROR(__xludf.DUMMYFUNCTION("GOOGLETRANSLATE(C1813,""en"",""pl"")"),"marynata")</f>
        <v>marynata</v>
      </c>
    </row>
    <row r="1814">
      <c r="C1814" s="1" t="s">
        <v>1811</v>
      </c>
      <c r="D1814" s="3" t="str">
        <f>IFERROR(__xludf.DUMMYFUNCTION("GOOGLETRANSLATE(C1814,""en"",""pl"")"),"szerokie rzesze")</f>
        <v>szerokie rzesze</v>
      </c>
    </row>
    <row r="1815">
      <c r="C1815" s="1" t="s">
        <v>1812</v>
      </c>
      <c r="D1815" s="3" t="str">
        <f>IFERROR(__xludf.DUMMYFUNCTION("GOOGLETRANSLATE(C1815,""en"",""pl"")"),"Paulina")</f>
        <v>Paulina</v>
      </c>
    </row>
    <row r="1816">
      <c r="C1816" s="1" t="s">
        <v>1813</v>
      </c>
      <c r="D1816" s="3" t="str">
        <f>IFERROR(__xludf.DUMMYFUNCTION("GOOGLETRANSLATE(C1816,""en"",""pl"")"),"żaby")</f>
        <v>żaby</v>
      </c>
    </row>
    <row r="1817">
      <c r="C1817" s="1" t="s">
        <v>1814</v>
      </c>
      <c r="D1817" s="3" t="str">
        <f>IFERROR(__xludf.DUMMYFUNCTION("GOOGLETRANSLATE(C1817,""en"",""pl"")"),"krzyże")</f>
        <v>krzyże</v>
      </c>
    </row>
    <row r="1818">
      <c r="C1818" s="1" t="s">
        <v>1815</v>
      </c>
      <c r="D1818" s="3" t="str">
        <f>IFERROR(__xludf.DUMMYFUNCTION("GOOGLETRANSLATE(C1818,""en"",""pl"")"),"bóle głowy")</f>
        <v>bóle głowy</v>
      </c>
    </row>
    <row r="1819">
      <c r="C1819" s="1" t="s">
        <v>1816</v>
      </c>
      <c r="D1819" s="3" t="str">
        <f>IFERROR(__xludf.DUMMYFUNCTION("GOOGLETRANSLATE(C1819,""en"",""pl"")"),"arktyczny")</f>
        <v>arktyczny</v>
      </c>
    </row>
    <row r="1820">
      <c r="C1820" s="1" t="s">
        <v>1817</v>
      </c>
      <c r="D1820" s="3" t="str">
        <f>IFERROR(__xludf.DUMMYFUNCTION("GOOGLETRANSLATE(C1820,""en"",""pl"")"),"wzmocnienia")</f>
        <v>wzmocnienia</v>
      </c>
    </row>
    <row r="1821">
      <c r="C1821" s="1" t="s">
        <v>1818</v>
      </c>
      <c r="D1821" s="3" t="str">
        <f>IFERROR(__xludf.DUMMYFUNCTION("GOOGLETRANSLATE(C1821,""en"",""pl"")"),"wtórny")</f>
        <v>wtórny</v>
      </c>
    </row>
    <row r="1822">
      <c r="C1822" s="1" t="s">
        <v>1819</v>
      </c>
      <c r="D1822" s="3" t="str">
        <f>IFERROR(__xludf.DUMMYFUNCTION("GOOGLETRANSLATE(C1822,""en"",""pl"")"),"piżama")</f>
        <v>piżama</v>
      </c>
    </row>
    <row r="1823">
      <c r="C1823" s="1" t="s">
        <v>1820</v>
      </c>
      <c r="D1823" s="3" t="str">
        <f>IFERROR(__xludf.DUMMYFUNCTION("GOOGLETRANSLATE(C1823,""en"",""pl"")"),"role")</f>
        <v>role</v>
      </c>
    </row>
    <row r="1824">
      <c r="C1824" s="1" t="s">
        <v>1821</v>
      </c>
      <c r="D1824" s="3" t="str">
        <f>IFERROR(__xludf.DUMMYFUNCTION("GOOGLETRANSLATE(C1824,""en"",""pl"")"),"asteroida")</f>
        <v>asteroida</v>
      </c>
    </row>
    <row r="1825">
      <c r="C1825" s="1" t="s">
        <v>1822</v>
      </c>
      <c r="D1825" s="3" t="str">
        <f>IFERROR(__xludf.DUMMYFUNCTION("GOOGLETRANSLATE(C1825,""en"",""pl"")"),"unsub")</f>
        <v>unsub</v>
      </c>
    </row>
    <row r="1826">
      <c r="C1826" s="1" t="s">
        <v>1823</v>
      </c>
      <c r="D1826" s="3" t="str">
        <f>IFERROR(__xludf.DUMMYFUNCTION("GOOGLETRANSLATE(C1826,""en"",""pl"")"),"mieszanie")</f>
        <v>mieszanie</v>
      </c>
    </row>
    <row r="1827">
      <c r="C1827" s="1" t="s">
        <v>1824</v>
      </c>
      <c r="D1827" s="3" t="str">
        <f>IFERROR(__xludf.DUMMYFUNCTION("GOOGLETRANSLATE(C1827,""en"",""pl"")"),"kurier")</f>
        <v>kurier</v>
      </c>
    </row>
    <row r="1828">
      <c r="C1828" s="1" t="s">
        <v>1825</v>
      </c>
      <c r="D1828" s="3" t="str">
        <f>IFERROR(__xludf.DUMMYFUNCTION("GOOGLETRANSLATE(C1828,""en"",""pl"")"),"Żana")</f>
        <v>Żana</v>
      </c>
    </row>
    <row r="1829">
      <c r="C1829" s="1" t="s">
        <v>1826</v>
      </c>
      <c r="D1829" s="3" t="str">
        <f>IFERROR(__xludf.DUMMYFUNCTION("GOOGLETRANSLATE(C1829,""en"",""pl"")"),"marchewki")</f>
        <v>marchewki</v>
      </c>
    </row>
    <row r="1830">
      <c r="C1830" s="1" t="s">
        <v>1827</v>
      </c>
      <c r="D1830" s="3" t="str">
        <f>IFERROR(__xludf.DUMMYFUNCTION("GOOGLETRANSLATE(C1830,""en"",""pl"")"),"skurwysyny")</f>
        <v>skurwysyny</v>
      </c>
    </row>
    <row r="1831">
      <c r="C1831" s="1" t="s">
        <v>1828</v>
      </c>
      <c r="D1831" s="3" t="str">
        <f>IFERROR(__xludf.DUMMYFUNCTION("GOOGLETRANSLATE(C1831,""en"",""pl"")"),"przetłumaczony")</f>
        <v>przetłumaczony</v>
      </c>
    </row>
    <row r="1832">
      <c r="C1832" s="1" t="s">
        <v>1829</v>
      </c>
      <c r="D1832" s="3" t="str">
        <f>IFERROR(__xludf.DUMMYFUNCTION("GOOGLETRANSLATE(C1832,""en"",""pl"")"),"tęsknota")</f>
        <v>tęsknota</v>
      </c>
    </row>
    <row r="1833">
      <c r="C1833" s="1" t="s">
        <v>1830</v>
      </c>
      <c r="D1833" s="3" t="str">
        <f>IFERROR(__xludf.DUMMYFUNCTION("GOOGLETRANSLATE(C1833,""en"",""pl"")"),"cygara")</f>
        <v>cygara</v>
      </c>
    </row>
    <row r="1834">
      <c r="C1834" s="1" t="s">
        <v>1831</v>
      </c>
      <c r="D1834" s="3" t="str">
        <f>IFERROR(__xludf.DUMMYFUNCTION("GOOGLETRANSLATE(C1834,""en"",""pl"")"),"manipulować")</f>
        <v>manipulować</v>
      </c>
    </row>
    <row r="1835">
      <c r="C1835" s="1" t="s">
        <v>1832</v>
      </c>
      <c r="D1835" s="3" t="str">
        <f>IFERROR(__xludf.DUMMYFUNCTION("GOOGLETRANSLATE(C1835,""en"",""pl"")"),"liberał")</f>
        <v>liberał</v>
      </c>
    </row>
    <row r="1836">
      <c r="C1836" s="1" t="s">
        <v>1833</v>
      </c>
      <c r="D1836" s="3" t="str">
        <f>IFERROR(__xludf.DUMMYFUNCTION("GOOGLETRANSLATE(C1836,""en"",""pl"")"),"inwestorzy")</f>
        <v>inwestorzy</v>
      </c>
    </row>
    <row r="1837">
      <c r="C1837" s="1" t="s">
        <v>1834</v>
      </c>
      <c r="D1837" s="3" t="str">
        <f>IFERROR(__xludf.DUMMYFUNCTION("GOOGLETRANSLATE(C1837,""en"",""pl"")"),"kok")</f>
        <v>kok</v>
      </c>
    </row>
    <row r="1838">
      <c r="C1838" s="1" t="s">
        <v>1835</v>
      </c>
      <c r="D1838" s="3" t="str">
        <f>IFERROR(__xludf.DUMMYFUNCTION("GOOGLETRANSLATE(C1838,""en"",""pl"")"),"chytry")</f>
        <v>chytry</v>
      </c>
    </row>
    <row r="1839">
      <c r="C1839" s="1" t="s">
        <v>1836</v>
      </c>
      <c r="D1839" s="3" t="str">
        <f>IFERROR(__xludf.DUMMYFUNCTION("GOOGLETRANSLATE(C1839,""en"",""pl"")"),"ogórki konserwowe")</f>
        <v>ogórki konserwowe</v>
      </c>
    </row>
    <row r="1840">
      <c r="C1840" s="1" t="s">
        <v>1837</v>
      </c>
      <c r="D1840" s="3" t="str">
        <f>IFERROR(__xludf.DUMMYFUNCTION("GOOGLETRANSLATE(C1840,""en"",""pl"")"),"temperatury")</f>
        <v>temperatury</v>
      </c>
    </row>
    <row r="1841">
      <c r="C1841" s="1" t="s">
        <v>1838</v>
      </c>
      <c r="D1841" s="3" t="str">
        <f>IFERROR(__xludf.DUMMYFUNCTION("GOOGLETRANSLATE(C1841,""en"",""pl"")"),"najsłodszy")</f>
        <v>najsłodszy</v>
      </c>
    </row>
    <row r="1842">
      <c r="C1842" s="1" t="s">
        <v>1839</v>
      </c>
      <c r="D1842" s="3" t="str">
        <f>IFERROR(__xludf.DUMMYFUNCTION("GOOGLETRANSLATE(C1842,""en"",""pl"")"),"motto")</f>
        <v>motto</v>
      </c>
    </row>
    <row r="1843">
      <c r="C1843" s="1" t="s">
        <v>1840</v>
      </c>
      <c r="D1843" s="3" t="str">
        <f>IFERROR(__xludf.DUMMYFUNCTION("GOOGLETRANSLATE(C1843,""en"",""pl"")"),"mech")</f>
        <v>mech</v>
      </c>
    </row>
    <row r="1844">
      <c r="C1844" s="1" t="s">
        <v>1841</v>
      </c>
      <c r="D1844" s="3" t="str">
        <f>IFERROR(__xludf.DUMMYFUNCTION("GOOGLETRANSLATE(C1844,""en"",""pl"")"),"pycha")</f>
        <v>pycha</v>
      </c>
    </row>
    <row r="1845">
      <c r="C1845" s="1" t="s">
        <v>1842</v>
      </c>
      <c r="D1845" s="3" t="str">
        <f>IFERROR(__xludf.DUMMYFUNCTION("GOOGLETRANSLATE(C1845,""en"",""pl"")"),"topienie")</f>
        <v>topienie</v>
      </c>
    </row>
    <row r="1846">
      <c r="C1846" s="1" t="s">
        <v>1843</v>
      </c>
      <c r="D1846" s="3" t="str">
        <f>IFERROR(__xludf.DUMMYFUNCTION("GOOGLETRANSLATE(C1846,""en"",""pl"")"),"tak")</f>
        <v>tak</v>
      </c>
    </row>
    <row r="1847">
      <c r="C1847" s="1" t="s">
        <v>1844</v>
      </c>
      <c r="D1847" s="3" t="str">
        <f>IFERROR(__xludf.DUMMYFUNCTION("GOOGLETRANSLATE(C1847,""en"",""pl"")"),"prośba")</f>
        <v>prośba</v>
      </c>
    </row>
    <row r="1848">
      <c r="C1848" s="1" t="s">
        <v>1845</v>
      </c>
      <c r="D1848" s="3" t="str">
        <f>IFERROR(__xludf.DUMMYFUNCTION("GOOGLETRANSLATE(C1848,""en"",""pl"")"),"lawa")</f>
        <v>lawa</v>
      </c>
    </row>
    <row r="1849">
      <c r="C1849" s="1" t="s">
        <v>1846</v>
      </c>
      <c r="D1849" s="3" t="str">
        <f>IFERROR(__xludf.DUMMYFUNCTION("GOOGLETRANSLATE(C1849,""en"",""pl"")"),"Ty.")</f>
        <v>Ty.</v>
      </c>
    </row>
    <row r="1850">
      <c r="C1850" s="1" t="s">
        <v>1847</v>
      </c>
      <c r="D1850" s="3" t="str">
        <f>IFERROR(__xludf.DUMMYFUNCTION("GOOGLETRANSLATE(C1850,""en"",""pl"")"),"Krzysiu")</f>
        <v>Krzysiu</v>
      </c>
    </row>
    <row r="1851">
      <c r="C1851" s="1" t="s">
        <v>1848</v>
      </c>
      <c r="D1851" s="3" t="str">
        <f>IFERROR(__xludf.DUMMYFUNCTION("GOOGLETRANSLATE(C1851,""en"",""pl"")"),"miesięczny")</f>
        <v>miesięczny</v>
      </c>
    </row>
    <row r="1852">
      <c r="C1852" s="1" t="s">
        <v>1849</v>
      </c>
      <c r="D1852" s="3" t="str">
        <f>IFERROR(__xludf.DUMMYFUNCTION("GOOGLETRANSLATE(C1852,""en"",""pl"")"),"nosy")</f>
        <v>nosy</v>
      </c>
    </row>
    <row r="1853">
      <c r="C1853" s="1" t="s">
        <v>1850</v>
      </c>
      <c r="D1853" s="3" t="str">
        <f>IFERROR(__xludf.DUMMYFUNCTION("GOOGLETRANSLATE(C1853,""en"",""pl"")"),"łaskotać")</f>
        <v>łaskotać</v>
      </c>
    </row>
    <row r="1854">
      <c r="C1854" s="1" t="s">
        <v>1851</v>
      </c>
      <c r="D1854" s="3" t="str">
        <f>IFERROR(__xludf.DUMMYFUNCTION("GOOGLETRANSLATE(C1854,""en"",""pl"")"),"UFO")</f>
        <v>UFO</v>
      </c>
    </row>
    <row r="1855">
      <c r="C1855" s="1" t="s">
        <v>1852</v>
      </c>
      <c r="D1855" s="3" t="str">
        <f>IFERROR(__xludf.DUMMYFUNCTION("GOOGLETRANSLATE(C1855,""en"",""pl"")"),"tymotka")</f>
        <v>tymotka</v>
      </c>
    </row>
    <row r="1856">
      <c r="C1856" s="1" t="s">
        <v>1853</v>
      </c>
      <c r="D1856" s="3" t="str">
        <f>IFERROR(__xludf.DUMMYFUNCTION("GOOGLETRANSLATE(C1856,""en"",""pl"")"),"Stacy")</f>
        <v>Stacy</v>
      </c>
    </row>
    <row r="1857">
      <c r="C1857" s="1" t="s">
        <v>1854</v>
      </c>
      <c r="D1857" s="3" t="str">
        <f>IFERROR(__xludf.DUMMYFUNCTION("GOOGLETRANSLATE(C1857,""en"",""pl"")"),"j.r.")</f>
        <v>j.r.</v>
      </c>
    </row>
    <row r="1858">
      <c r="C1858" s="1" t="s">
        <v>1855</v>
      </c>
      <c r="D1858" s="3" t="str">
        <f>IFERROR(__xludf.DUMMYFUNCTION("GOOGLETRANSLATE(C1858,""en"",""pl"")"),"środek")</f>
        <v>środek</v>
      </c>
    </row>
    <row r="1859">
      <c r="C1859" s="1" t="s">
        <v>1856</v>
      </c>
      <c r="D1859" s="3" t="str">
        <f>IFERROR(__xludf.DUMMYFUNCTION("GOOGLETRANSLATE(C1859,""en"",""pl"")"),"Herbert")</f>
        <v>Herbert</v>
      </c>
    </row>
    <row r="1860">
      <c r="C1860" s="1" t="s">
        <v>1857</v>
      </c>
      <c r="D1860" s="3" t="str">
        <f>IFERROR(__xludf.DUMMYFUNCTION("GOOGLETRANSLATE(C1860,""en"",""pl"")"),"kupiony")</f>
        <v>kupiony</v>
      </c>
    </row>
    <row r="1861">
      <c r="C1861" s="1" t="s">
        <v>1858</v>
      </c>
      <c r="D1861" s="3" t="str">
        <f>IFERROR(__xludf.DUMMYFUNCTION("GOOGLETRANSLATE(C1861,""en"",""pl"")"),"to jest")</f>
        <v>to jest</v>
      </c>
    </row>
    <row r="1862">
      <c r="C1862" s="1" t="s">
        <v>1859</v>
      </c>
      <c r="D1862" s="3" t="str">
        <f>IFERROR(__xludf.DUMMYFUNCTION("GOOGLETRANSLATE(C1862,""en"",""pl"")"),"wygoda")</f>
        <v>wygoda</v>
      </c>
    </row>
    <row r="1863">
      <c r="C1863" s="1" t="s">
        <v>1860</v>
      </c>
      <c r="D1863" s="3" t="str">
        <f>IFERROR(__xludf.DUMMYFUNCTION("GOOGLETRANSLATE(C1863,""en"",""pl"")"),"flesz")</f>
        <v>flesz</v>
      </c>
    </row>
    <row r="1864">
      <c r="C1864" s="1" t="s">
        <v>1861</v>
      </c>
      <c r="D1864" s="3" t="str">
        <f>IFERROR(__xludf.DUMMYFUNCTION("GOOGLETRANSLATE(C1864,""en"",""pl"")"),"Dewey")</f>
        <v>Dewey</v>
      </c>
    </row>
    <row r="1865">
      <c r="C1865" s="1" t="s">
        <v>1862</v>
      </c>
      <c r="D1865" s="3" t="str">
        <f>IFERROR(__xludf.DUMMYFUNCTION("GOOGLETRANSLATE(C1865,""en"",""pl"")"),"potknął się")</f>
        <v>potknął się</v>
      </c>
    </row>
    <row r="1866">
      <c r="C1866" s="1" t="s">
        <v>1863</v>
      </c>
      <c r="D1866" s="3" t="str">
        <f>IFERROR(__xludf.DUMMYFUNCTION("GOOGLETRANSLATE(C1866,""en"",""pl"")"),"najłatwiejszy")</f>
        <v>najłatwiejszy</v>
      </c>
    </row>
    <row r="1867">
      <c r="C1867" s="1" t="s">
        <v>1864</v>
      </c>
      <c r="D1867" s="3" t="str">
        <f>IFERROR(__xludf.DUMMYFUNCTION("GOOGLETRANSLATE(C1867,""en"",""pl"")"),"krzyknął")</f>
        <v>krzyknął</v>
      </c>
    </row>
    <row r="1868">
      <c r="C1868" s="1" t="s">
        <v>1865</v>
      </c>
      <c r="D1868" s="3" t="str">
        <f>IFERROR(__xludf.DUMMYFUNCTION("GOOGLETRANSLATE(C1868,""en"",""pl"")"),"dekompozycja")</f>
        <v>dekompozycja</v>
      </c>
    </row>
    <row r="1869">
      <c r="C1869" s="1" t="s">
        <v>1866</v>
      </c>
      <c r="D1869" s="3" t="str">
        <f>IFERROR(__xludf.DUMMYFUNCTION("GOOGLETRANSLATE(C1869,""en"",""pl"")"),"bryce")</f>
        <v>bryce</v>
      </c>
    </row>
    <row r="1870">
      <c r="C1870" s="1" t="s">
        <v>1867</v>
      </c>
      <c r="D1870" s="3" t="str">
        <f>IFERROR(__xludf.DUMMYFUNCTION("GOOGLETRANSLATE(C1870,""en"",""pl"")"),"polecenia")</f>
        <v>polecenia</v>
      </c>
    </row>
    <row r="1871">
      <c r="C1871" s="1" t="s">
        <v>1868</v>
      </c>
      <c r="D1871" s="3" t="str">
        <f>IFERROR(__xludf.DUMMYFUNCTION("GOOGLETRANSLATE(C1871,""en"",""pl"")"),"zażądał")</f>
        <v>zażądał</v>
      </c>
    </row>
    <row r="1872">
      <c r="C1872" s="1" t="s">
        <v>1869</v>
      </c>
      <c r="D1872" s="3" t="str">
        <f>IFERROR(__xludf.DUMMYFUNCTION("GOOGLETRANSLATE(C1872,""en"",""pl"")"),"mankiet")</f>
        <v>mankiet</v>
      </c>
    </row>
    <row r="1873">
      <c r="C1873" s="1" t="s">
        <v>1870</v>
      </c>
      <c r="D1873" s="3" t="str">
        <f>IFERROR(__xludf.DUMMYFUNCTION("GOOGLETRANSLATE(C1873,""en"",""pl"")"),"kosmos")</f>
        <v>kosmos</v>
      </c>
    </row>
    <row r="1874">
      <c r="C1874" s="1" t="s">
        <v>1871</v>
      </c>
      <c r="D1874" s="3" t="str">
        <f>IFERROR(__xludf.DUMMYFUNCTION("GOOGLETRANSLATE(C1874,""en"",""pl"")"),"godzina policyjna")</f>
        <v>godzina policyjna</v>
      </c>
    </row>
    <row r="1875">
      <c r="C1875" s="1" t="s">
        <v>1872</v>
      </c>
      <c r="D1875" s="3" t="str">
        <f>IFERROR(__xludf.DUMMYFUNCTION("GOOGLETRANSLATE(C1875,""en"",""pl"")"),"poinstruowany")</f>
        <v>poinstruowany</v>
      </c>
    </row>
    <row r="1876">
      <c r="C1876" s="1" t="s">
        <v>1873</v>
      </c>
      <c r="D1876" s="3" t="str">
        <f>IFERROR(__xludf.DUMMYFUNCTION("GOOGLETRANSLATE(C1876,""en"",""pl"")"),"notoryczny")</f>
        <v>notoryczny</v>
      </c>
    </row>
    <row r="1877">
      <c r="C1877" s="1" t="s">
        <v>1874</v>
      </c>
      <c r="D1877" s="3" t="str">
        <f>IFERROR(__xludf.DUMMYFUNCTION("GOOGLETRANSLATE(C1877,""en"",""pl"")"),"Praga")</f>
        <v>Praga</v>
      </c>
    </row>
    <row r="1878">
      <c r="C1878" s="1" t="s">
        <v>1875</v>
      </c>
      <c r="D1878" s="3" t="str">
        <f>IFERROR(__xludf.DUMMYFUNCTION("GOOGLETRANSLATE(C1878,""en"",""pl"")"),"Q")</f>
        <v>Q</v>
      </c>
    </row>
    <row r="1879">
      <c r="C1879" s="1" t="s">
        <v>1876</v>
      </c>
      <c r="D1879" s="3" t="str">
        <f>IFERROR(__xludf.DUMMYFUNCTION("GOOGLETRANSLATE(C1879,""en"",""pl"")"),"pasemko")</f>
        <v>pasemko</v>
      </c>
    </row>
    <row r="1880">
      <c r="C1880" s="1" t="s">
        <v>1877</v>
      </c>
      <c r="D1880" s="3" t="str">
        <f>IFERROR(__xludf.DUMMYFUNCTION("GOOGLETRANSLATE(C1880,""en"",""pl"")"),"równowartość")</f>
        <v>równowartość</v>
      </c>
    </row>
    <row r="1881">
      <c r="C1881" s="1" t="s">
        <v>1878</v>
      </c>
      <c r="D1881" s="3" t="str">
        <f>IFERROR(__xludf.DUMMYFUNCTION("GOOGLETRANSLATE(C1881,""en"",""pl"")"),"żałosny")</f>
        <v>żałosny</v>
      </c>
    </row>
    <row r="1882">
      <c r="C1882" s="1" t="s">
        <v>1879</v>
      </c>
      <c r="D1882" s="3" t="str">
        <f>IFERROR(__xludf.DUMMYFUNCTION("GOOGLETRANSLATE(C1882,""en"",""pl"")"),"płetwa")</f>
        <v>płetwa</v>
      </c>
    </row>
    <row r="1883">
      <c r="C1883" s="1" t="s">
        <v>1880</v>
      </c>
      <c r="D1883" s="3" t="str">
        <f>IFERROR(__xludf.DUMMYFUNCTION("GOOGLETRANSLATE(C1883,""en"",""pl"")"),"powitanie")</f>
        <v>powitanie</v>
      </c>
    </row>
    <row r="1884">
      <c r="C1884" s="1" t="s">
        <v>1881</v>
      </c>
      <c r="D1884" s="3" t="str">
        <f>IFERROR(__xludf.DUMMYFUNCTION("GOOGLETRANSLATE(C1884,""en"",""pl"")"),"propaganda")</f>
        <v>propaganda</v>
      </c>
    </row>
    <row r="1885">
      <c r="C1885" s="1" t="s">
        <v>1882</v>
      </c>
      <c r="D1885" s="3" t="str">
        <f>IFERROR(__xludf.DUMMYFUNCTION("GOOGLETRANSLATE(C1885,""en"",""pl"")"),"próg")</f>
        <v>próg</v>
      </c>
    </row>
    <row r="1886">
      <c r="C1886" s="1" t="s">
        <v>1883</v>
      </c>
      <c r="D1886" s="3" t="str">
        <f>IFERROR(__xludf.DUMMYFUNCTION("GOOGLETRANSLATE(C1886,""en"",""pl"")"),"Hilda")</f>
        <v>Hilda</v>
      </c>
    </row>
    <row r="1887">
      <c r="C1887" s="1" t="s">
        <v>1884</v>
      </c>
      <c r="D1887" s="3" t="str">
        <f>IFERROR(__xludf.DUMMYFUNCTION("GOOGLETRANSLATE(C1887,""en"",""pl"")"),"motyle")</f>
        <v>motyle</v>
      </c>
    </row>
    <row r="1888">
      <c r="C1888" s="1" t="s">
        <v>1885</v>
      </c>
      <c r="D1888" s="3" t="str">
        <f>IFERROR(__xludf.DUMMYFUNCTION("GOOGLETRANSLATE(C1888,""en"",""pl"")"),"zafascynowany")</f>
        <v>zafascynowany</v>
      </c>
    </row>
    <row r="1889">
      <c r="C1889" s="1" t="s">
        <v>1886</v>
      </c>
      <c r="D1889" s="3" t="str">
        <f>IFERROR(__xludf.DUMMYFUNCTION("GOOGLETRANSLATE(C1889,""en"",""pl"")"),"Judasz")</f>
        <v>Judasz</v>
      </c>
    </row>
    <row r="1890">
      <c r="C1890" s="1" t="s">
        <v>1887</v>
      </c>
      <c r="D1890" s="3" t="str">
        <f>IFERROR(__xludf.DUMMYFUNCTION("GOOGLETRANSLATE(C1890,""en"",""pl"")"),"Beatrycze")</f>
        <v>Beatrycze</v>
      </c>
    </row>
    <row r="1891">
      <c r="C1891" s="1" t="s">
        <v>1888</v>
      </c>
      <c r="D1891" s="3" t="str">
        <f>IFERROR(__xludf.DUMMYFUNCTION("GOOGLETRANSLATE(C1891,""en"",""pl"")"),"miriam")</f>
        <v>miriam</v>
      </c>
    </row>
    <row r="1892">
      <c r="C1892" s="1" t="s">
        <v>1889</v>
      </c>
      <c r="D1892" s="3" t="str">
        <f>IFERROR(__xludf.DUMMYFUNCTION("GOOGLETRANSLATE(C1892,""en"",""pl"")"),"dumping")</f>
        <v>dumping</v>
      </c>
    </row>
    <row r="1893">
      <c r="C1893" s="1" t="s">
        <v>1890</v>
      </c>
      <c r="D1893" s="3" t="str">
        <f>IFERROR(__xludf.DUMMYFUNCTION("GOOGLETRANSLATE(C1893,""en"",""pl"")"),"karana")</f>
        <v>karana</v>
      </c>
    </row>
    <row r="1894">
      <c r="C1894" s="1" t="s">
        <v>1891</v>
      </c>
      <c r="D1894" s="3" t="str">
        <f>IFERROR(__xludf.DUMMYFUNCTION("GOOGLETRANSLATE(C1894,""en"",""pl"")"),"mieszkanie")</f>
        <v>mieszkanie</v>
      </c>
    </row>
    <row r="1895">
      <c r="C1895" s="1" t="s">
        <v>1892</v>
      </c>
      <c r="D1895" s="3" t="str">
        <f>IFERROR(__xludf.DUMMYFUNCTION("GOOGLETRANSLATE(C1895,""en"",""pl"")"),"nieustraszony")</f>
        <v>nieustraszony</v>
      </c>
    </row>
    <row r="1896">
      <c r="C1896" s="1" t="s">
        <v>1893</v>
      </c>
      <c r="D1896" s="3" t="str">
        <f>IFERROR(__xludf.DUMMYFUNCTION("GOOGLETRANSLATE(C1896,""en"",""pl"")"),"kaleka")</f>
        <v>kaleka</v>
      </c>
    </row>
    <row r="1897">
      <c r="C1897" s="1" t="s">
        <v>1894</v>
      </c>
      <c r="D1897" s="3" t="str">
        <f>IFERROR(__xludf.DUMMYFUNCTION("GOOGLETRANSLATE(C1897,""en"",""pl"")"),"zadanie")</f>
        <v>zadanie</v>
      </c>
    </row>
    <row r="1898">
      <c r="C1898" s="4" t="s">
        <v>1895</v>
      </c>
      <c r="D1898" s="3" t="str">
        <f>IFERROR(__xludf.DUMMYFUNCTION("GOOGLETRANSLATE(C1898,""en"",""pl"")"),"W")</f>
        <v>W</v>
      </c>
    </row>
    <row r="1899">
      <c r="C1899" s="1" t="s">
        <v>1896</v>
      </c>
      <c r="D1899" s="3" t="str">
        <f>IFERROR(__xludf.DUMMYFUNCTION("GOOGLETRANSLATE(C1899,""en"",""pl"")"),"hale")</f>
        <v>hale</v>
      </c>
    </row>
    <row r="1900">
      <c r="C1900" s="1" t="s">
        <v>1897</v>
      </c>
      <c r="D1900" s="3" t="str">
        <f>IFERROR(__xludf.DUMMYFUNCTION("GOOGLETRANSLATE(C1900,""en"",""pl"")"),"naśladuje")</f>
        <v>naśladuje</v>
      </c>
    </row>
    <row r="1901">
      <c r="C1901" s="1" t="s">
        <v>1898</v>
      </c>
      <c r="D1901" s="3" t="str">
        <f>IFERROR(__xludf.DUMMYFUNCTION("GOOGLETRANSLATE(C1901,""en"",""pl"")"),"harley")</f>
        <v>harley</v>
      </c>
    </row>
    <row r="1902">
      <c r="C1902" s="1" t="s">
        <v>1899</v>
      </c>
      <c r="D1902" s="3" t="str">
        <f>IFERROR(__xludf.DUMMYFUNCTION("GOOGLETRANSLATE(C1902,""en"",""pl"")"),"Ravi")</f>
        <v>Ravi</v>
      </c>
    </row>
    <row r="1903">
      <c r="C1903" s="1" t="s">
        <v>1900</v>
      </c>
      <c r="D1903" s="3" t="str">
        <f>IFERROR(__xludf.DUMMYFUNCTION("GOOGLETRANSLATE(C1903,""en"",""pl"")"),"Gretchen")</f>
        <v>Gretchen</v>
      </c>
    </row>
    <row r="1904">
      <c r="C1904" s="1" t="s">
        <v>1901</v>
      </c>
      <c r="D1904" s="3" t="str">
        <f>IFERROR(__xludf.DUMMYFUNCTION("GOOGLETRANSLATE(C1904,""en"",""pl"")"),"płynął")</f>
        <v>płynął</v>
      </c>
    </row>
    <row r="1905">
      <c r="C1905" s="1" t="s">
        <v>1902</v>
      </c>
      <c r="D1905" s="3" t="str">
        <f>IFERROR(__xludf.DUMMYFUNCTION("GOOGLETRANSLATE(C1905,""en"",""pl"")"),"nico")</f>
        <v>nico</v>
      </c>
    </row>
    <row r="1906">
      <c r="C1906" s="1" t="s">
        <v>1903</v>
      </c>
      <c r="D1906" s="3" t="str">
        <f>IFERROR(__xludf.DUMMYFUNCTION("GOOGLETRANSLATE(C1906,""en"",""pl"")"),"pieczenie")</f>
        <v>pieczenie</v>
      </c>
    </row>
    <row r="1907">
      <c r="C1907" s="1" t="s">
        <v>1904</v>
      </c>
      <c r="D1907" s="3" t="str">
        <f>IFERROR(__xludf.DUMMYFUNCTION("GOOGLETRANSLATE(C1907,""en"",""pl"")"),"złączony")</f>
        <v>złączony</v>
      </c>
    </row>
    <row r="1908">
      <c r="C1908" s="1" t="s">
        <v>1905</v>
      </c>
      <c r="D1908" s="3" t="str">
        <f>IFERROR(__xludf.DUMMYFUNCTION("GOOGLETRANSLATE(C1908,""en"",""pl"")"),"Burbon")</f>
        <v>Burbon</v>
      </c>
    </row>
    <row r="1909">
      <c r="C1909" s="1" t="s">
        <v>1906</v>
      </c>
      <c r="D1909" s="3" t="str">
        <f>IFERROR(__xludf.DUMMYFUNCTION("GOOGLETRANSLATE(C1909,""en"",""pl"")"),"katedra")</f>
        <v>katedra</v>
      </c>
    </row>
    <row r="1910">
      <c r="C1910" s="1" t="s">
        <v>1907</v>
      </c>
      <c r="D1910" s="3" t="str">
        <f>IFERROR(__xludf.DUMMYFUNCTION("GOOGLETRANSLATE(C1910,""en"",""pl"")"),"Malone")</f>
        <v>Malone</v>
      </c>
    </row>
    <row r="1911">
      <c r="C1911" s="1" t="s">
        <v>1908</v>
      </c>
      <c r="D1911" s="3" t="str">
        <f>IFERROR(__xludf.DUMMYFUNCTION("GOOGLETRANSLATE(C1911,""en"",""pl"")"),"bongo")</f>
        <v>bongo</v>
      </c>
    </row>
    <row r="1912">
      <c r="C1912" s="1" t="s">
        <v>1909</v>
      </c>
      <c r="D1912" s="3" t="str">
        <f>IFERROR(__xludf.DUMMYFUNCTION("GOOGLETRANSLATE(C1912,""en"",""pl"")"),"przywiązywanie")</f>
        <v>przywiązywanie</v>
      </c>
    </row>
    <row r="1913">
      <c r="C1913" s="1" t="s">
        <v>1910</v>
      </c>
      <c r="D1913" s="3" t="str">
        <f>IFERROR(__xludf.DUMMYFUNCTION("GOOGLETRANSLATE(C1913,""en"",""pl"")"),"listy")</f>
        <v>listy</v>
      </c>
    </row>
    <row r="1914">
      <c r="C1914" s="1" t="s">
        <v>1911</v>
      </c>
      <c r="D1914" s="3" t="str">
        <f>IFERROR(__xludf.DUMMYFUNCTION("GOOGLETRANSLATE(C1914,""en"",""pl"")"),"udusić")</f>
        <v>udusić</v>
      </c>
    </row>
    <row r="1915">
      <c r="C1915" s="1" t="s">
        <v>1912</v>
      </c>
      <c r="D1915" s="3" t="str">
        <f>IFERROR(__xludf.DUMMYFUNCTION("GOOGLETRANSLATE(C1915,""en"",""pl"")"),"rozebrany")</f>
        <v>rozebrany</v>
      </c>
    </row>
    <row r="1916">
      <c r="C1916" s="1" t="s">
        <v>1913</v>
      </c>
      <c r="D1916" s="3" t="str">
        <f>IFERROR(__xludf.DUMMYFUNCTION("GOOGLETRANSLATE(C1916,""en"",""pl"")"),"pożyczki")</f>
        <v>pożyczki</v>
      </c>
    </row>
    <row r="1917">
      <c r="C1917" s="1" t="s">
        <v>1914</v>
      </c>
      <c r="D1917" s="3" t="str">
        <f>IFERROR(__xludf.DUMMYFUNCTION("GOOGLETRANSLATE(C1917,""en"",""pl"")"),"Manchester")</f>
        <v>Manchester</v>
      </c>
    </row>
    <row r="1918">
      <c r="C1918" s="1" t="s">
        <v>1915</v>
      </c>
      <c r="D1918" s="3" t="str">
        <f>IFERROR(__xludf.DUMMYFUNCTION("GOOGLETRANSLATE(C1918,""en"",""pl"")"),"krótko")</f>
        <v>krótko</v>
      </c>
    </row>
    <row r="1919">
      <c r="C1919" s="1" t="s">
        <v>1916</v>
      </c>
      <c r="D1919" s="3" t="str">
        <f>IFERROR(__xludf.DUMMYFUNCTION("GOOGLETRANSLATE(C1919,""en"",""pl"")"),"tessę")</f>
        <v>tessę</v>
      </c>
    </row>
    <row r="1920">
      <c r="C1920" s="1" t="s">
        <v>1917</v>
      </c>
      <c r="D1920" s="3" t="str">
        <f>IFERROR(__xludf.DUMMYFUNCTION("GOOGLETRANSLATE(C1920,""en"",""pl"")"),"niedokończony")</f>
        <v>niedokończony</v>
      </c>
    </row>
    <row r="1921">
      <c r="C1921" s="1" t="s">
        <v>1918</v>
      </c>
      <c r="D1921" s="3" t="str">
        <f>IFERROR(__xludf.DUMMYFUNCTION("GOOGLETRANSLATE(C1921,""en"",""pl"")"),"eksperymentalny")</f>
        <v>eksperymentalny</v>
      </c>
    </row>
    <row r="1922">
      <c r="C1922" s="1" t="s">
        <v>1919</v>
      </c>
      <c r="D1922" s="3" t="str">
        <f>IFERROR(__xludf.DUMMYFUNCTION("GOOGLETRANSLATE(C1922,""en"",""pl"")"),"Grecy")</f>
        <v>Grecy</v>
      </c>
    </row>
    <row r="1923">
      <c r="C1923" s="1" t="s">
        <v>1920</v>
      </c>
      <c r="D1923" s="3" t="str">
        <f>IFERROR(__xludf.DUMMYFUNCTION("GOOGLETRANSLATE(C1923,""en"",""pl"")"),"mały")</f>
        <v>mały</v>
      </c>
    </row>
    <row r="1924">
      <c r="C1924" s="1" t="s">
        <v>1921</v>
      </c>
      <c r="D1924" s="3" t="str">
        <f>IFERROR(__xludf.DUMMYFUNCTION("GOOGLETRANSLATE(C1924,""en"",""pl"")"),"kontynent")</f>
        <v>kontynent</v>
      </c>
    </row>
    <row r="1925">
      <c r="C1925" s="1" t="s">
        <v>1922</v>
      </c>
      <c r="D1925" s="3" t="str">
        <f>IFERROR(__xludf.DUMMYFUNCTION("GOOGLETRANSLATE(C1925,""en"",""pl"")"),"c-co")</f>
        <v>c-co</v>
      </c>
    </row>
    <row r="1926">
      <c r="C1926" s="1" t="s">
        <v>1923</v>
      </c>
      <c r="D1926" s="3" t="str">
        <f>IFERROR(__xludf.DUMMYFUNCTION("GOOGLETRANSLATE(C1926,""en"",""pl"")"),"osąd")</f>
        <v>osąd</v>
      </c>
    </row>
    <row r="1927">
      <c r="C1927" s="1" t="s">
        <v>1924</v>
      </c>
      <c r="D1927" s="3" t="str">
        <f>IFERROR(__xludf.DUMMYFUNCTION("GOOGLETRANSLATE(C1927,""en"",""pl"")"),"jąka się")</f>
        <v>jąka się</v>
      </c>
    </row>
    <row r="1928">
      <c r="C1928" s="1" t="s">
        <v>1925</v>
      </c>
      <c r="D1928" s="3" t="str">
        <f>IFERROR(__xludf.DUMMYFUNCTION("GOOGLETRANSLATE(C1928,""en"",""pl"")"),"szczupak")</f>
        <v>szczupak</v>
      </c>
    </row>
    <row r="1929">
      <c r="C1929" s="1" t="s">
        <v>1926</v>
      </c>
      <c r="D1929" s="3" t="str">
        <f>IFERROR(__xludf.DUMMYFUNCTION("GOOGLETRANSLATE(C1929,""en"",""pl"")"),"kłamcy")</f>
        <v>kłamcy</v>
      </c>
    </row>
    <row r="1930">
      <c r="C1930" s="1" t="s">
        <v>1927</v>
      </c>
      <c r="D1930" s="3" t="str">
        <f>IFERROR(__xludf.DUMMYFUNCTION("GOOGLETRANSLATE(C1930,""en"",""pl"")"),"szczelina")</f>
        <v>szczelina</v>
      </c>
    </row>
    <row r="1931">
      <c r="C1931" s="1" t="s">
        <v>1928</v>
      </c>
      <c r="D1931" s="3" t="str">
        <f>IFERROR(__xludf.DUMMYFUNCTION("GOOGLETRANSLATE(C1931,""en"",""pl"")"),"17.")</f>
        <v>17.</v>
      </c>
    </row>
    <row r="1932">
      <c r="C1932" s="1" t="s">
        <v>1929</v>
      </c>
      <c r="D1932" s="3" t="str">
        <f>IFERROR(__xludf.DUMMYFUNCTION("GOOGLETRANSLATE(C1932,""en"",""pl"")"),"Amazonka")</f>
        <v>Amazonka</v>
      </c>
    </row>
    <row r="1933">
      <c r="C1933" s="1" t="s">
        <v>1930</v>
      </c>
      <c r="D1933" s="3" t="str">
        <f>IFERROR(__xludf.DUMMYFUNCTION("GOOGLETRANSLATE(C1933,""en"",""pl"")"),"zalany")</f>
        <v>zalany</v>
      </c>
    </row>
    <row r="1934">
      <c r="C1934" s="1" t="s">
        <v>1931</v>
      </c>
      <c r="D1934" s="3" t="str">
        <f>IFERROR(__xludf.DUMMYFUNCTION("GOOGLETRANSLATE(C1934,""en"",""pl"")"),"dręczyć")</f>
        <v>dręczyć</v>
      </c>
    </row>
    <row r="1935">
      <c r="C1935" s="1" t="s">
        <v>1932</v>
      </c>
      <c r="D1935" s="3" t="str">
        <f>IFERROR(__xludf.DUMMYFUNCTION("GOOGLETRANSLATE(C1935,""en"",""pl"")"),"syrena")</f>
        <v>syrena</v>
      </c>
    </row>
    <row r="1936">
      <c r="C1936" s="1" t="s">
        <v>1933</v>
      </c>
      <c r="D1936" s="3" t="str">
        <f>IFERROR(__xludf.DUMMYFUNCTION("GOOGLETRANSLATE(C1936,""en"",""pl"")"),"gwałciciel")</f>
        <v>gwałciciel</v>
      </c>
    </row>
    <row r="1937">
      <c r="C1937" s="1" t="s">
        <v>1934</v>
      </c>
      <c r="D1937" s="3" t="str">
        <f>IFERROR(__xludf.DUMMYFUNCTION("GOOGLETRANSLATE(C1937,""en"",""pl"")"),"szlifierki")</f>
        <v>szlifierki</v>
      </c>
    </row>
    <row r="1938">
      <c r="C1938" s="1" t="s">
        <v>1935</v>
      </c>
      <c r="D1938" s="3" t="str">
        <f>IFERROR(__xludf.DUMMYFUNCTION("GOOGLETRANSLATE(C1938,""en"",""pl"")"),"wyzwolony")</f>
        <v>wyzwolony</v>
      </c>
    </row>
    <row r="1939">
      <c r="C1939" s="1" t="s">
        <v>1936</v>
      </c>
      <c r="D1939" s="3" t="str">
        <f>IFERROR(__xludf.DUMMYFUNCTION("GOOGLETRANSLATE(C1939,""en"",""pl"")"),"oczekuje")</f>
        <v>oczekuje</v>
      </c>
    </row>
    <row r="1940">
      <c r="C1940" s="1" t="s">
        <v>1937</v>
      </c>
      <c r="D1940" s="3" t="str">
        <f>IFERROR(__xludf.DUMMYFUNCTION("GOOGLETRANSLATE(C1940,""en"",""pl"")"),"Lizbona")</f>
        <v>Lizbona</v>
      </c>
    </row>
    <row r="1941">
      <c r="C1941" s="1" t="s">
        <v>1938</v>
      </c>
      <c r="D1941" s="3" t="str">
        <f>IFERROR(__xludf.DUMMYFUNCTION("GOOGLETRANSLATE(C1941,""en"",""pl"")"),"czytelnik")</f>
        <v>czytelnik</v>
      </c>
    </row>
    <row r="1942">
      <c r="C1942" s="1" t="s">
        <v>1939</v>
      </c>
      <c r="D1942" s="3" t="str">
        <f>IFERROR(__xludf.DUMMYFUNCTION("GOOGLETRANSLATE(C1942,""en"",""pl"")"),"klawiatura")</f>
        <v>klawiatura</v>
      </c>
    </row>
    <row r="1943">
      <c r="C1943" s="1" t="s">
        <v>1940</v>
      </c>
      <c r="D1943" s="3" t="str">
        <f>IFERROR(__xludf.DUMMYFUNCTION("GOOGLETRANSLATE(C1943,""en"",""pl"")"),"wędrować")</f>
        <v>wędrować</v>
      </c>
    </row>
    <row r="1944">
      <c r="C1944" s="1" t="s">
        <v>1941</v>
      </c>
      <c r="D1944" s="3" t="str">
        <f>IFERROR(__xludf.DUMMYFUNCTION("GOOGLETRANSLATE(C1944,""en"",""pl"")"),"siedemnaście")</f>
        <v>siedemnaście</v>
      </c>
    </row>
    <row r="1945">
      <c r="C1945" s="1" t="s">
        <v>1942</v>
      </c>
      <c r="D1945" s="3" t="str">
        <f>IFERROR(__xludf.DUMMYFUNCTION("GOOGLETRANSLATE(C1945,""en"",""pl"")"),"otwarcie")</f>
        <v>otwarcie</v>
      </c>
    </row>
    <row r="1946">
      <c r="C1946" s="1" t="s">
        <v>1943</v>
      </c>
      <c r="D1946" s="3" t="str">
        <f>IFERROR(__xludf.DUMMYFUNCTION("GOOGLETRANSLATE(C1946,""en"",""pl"")"),"diakon")</f>
        <v>diakon</v>
      </c>
    </row>
    <row r="1947">
      <c r="C1947" s="1" t="s">
        <v>1944</v>
      </c>
      <c r="D1947" s="3" t="str">
        <f>IFERROR(__xludf.DUMMYFUNCTION("GOOGLETRANSLATE(C1947,""en"",""pl"")"),"Olga")</f>
        <v>Olga</v>
      </c>
    </row>
    <row r="1948">
      <c r="C1948" s="1" t="s">
        <v>1945</v>
      </c>
      <c r="D1948" s="3" t="str">
        <f>IFERROR(__xludf.DUMMYFUNCTION("GOOGLETRANSLATE(C1948,""en"",""pl"")"),"pula")</f>
        <v>pula</v>
      </c>
    </row>
    <row r="1949">
      <c r="C1949" s="1" t="s">
        <v>1946</v>
      </c>
      <c r="D1949" s="3" t="str">
        <f>IFERROR(__xludf.DUMMYFUNCTION("GOOGLETRANSLATE(C1949,""en"",""pl"")"),"namoczony")</f>
        <v>namoczony</v>
      </c>
    </row>
    <row r="1950">
      <c r="C1950" s="1" t="s">
        <v>1947</v>
      </c>
      <c r="D1950" s="3" t="str">
        <f>IFERROR(__xludf.DUMMYFUNCTION("GOOGLETRANSLATE(C1950,""en"",""pl"")"),"druk")</f>
        <v>druk</v>
      </c>
    </row>
    <row r="1951">
      <c r="C1951" s="1" t="s">
        <v>1948</v>
      </c>
      <c r="D1951" s="3" t="str">
        <f>IFERROR(__xludf.DUMMYFUNCTION("GOOGLETRANSLATE(C1951,""en"",""pl"")"),"fuj")</f>
        <v>fuj</v>
      </c>
    </row>
    <row r="1952">
      <c r="C1952" s="1" t="s">
        <v>1949</v>
      </c>
      <c r="D1952" s="3" t="str">
        <f>IFERROR(__xludf.DUMMYFUNCTION("GOOGLETRANSLATE(C1952,""en"",""pl"")"),"krótki")</f>
        <v>krótki</v>
      </c>
    </row>
    <row r="1953">
      <c r="C1953" s="1" t="s">
        <v>1950</v>
      </c>
      <c r="D1953" s="3" t="str">
        <f>IFERROR(__xludf.DUMMYFUNCTION("GOOGLETRANSLATE(C1953,""en"",""pl"")"),"ekstrakt")</f>
        <v>ekstrakt</v>
      </c>
    </row>
    <row r="1954">
      <c r="C1954" s="1" t="s">
        <v>1951</v>
      </c>
      <c r="D1954" s="3" t="str">
        <f>IFERROR(__xludf.DUMMYFUNCTION("GOOGLETRANSLATE(C1954,""en"",""pl"")"),"nieostrożny")</f>
        <v>nieostrożny</v>
      </c>
    </row>
    <row r="1955">
      <c r="C1955" s="1" t="s">
        <v>1952</v>
      </c>
      <c r="D1955" s="3" t="str">
        <f>IFERROR(__xludf.DUMMYFUNCTION("GOOGLETRANSLATE(C1955,""en"",""pl"")"),"ty-ty")</f>
        <v>ty-ty</v>
      </c>
    </row>
    <row r="1956">
      <c r="C1956" s="1" t="s">
        <v>1953</v>
      </c>
      <c r="D1956" s="3" t="str">
        <f>IFERROR(__xludf.DUMMYFUNCTION("GOOGLETRANSLATE(C1956,""en"",""pl"")"),"prostytutki")</f>
        <v>prostytutki</v>
      </c>
    </row>
    <row r="1957">
      <c r="C1957" s="1" t="s">
        <v>1954</v>
      </c>
      <c r="D1957" s="3" t="str">
        <f>IFERROR(__xludf.DUMMYFUNCTION("GOOGLETRANSLATE(C1957,""en"",""pl"")"),"kochać")</f>
        <v>kochać</v>
      </c>
    </row>
    <row r="1958">
      <c r="C1958" s="1" t="s">
        <v>1955</v>
      </c>
      <c r="D1958" s="3" t="str">
        <f>IFERROR(__xludf.DUMMYFUNCTION("GOOGLETRANSLATE(C1958,""en"",""pl"")"),"kłody")</f>
        <v>kłody</v>
      </c>
    </row>
    <row r="1959">
      <c r="C1959" s="1" t="s">
        <v>1956</v>
      </c>
      <c r="D1959" s="3" t="str">
        <f>IFERROR(__xludf.DUMMYFUNCTION("GOOGLETRANSLATE(C1959,""en"",""pl"")"),"brać")</f>
        <v>brać</v>
      </c>
    </row>
    <row r="1960">
      <c r="C1960" s="1" t="s">
        <v>1957</v>
      </c>
      <c r="D1960" s="3" t="str">
        <f>IFERROR(__xludf.DUMMYFUNCTION("GOOGLETRANSLATE(C1960,""en"",""pl"")"),"gąbka")</f>
        <v>gąbka</v>
      </c>
    </row>
    <row r="1961">
      <c r="C1961" s="1" t="s">
        <v>1958</v>
      </c>
      <c r="D1961" s="3" t="str">
        <f>IFERROR(__xludf.DUMMYFUNCTION("GOOGLETRANSLATE(C1961,""en"",""pl"")"),"Batesy")</f>
        <v>Batesy</v>
      </c>
    </row>
    <row r="1962">
      <c r="C1962" s="1" t="s">
        <v>1959</v>
      </c>
      <c r="D1962" s="3" t="str">
        <f>IFERROR(__xludf.DUMMYFUNCTION("GOOGLETRANSLATE(C1962,""en"",""pl"")"),"mankiety")</f>
        <v>mankiety</v>
      </c>
    </row>
    <row r="1963">
      <c r="C1963" s="1" t="s">
        <v>1960</v>
      </c>
      <c r="D1963" s="3" t="str">
        <f>IFERROR(__xludf.DUMMYFUNCTION("GOOGLETRANSLATE(C1963,""en"",""pl"")"),"dziewictwo")</f>
        <v>dziewictwo</v>
      </c>
    </row>
    <row r="1964">
      <c r="C1964" s="1" t="s">
        <v>1961</v>
      </c>
      <c r="D1964" s="3" t="str">
        <f>IFERROR(__xludf.DUMMYFUNCTION("GOOGLETRANSLATE(C1964,""en"",""pl"")"),"torturowanie")</f>
        <v>torturowanie</v>
      </c>
    </row>
    <row r="1965">
      <c r="C1965" s="1" t="s">
        <v>1962</v>
      </c>
      <c r="D1965" s="3" t="str">
        <f>IFERROR(__xludf.DUMMYFUNCTION("GOOGLETRANSLATE(C1965,""en"",""pl"")"),"jedność")</f>
        <v>jedność</v>
      </c>
    </row>
    <row r="1966">
      <c r="C1966" s="1" t="s">
        <v>1963</v>
      </c>
      <c r="D1966" s="3" t="str">
        <f>IFERROR(__xludf.DUMMYFUNCTION("GOOGLETRANSLATE(C1966,""en"",""pl"")"),"klatka")</f>
        <v>klatka</v>
      </c>
    </row>
    <row r="1967">
      <c r="C1967" s="1" t="s">
        <v>1964</v>
      </c>
      <c r="D1967" s="3" t="str">
        <f>IFERROR(__xludf.DUMMYFUNCTION("GOOGLETRANSLATE(C1967,""en"",""pl"")"),"kuźnia")</f>
        <v>kuźnia</v>
      </c>
    </row>
    <row r="1968">
      <c r="C1968" s="1" t="s">
        <v>1965</v>
      </c>
      <c r="D1968" s="3" t="str">
        <f>IFERROR(__xludf.DUMMYFUNCTION("GOOGLETRANSLATE(C1968,""en"",""pl"")"),"Morse'a")</f>
        <v>Morse'a</v>
      </c>
    </row>
    <row r="1969">
      <c r="C1969" s="1" t="s">
        <v>1966</v>
      </c>
      <c r="D1969" s="3" t="str">
        <f>IFERROR(__xludf.DUMMYFUNCTION("GOOGLETRANSLATE(C1969,""en"",""pl"")"),"guru")</f>
        <v>guru</v>
      </c>
    </row>
    <row r="1970">
      <c r="C1970" s="1" t="s">
        <v>1967</v>
      </c>
      <c r="D1970" s="3" t="str">
        <f>IFERROR(__xludf.DUMMYFUNCTION("GOOGLETRANSLATE(C1970,""en"",""pl"")"),"Tajski")</f>
        <v>Tajski</v>
      </c>
    </row>
    <row r="1971">
      <c r="C1971" s="1" t="s">
        <v>1968</v>
      </c>
      <c r="D1971" s="3" t="str">
        <f>IFERROR(__xludf.DUMMYFUNCTION("GOOGLETRANSLATE(C1971,""en"",""pl"")"),"wykwalifikowany")</f>
        <v>wykwalifikowany</v>
      </c>
    </row>
    <row r="1972">
      <c r="C1972" s="1" t="s">
        <v>1969</v>
      </c>
      <c r="D1972" s="3" t="str">
        <f>IFERROR(__xludf.DUMMYFUNCTION("GOOGLETRANSLATE(C1972,""en"",""pl"")"),"rozwijanie")</f>
        <v>rozwijanie</v>
      </c>
    </row>
    <row r="1973">
      <c r="C1973" s="1" t="s">
        <v>1970</v>
      </c>
      <c r="D1973" s="3" t="str">
        <f>IFERROR(__xludf.DUMMYFUNCTION("GOOGLETRANSLATE(C1973,""en"",""pl"")"),"nalega")</f>
        <v>nalega</v>
      </c>
    </row>
    <row r="1974">
      <c r="C1974" s="1" t="s">
        <v>1971</v>
      </c>
      <c r="D1974" s="3" t="str">
        <f>IFERROR(__xludf.DUMMYFUNCTION("GOOGLETRANSLATE(C1974,""en"",""pl"")"),"łydka")</f>
        <v>łydka</v>
      </c>
    </row>
    <row r="1975">
      <c r="C1975" s="1" t="s">
        <v>1972</v>
      </c>
      <c r="D1975" s="3" t="str">
        <f>IFERROR(__xludf.DUMMYFUNCTION("GOOGLETRANSLATE(C1975,""en"",""pl"")"),"ufff")</f>
        <v>ufff</v>
      </c>
    </row>
    <row r="1976">
      <c r="C1976" s="1" t="s">
        <v>1973</v>
      </c>
      <c r="D1976" s="3" t="str">
        <f>IFERROR(__xludf.DUMMYFUNCTION("GOOGLETRANSLATE(C1976,""en"",""pl"")"),"dodatek")</f>
        <v>dodatek</v>
      </c>
    </row>
    <row r="1977">
      <c r="C1977" s="1" t="s">
        <v>1974</v>
      </c>
      <c r="D1977" s="3" t="str">
        <f>IFERROR(__xludf.DUMMYFUNCTION("GOOGLETRANSLATE(C1977,""en"",""pl"")"),"homoseksualny")</f>
        <v>homoseksualny</v>
      </c>
    </row>
    <row r="1978">
      <c r="C1978" s="1" t="s">
        <v>1975</v>
      </c>
      <c r="D1978" s="3" t="str">
        <f>IFERROR(__xludf.DUMMYFUNCTION("GOOGLETRANSLATE(C1978,""en"",""pl"")"),"Widżaj")</f>
        <v>Widżaj</v>
      </c>
    </row>
    <row r="1979">
      <c r="C1979" s="1" t="s">
        <v>1976</v>
      </c>
      <c r="D1979" s="3" t="str">
        <f>IFERROR(__xludf.DUMMYFUNCTION("GOOGLETRANSLATE(C1979,""en"",""pl"")"),"kształty")</f>
        <v>kształty</v>
      </c>
    </row>
    <row r="1980">
      <c r="C1980" s="1" t="s">
        <v>1977</v>
      </c>
      <c r="D1980" s="3" t="str">
        <f>IFERROR(__xludf.DUMMYFUNCTION("GOOGLETRANSLATE(C1980,""en"",""pl"")"),"rozmaryn")</f>
        <v>rozmaryn</v>
      </c>
    </row>
    <row r="1981">
      <c r="C1981" s="1" t="s">
        <v>1978</v>
      </c>
      <c r="D1981" s="3" t="str">
        <f>IFERROR(__xludf.DUMMYFUNCTION("GOOGLETRANSLATE(C1981,""en"",""pl"")"),"bezczynny")</f>
        <v>bezczynny</v>
      </c>
    </row>
    <row r="1982">
      <c r="C1982" s="1" t="s">
        <v>1979</v>
      </c>
      <c r="D1982" s="3" t="str">
        <f>IFERROR(__xludf.DUMMYFUNCTION("GOOGLETRANSLATE(C1982,""en"",""pl"")"),"zamordowany")</f>
        <v>zamordowany</v>
      </c>
    </row>
    <row r="1983">
      <c r="C1983" s="1" t="s">
        <v>1980</v>
      </c>
      <c r="D1983" s="3" t="str">
        <f>IFERROR(__xludf.DUMMYFUNCTION("GOOGLETRANSLATE(C1983,""en"",""pl"")"),"oburzać się")</f>
        <v>oburzać się</v>
      </c>
    </row>
    <row r="1984">
      <c r="C1984" s="1" t="s">
        <v>1981</v>
      </c>
      <c r="D1984" s="3" t="str">
        <f>IFERROR(__xludf.DUMMYFUNCTION("GOOGLETRANSLATE(C1984,""en"",""pl"")"),"Kasandra")</f>
        <v>Kasandra</v>
      </c>
    </row>
    <row r="1985">
      <c r="C1985" s="1" t="s">
        <v>1982</v>
      </c>
      <c r="D1985" s="3" t="str">
        <f>IFERROR(__xludf.DUMMYFUNCTION("GOOGLETRANSLATE(C1985,""en"",""pl"")"),"przeciekający")</f>
        <v>przeciekający</v>
      </c>
    </row>
    <row r="1986">
      <c r="C1986" s="1" t="s">
        <v>1983</v>
      </c>
      <c r="D1986" s="3" t="str">
        <f>IFERROR(__xludf.DUMMYFUNCTION("GOOGLETRANSLATE(C1986,""en"",""pl"")"),"podobnie")</f>
        <v>podobnie</v>
      </c>
    </row>
    <row r="1987">
      <c r="C1987" s="1" t="s">
        <v>1984</v>
      </c>
      <c r="D1987" s="3" t="str">
        <f>IFERROR(__xludf.DUMMYFUNCTION("GOOGLETRANSLATE(C1987,""en"",""pl"")"),"zagadka")</f>
        <v>zagadka</v>
      </c>
    </row>
    <row r="1988">
      <c r="C1988" s="1" t="s">
        <v>1985</v>
      </c>
      <c r="D1988" s="3" t="str">
        <f>IFERROR(__xludf.DUMMYFUNCTION("GOOGLETRANSLATE(C1988,""en"",""pl"")"),"getto")</f>
        <v>getto</v>
      </c>
    </row>
    <row r="1989">
      <c r="C1989" s="1" t="s">
        <v>1986</v>
      </c>
      <c r="D1989" s="3" t="str">
        <f>IFERROR(__xludf.DUMMYFUNCTION("GOOGLETRANSLATE(C1989,""en"",""pl"")"),"okulary przeciwsłoneczne")</f>
        <v>okulary przeciwsłoneczne</v>
      </c>
    </row>
    <row r="1990">
      <c r="C1990" s="1" t="s">
        <v>1987</v>
      </c>
      <c r="D1990" s="3" t="str">
        <f>IFERROR(__xludf.DUMMYFUNCTION("GOOGLETRANSLATE(C1990,""en"",""pl"")"),"wega")</f>
        <v>wega</v>
      </c>
    </row>
    <row r="1991">
      <c r="C1991" s="1" t="s">
        <v>1988</v>
      </c>
      <c r="D1991" s="3" t="str">
        <f>IFERROR(__xludf.DUMMYFUNCTION("GOOGLETRANSLATE(C1991,""en"",""pl"")"),"najnowszy")</f>
        <v>najnowszy</v>
      </c>
    </row>
    <row r="1992">
      <c r="C1992" s="1" t="s">
        <v>1989</v>
      </c>
      <c r="D1992" s="3" t="str">
        <f>IFERROR(__xludf.DUMMYFUNCTION("GOOGLETRANSLATE(C1992,""en"",""pl"")"),"zawór")</f>
        <v>zawór</v>
      </c>
    </row>
    <row r="1993">
      <c r="C1993" s="1" t="s">
        <v>1990</v>
      </c>
      <c r="D1993" s="3" t="str">
        <f>IFERROR(__xludf.DUMMYFUNCTION("GOOGLETRANSLATE(C1993,""en"",""pl"")"),"maniak")</f>
        <v>maniak</v>
      </c>
    </row>
    <row r="1994">
      <c r="C1994" s="1" t="s">
        <v>1991</v>
      </c>
      <c r="D1994" s="3" t="str">
        <f>IFERROR(__xludf.DUMMYFUNCTION("GOOGLETRANSLATE(C1994,""en"",""pl"")"),"pieprzy")</f>
        <v>pieprzy</v>
      </c>
    </row>
    <row r="1995">
      <c r="C1995" s="1" t="s">
        <v>1992</v>
      </c>
      <c r="D1995" s="3" t="str">
        <f>IFERROR(__xludf.DUMMYFUNCTION("GOOGLETRANSLATE(C1995,""en"",""pl"")"),"gangsterzy")</f>
        <v>gangsterzy</v>
      </c>
    </row>
    <row r="1996">
      <c r="C1996" s="1" t="s">
        <v>1993</v>
      </c>
      <c r="D1996" s="3" t="str">
        <f>IFERROR(__xludf.DUMMYFUNCTION("GOOGLETRANSLATE(C1996,""en"",""pl"")"),"ciasta")</f>
        <v>ciasta</v>
      </c>
    </row>
    <row r="1997">
      <c r="C1997" s="1" t="s">
        <v>1994</v>
      </c>
      <c r="D1997" s="3" t="str">
        <f>IFERROR(__xludf.DUMMYFUNCTION("GOOGLETRANSLATE(C1997,""en"",""pl"")"),"wydawca")</f>
        <v>wydawca</v>
      </c>
    </row>
    <row r="1998">
      <c r="C1998" s="1" t="s">
        <v>1995</v>
      </c>
      <c r="D1998" s="3" t="str">
        <f>IFERROR(__xludf.DUMMYFUNCTION("GOOGLETRANSLATE(C1998,""en"",""pl"")"),"niepokojący")</f>
        <v>niepokojący</v>
      </c>
    </row>
    <row r="1999">
      <c r="C1999" s="1" t="s">
        <v>1996</v>
      </c>
      <c r="D1999" s="3" t="str">
        <f>IFERROR(__xludf.DUMMYFUNCTION("GOOGLETRANSLATE(C1999,""en"",""pl"")"),"drżenie")</f>
        <v>drżenie</v>
      </c>
    </row>
    <row r="2000">
      <c r="C2000" s="1" t="s">
        <v>1997</v>
      </c>
      <c r="D2000" s="3" t="str">
        <f>IFERROR(__xludf.DUMMYFUNCTION("GOOGLETRANSLATE(C2000,""en"",""pl"")"),"maraton")</f>
        <v>maraton</v>
      </c>
    </row>
    <row r="2001">
      <c r="C2001" s="1" t="s">
        <v>1998</v>
      </c>
      <c r="D2001" s="3" t="str">
        <f>IFERROR(__xludf.DUMMYFUNCTION("GOOGLETRANSLATE(C2001,""en"",""pl"")"),"natrysk")</f>
        <v>natrysk</v>
      </c>
    </row>
    <row r="2002">
      <c r="C2002" s="1" t="s">
        <v>1999</v>
      </c>
      <c r="D2002" s="3" t="str">
        <f>IFERROR(__xludf.DUMMYFUNCTION("GOOGLETRANSLATE(C2002,""en"",""pl"")"),"prowadzenie")</f>
        <v>prowadzenie</v>
      </c>
    </row>
    <row r="2003">
      <c r="C2003" s="1" t="s">
        <v>2000</v>
      </c>
      <c r="D2003" s="3" t="str">
        <f>IFERROR(__xludf.DUMMYFUNCTION("GOOGLETRANSLATE(C2003,""en"",""pl"")"),"niedziele")</f>
        <v>niedziele</v>
      </c>
    </row>
    <row r="2004">
      <c r="C2004" s="1" t="s">
        <v>2001</v>
      </c>
      <c r="D2004" s="3" t="str">
        <f>IFERROR(__xludf.DUMMYFUNCTION("GOOGLETRANSLATE(C2004,""en"",""pl"")"),"wrzaski")</f>
        <v>wrzaski</v>
      </c>
    </row>
    <row r="2005">
      <c r="C2005" s="1" t="s">
        <v>2002</v>
      </c>
      <c r="D2005" s="3" t="str">
        <f>IFERROR(__xludf.DUMMYFUNCTION("GOOGLETRANSLATE(C2005,""en"",""pl"")"),"narzeczona")</f>
        <v>narzeczona</v>
      </c>
    </row>
    <row r="2006">
      <c r="C2006" s="1" t="s">
        <v>2003</v>
      </c>
      <c r="D2006" s="3" t="str">
        <f>IFERROR(__xludf.DUMMYFUNCTION("GOOGLETRANSLATE(C2006,""en"",""pl"")"),"Frankenstein")</f>
        <v>Frankenstein</v>
      </c>
    </row>
    <row r="2007">
      <c r="C2007" s="1" t="s">
        <v>2004</v>
      </c>
      <c r="D2007" s="3" t="str">
        <f>IFERROR(__xludf.DUMMYFUNCTION("GOOGLETRANSLATE(C2007,""en"",""pl"")"),"lata")</f>
        <v>lata</v>
      </c>
    </row>
    <row r="2008">
      <c r="C2008" s="1" t="s">
        <v>2005</v>
      </c>
      <c r="D2008" s="3" t="str">
        <f>IFERROR(__xludf.DUMMYFUNCTION("GOOGLETRANSLATE(C2008,""en"",""pl"")"),"my")</f>
        <v>my</v>
      </c>
    </row>
    <row r="2009">
      <c r="C2009" s="1" t="s">
        <v>2006</v>
      </c>
      <c r="D2009" s="3" t="str">
        <f>IFERROR(__xludf.DUMMYFUNCTION("GOOGLETRANSLATE(C2009,""en"",""pl"")"),"lina")</f>
        <v>lina</v>
      </c>
    </row>
    <row r="2010">
      <c r="C2010" s="1" t="s">
        <v>2007</v>
      </c>
      <c r="D2010" s="3" t="str">
        <f>IFERROR(__xludf.DUMMYFUNCTION("GOOGLETRANSLATE(C2010,""en"",""pl"")"),"włamywacz")</f>
        <v>włamywacz</v>
      </c>
    </row>
    <row r="2011">
      <c r="C2011" s="1" t="s">
        <v>2008</v>
      </c>
      <c r="D2011" s="3" t="str">
        <f>IFERROR(__xludf.DUMMYFUNCTION("GOOGLETRANSLATE(C2011,""en"",""pl"")"),"pająki")</f>
        <v>pająki</v>
      </c>
    </row>
    <row r="2012">
      <c r="C2012" s="1" t="s">
        <v>2009</v>
      </c>
      <c r="D2012" s="3" t="str">
        <f>IFERROR(__xludf.DUMMYFUNCTION("GOOGLETRANSLATE(C2012,""en"",""pl"")"),"Norwegia")</f>
        <v>Norwegia</v>
      </c>
    </row>
    <row r="2013">
      <c r="C2013" s="1" t="s">
        <v>2010</v>
      </c>
      <c r="D2013" s="3" t="str">
        <f>IFERROR(__xludf.DUMMYFUNCTION("GOOGLETRANSLATE(C2013,""en"",""pl"")"),"uprawy")</f>
        <v>uprawy</v>
      </c>
    </row>
    <row r="2014">
      <c r="C2014" s="1" t="s">
        <v>2011</v>
      </c>
      <c r="D2014" s="3" t="str">
        <f>IFERROR(__xludf.DUMMYFUNCTION("GOOGLETRANSLATE(C2014,""en"",""pl"")"),"niemowlę")</f>
        <v>niemowlę</v>
      </c>
    </row>
    <row r="2015">
      <c r="C2015" s="1" t="s">
        <v>2012</v>
      </c>
      <c r="D2015" s="3" t="str">
        <f>IFERROR(__xludf.DUMMYFUNCTION("GOOGLETRANSLATE(C2015,""en"",""pl"")"),"sokół")</f>
        <v>sokół</v>
      </c>
    </row>
    <row r="2016">
      <c r="C2016" s="1" t="s">
        <v>2013</v>
      </c>
      <c r="D2016" s="3" t="str">
        <f>IFERROR(__xludf.DUMMYFUNCTION("GOOGLETRANSLATE(C2016,""en"",""pl"")"),"ściganie")</f>
        <v>ściganie</v>
      </c>
    </row>
    <row r="2017">
      <c r="C2017" s="1" t="s">
        <v>2014</v>
      </c>
      <c r="D2017" s="3" t="str">
        <f>IFERROR(__xludf.DUMMYFUNCTION("GOOGLETRANSLATE(C2017,""en"",""pl"")"),"poniżyć")</f>
        <v>poniżyć</v>
      </c>
    </row>
    <row r="2018">
      <c r="C2018" s="1" t="s">
        <v>2015</v>
      </c>
      <c r="D2018" s="3" t="str">
        <f>IFERROR(__xludf.DUMMYFUNCTION("GOOGLETRANSLATE(C2018,""en"",""pl"")"),"wodór")</f>
        <v>wodór</v>
      </c>
    </row>
    <row r="2019">
      <c r="C2019" s="1" t="s">
        <v>2016</v>
      </c>
      <c r="D2019" s="3" t="str">
        <f>IFERROR(__xludf.DUMMYFUNCTION("GOOGLETRANSLATE(C2019,""en"",""pl"")"),"karaoke")</f>
        <v>karaoke</v>
      </c>
    </row>
    <row r="2020">
      <c r="C2020" s="1" t="s">
        <v>2017</v>
      </c>
      <c r="D2020" s="3" t="str">
        <f>IFERROR(__xludf.DUMMYFUNCTION("GOOGLETRANSLATE(C2020,""en"",""pl"")"),"napotkany")</f>
        <v>napotkany</v>
      </c>
    </row>
    <row r="2021">
      <c r="C2021" s="1" t="s">
        <v>2018</v>
      </c>
      <c r="D2021" s="3" t="str">
        <f>IFERROR(__xludf.DUMMYFUNCTION("GOOGLETRANSLATE(C2021,""en"",""pl"")"),"Alberto")</f>
        <v>Alberto</v>
      </c>
    </row>
    <row r="2022">
      <c r="C2022" s="1" t="s">
        <v>2019</v>
      </c>
      <c r="D2022" s="3" t="str">
        <f>IFERROR(__xludf.DUMMYFUNCTION("GOOGLETRANSLATE(C2022,""en"",""pl"")"),"rdzeń")</f>
        <v>rdzeń</v>
      </c>
    </row>
    <row r="2023">
      <c r="C2023" s="1" t="s">
        <v>2020</v>
      </c>
      <c r="D2023" s="3" t="str">
        <f>IFERROR(__xludf.DUMMYFUNCTION("GOOGLETRANSLATE(C2023,""en"",""pl"")"),"zakres")</f>
        <v>zakres</v>
      </c>
    </row>
    <row r="2024">
      <c r="C2024" s="1" t="s">
        <v>2021</v>
      </c>
      <c r="D2024" s="3" t="str">
        <f>IFERROR(__xludf.DUMMYFUNCTION("GOOGLETRANSLATE(C2024,""en"",""pl"")"),"kultury")</f>
        <v>kultury</v>
      </c>
    </row>
    <row r="2025">
      <c r="C2025" s="1" t="s">
        <v>2022</v>
      </c>
      <c r="D2025" s="3" t="str">
        <f>IFERROR(__xludf.DUMMYFUNCTION("GOOGLETRANSLATE(C2025,""en"",""pl"")"),"głośniki")</f>
        <v>głośniki</v>
      </c>
    </row>
    <row r="2026">
      <c r="C2026" s="1" t="s">
        <v>2023</v>
      </c>
      <c r="D2026" s="3" t="str">
        <f>IFERROR(__xludf.DUMMYFUNCTION("GOOGLETRANSLATE(C2026,""en"",""pl"")"),"supergwiazda")</f>
        <v>supergwiazda</v>
      </c>
    </row>
    <row r="2027">
      <c r="C2027" s="1" t="s">
        <v>2024</v>
      </c>
      <c r="D2027" s="3" t="str">
        <f>IFERROR(__xludf.DUMMYFUNCTION("GOOGLETRANSLATE(C2027,""en"",""pl"")"),"orgazm")</f>
        <v>orgazm</v>
      </c>
    </row>
    <row r="2028">
      <c r="C2028" s="1" t="s">
        <v>2025</v>
      </c>
      <c r="D2028" s="3" t="str">
        <f>IFERROR(__xludf.DUMMYFUNCTION("GOOGLETRANSLATE(C2028,""en"",""pl"")"),"Byron")</f>
        <v>Byron</v>
      </c>
    </row>
    <row r="2029">
      <c r="C2029" s="1" t="s">
        <v>2026</v>
      </c>
      <c r="D2029" s="3" t="str">
        <f>IFERROR(__xludf.DUMMYFUNCTION("GOOGLETRANSLATE(C2029,""en"",""pl"")"),"sos")</f>
        <v>sos</v>
      </c>
    </row>
    <row r="2030">
      <c r="C2030" s="1" t="s">
        <v>2027</v>
      </c>
      <c r="D2030" s="3" t="str">
        <f>IFERROR(__xludf.DUMMYFUNCTION("GOOGLETRANSLATE(C2030,""en"",""pl"")"),"obliczenia")</f>
        <v>obliczenia</v>
      </c>
    </row>
    <row r="2031">
      <c r="C2031" s="1" t="s">
        <v>2028</v>
      </c>
      <c r="D2031" s="3" t="str">
        <f>IFERROR(__xludf.DUMMYFUNCTION("GOOGLETRANSLATE(C2031,""en"",""pl"")"),"wokal")</f>
        <v>wokal</v>
      </c>
    </row>
    <row r="2032">
      <c r="C2032" s="1" t="s">
        <v>2029</v>
      </c>
      <c r="D2032" s="3" t="str">
        <f>IFERROR(__xludf.DUMMYFUNCTION("GOOGLETRANSLATE(C2032,""en"",""pl"")"),"surowo")</f>
        <v>surowo</v>
      </c>
    </row>
    <row r="2033">
      <c r="C2033" s="1" t="s">
        <v>2030</v>
      </c>
      <c r="D2033" s="3" t="str">
        <f>IFERROR(__xludf.DUMMYFUNCTION("GOOGLETRANSLATE(C2033,""en"",""pl"")"),"nienawidzący")</f>
        <v>nienawidzący</v>
      </c>
    </row>
    <row r="2034">
      <c r="C2034" s="1" t="s">
        <v>2031</v>
      </c>
      <c r="D2034" s="3" t="str">
        <f>IFERROR(__xludf.DUMMYFUNCTION("GOOGLETRANSLATE(C2034,""en"",""pl"")"),"powieści")</f>
        <v>powieści</v>
      </c>
    </row>
    <row r="2035">
      <c r="C2035" s="1" t="s">
        <v>2032</v>
      </c>
      <c r="D2035" s="3" t="str">
        <f>IFERROR(__xludf.DUMMYFUNCTION("GOOGLETRANSLATE(C2035,""en"",""pl"")"),"Umysł")</f>
        <v>Umysł</v>
      </c>
    </row>
    <row r="2036">
      <c r="C2036" s="1" t="s">
        <v>2033</v>
      </c>
      <c r="D2036" s="3" t="str">
        <f>IFERROR(__xludf.DUMMYFUNCTION("GOOGLETRANSLATE(C2036,""en"",""pl"")"),"gotowany")</f>
        <v>gotowany</v>
      </c>
    </row>
    <row r="2037">
      <c r="C2037" s="1" t="s">
        <v>2034</v>
      </c>
      <c r="D2037" s="3" t="str">
        <f>IFERROR(__xludf.DUMMYFUNCTION("GOOGLETRANSLATE(C2037,""en"",""pl"")"),"metafora")</f>
        <v>metafora</v>
      </c>
    </row>
    <row r="2038">
      <c r="C2038" s="1" t="s">
        <v>2035</v>
      </c>
      <c r="D2038" s="3" t="str">
        <f>IFERROR(__xludf.DUMMYFUNCTION("GOOGLETRANSLATE(C2038,""en"",""pl"")"),"przedszkole")</f>
        <v>przedszkole</v>
      </c>
    </row>
    <row r="2039">
      <c r="C2039" s="1" t="s">
        <v>2036</v>
      </c>
      <c r="D2039" s="3" t="str">
        <f>IFERROR(__xludf.DUMMYFUNCTION("GOOGLETRANSLATE(C2039,""en"",""pl"")"),"zanika")</f>
        <v>zanika</v>
      </c>
    </row>
    <row r="2040">
      <c r="C2040" s="1" t="s">
        <v>2037</v>
      </c>
      <c r="D2040" s="3" t="str">
        <f>IFERROR(__xludf.DUMMYFUNCTION("GOOGLETRANSLATE(C2040,""en"",""pl"")"),"Andersowie")</f>
        <v>Andersowie</v>
      </c>
    </row>
    <row r="2041">
      <c r="C2041" s="1" t="s">
        <v>2038</v>
      </c>
      <c r="D2041" s="3" t="str">
        <f>IFERROR(__xludf.DUMMYFUNCTION("GOOGLETRANSLATE(C2041,""en"",""pl"")"),"fi")</f>
        <v>fi</v>
      </c>
    </row>
    <row r="2042">
      <c r="C2042" s="1" t="s">
        <v>2039</v>
      </c>
      <c r="D2042" s="3" t="str">
        <f>IFERROR(__xludf.DUMMYFUNCTION("GOOGLETRANSLATE(C2042,""en"",""pl"")"),"brazylijski")</f>
        <v>brazylijski</v>
      </c>
    </row>
    <row r="2043">
      <c r="C2043" s="1" t="s">
        <v>2040</v>
      </c>
      <c r="D2043" s="3" t="str">
        <f>IFERROR(__xludf.DUMMYFUNCTION("GOOGLETRANSLATE(C2043,""en"",""pl"")"),"niszczycielski")</f>
        <v>niszczycielski</v>
      </c>
    </row>
    <row r="2044">
      <c r="C2044" s="1" t="s">
        <v>2041</v>
      </c>
      <c r="D2044" s="3" t="str">
        <f>IFERROR(__xludf.DUMMYFUNCTION("GOOGLETRANSLATE(C2044,""en"",""pl"")"),"piękność")</f>
        <v>piękność</v>
      </c>
    </row>
    <row r="2045">
      <c r="C2045" s="1" t="s">
        <v>2042</v>
      </c>
      <c r="D2045" s="3" t="str">
        <f>IFERROR(__xludf.DUMMYFUNCTION("GOOGLETRANSLATE(C2045,""en"",""pl"")"),"wścibski")</f>
        <v>wścibski</v>
      </c>
    </row>
    <row r="2046">
      <c r="C2046" s="1" t="s">
        <v>2043</v>
      </c>
      <c r="D2046" s="3" t="str">
        <f>IFERROR(__xludf.DUMMYFUNCTION("GOOGLETRANSLATE(C2046,""en"",""pl"")"),"kapanie")</f>
        <v>kapanie</v>
      </c>
    </row>
    <row r="2047">
      <c r="C2047" s="1" t="s">
        <v>2044</v>
      </c>
      <c r="D2047" s="3" t="str">
        <f>IFERROR(__xludf.DUMMYFUNCTION("GOOGLETRANSLATE(C2047,""en"",""pl"")"),"operacje")</f>
        <v>operacje</v>
      </c>
    </row>
    <row r="2048">
      <c r="C2048" s="1" t="s">
        <v>2045</v>
      </c>
      <c r="D2048" s="3" t="str">
        <f>IFERROR(__xludf.DUMMYFUNCTION("GOOGLETRANSLATE(C2048,""en"",""pl"")"),"bo")</f>
        <v>bo</v>
      </c>
    </row>
    <row r="2049">
      <c r="C2049" s="1" t="s">
        <v>2046</v>
      </c>
      <c r="D2049" s="3" t="str">
        <f>IFERROR(__xludf.DUMMYFUNCTION("GOOGLETRANSLATE(C2049,""en"",""pl"")"),"trzymać")</f>
        <v>trzymać</v>
      </c>
    </row>
    <row r="2050">
      <c r="C2050" s="1" t="s">
        <v>2047</v>
      </c>
      <c r="D2050" s="3" t="str">
        <f>IFERROR(__xludf.DUMMYFUNCTION("GOOGLETRANSLATE(C2050,""en"",""pl"")"),"odpowiedni")</f>
        <v>odpowiedni</v>
      </c>
    </row>
    <row r="2051">
      <c r="C2051" s="1" t="s">
        <v>2048</v>
      </c>
      <c r="D2051" s="3" t="str">
        <f>IFERROR(__xludf.DUMMYFUNCTION("GOOGLETRANSLATE(C2051,""en"",""pl"")"),"miłosierny")</f>
        <v>miłosierny</v>
      </c>
    </row>
    <row r="2052">
      <c r="C2052" s="1" t="s">
        <v>2049</v>
      </c>
      <c r="D2052" s="3" t="str">
        <f>IFERROR(__xludf.DUMMYFUNCTION("GOOGLETRANSLATE(C2052,""en"",""pl"")"),"Hayley")</f>
        <v>Hayley</v>
      </c>
    </row>
    <row r="2053">
      <c r="C2053" s="1" t="s">
        <v>2050</v>
      </c>
      <c r="D2053" s="3" t="str">
        <f>IFERROR(__xludf.DUMMYFUNCTION("GOOGLETRANSLATE(C2053,""en"",""pl"")"),"twierdzący")</f>
        <v>twierdzący</v>
      </c>
    </row>
    <row r="2054">
      <c r="C2054" s="1" t="s">
        <v>2051</v>
      </c>
      <c r="D2054" s="3" t="str">
        <f>IFERROR(__xludf.DUMMYFUNCTION("GOOGLETRANSLATE(C2054,""en"",""pl"")"),"zbieg")</f>
        <v>zbieg</v>
      </c>
    </row>
    <row r="2055">
      <c r="C2055" s="1" t="s">
        <v>2052</v>
      </c>
      <c r="D2055" s="3" t="str">
        <f>IFERROR(__xludf.DUMMYFUNCTION("GOOGLETRANSLATE(C2055,""en"",""pl"")"),"strzelać")</f>
        <v>strzelać</v>
      </c>
    </row>
    <row r="2056">
      <c r="C2056" s="1" t="s">
        <v>2053</v>
      </c>
      <c r="D2056" s="3" t="str">
        <f>IFERROR(__xludf.DUMMYFUNCTION("GOOGLETRANSLATE(C2056,""en"",""pl"")"),"Włosi")</f>
        <v>Włosi</v>
      </c>
    </row>
    <row r="2057">
      <c r="C2057" s="1" t="s">
        <v>2054</v>
      </c>
      <c r="D2057" s="3" t="str">
        <f>IFERROR(__xludf.DUMMYFUNCTION("GOOGLETRANSLATE(C2057,""en"",""pl"")"),"Walia")</f>
        <v>Walia</v>
      </c>
    </row>
    <row r="2058">
      <c r="C2058" s="1" t="s">
        <v>2055</v>
      </c>
      <c r="D2058" s="3" t="str">
        <f>IFERROR(__xludf.DUMMYFUNCTION("GOOGLETRANSLATE(C2058,""en"",""pl"")"),"Santiago")</f>
        <v>Santiago</v>
      </c>
    </row>
    <row r="2059">
      <c r="C2059" s="1" t="s">
        <v>2056</v>
      </c>
      <c r="D2059" s="3" t="str">
        <f>IFERROR(__xludf.DUMMYFUNCTION("GOOGLETRANSLATE(C2059,""en"",""pl"")"),"dostosować")</f>
        <v>dostosować</v>
      </c>
    </row>
    <row r="2060">
      <c r="C2060" s="1" t="s">
        <v>2057</v>
      </c>
      <c r="D2060" s="3" t="str">
        <f>IFERROR(__xludf.DUMMYFUNCTION("GOOGLETRANSLATE(C2060,""en"",""pl"")"),"renee")</f>
        <v>renee</v>
      </c>
    </row>
    <row r="2061">
      <c r="C2061" s="1" t="s">
        <v>2058</v>
      </c>
      <c r="D2061" s="3" t="str">
        <f>IFERROR(__xludf.DUMMYFUNCTION("GOOGLETRANSLATE(C2061,""en"",""pl"")"),"zły")</f>
        <v>zły</v>
      </c>
    </row>
    <row r="2062">
      <c r="C2062" s="1" t="s">
        <v>2059</v>
      </c>
      <c r="D2062" s="3" t="str">
        <f>IFERROR(__xludf.DUMMYFUNCTION("GOOGLETRANSLATE(C2062,""en"",""pl"")"),"najmądrzejszy")</f>
        <v>najmądrzejszy</v>
      </c>
    </row>
    <row r="2063">
      <c r="C2063" s="1" t="s">
        <v>2060</v>
      </c>
      <c r="D2063" s="3" t="str">
        <f>IFERROR(__xludf.DUMMYFUNCTION("GOOGLETRANSLATE(C2063,""en"",""pl"")"),"czarni")</f>
        <v>czarni</v>
      </c>
    </row>
    <row r="2064">
      <c r="C2064" s="1" t="s">
        <v>2061</v>
      </c>
      <c r="D2064" s="3" t="str">
        <f>IFERROR(__xludf.DUMMYFUNCTION("GOOGLETRANSLATE(C2064,""en"",""pl"")"),"zmagał się")</f>
        <v>zmagał się</v>
      </c>
    </row>
    <row r="2065">
      <c r="C2065" s="1" t="s">
        <v>2062</v>
      </c>
      <c r="D2065" s="3" t="str">
        <f>IFERROR(__xludf.DUMMYFUNCTION("GOOGLETRANSLATE(C2065,""en"",""pl"")"),"prostytucja")</f>
        <v>prostytucja</v>
      </c>
    </row>
    <row r="2066">
      <c r="C2066" s="1" t="s">
        <v>2063</v>
      </c>
      <c r="D2066" s="3" t="str">
        <f>IFERROR(__xludf.DUMMYFUNCTION("GOOGLETRANSLATE(C2066,""en"",""pl"")"),"zemsta")</f>
        <v>zemsta</v>
      </c>
    </row>
    <row r="2067">
      <c r="C2067" s="1" t="s">
        <v>2064</v>
      </c>
      <c r="D2067" s="3" t="str">
        <f>IFERROR(__xludf.DUMMYFUNCTION("GOOGLETRANSLATE(C2067,""en"",""pl"")"),"dobre")</f>
        <v>dobre</v>
      </c>
    </row>
    <row r="2068">
      <c r="C2068" s="1" t="s">
        <v>2065</v>
      </c>
      <c r="D2068" s="3" t="str">
        <f>IFERROR(__xludf.DUMMYFUNCTION("GOOGLETRANSLATE(C2068,""en"",""pl"")"),"klasyczny")</f>
        <v>klasyczny</v>
      </c>
    </row>
    <row r="2069">
      <c r="C2069" s="1" t="s">
        <v>2066</v>
      </c>
      <c r="D2069" s="3" t="str">
        <f>IFERROR(__xludf.DUMMYFUNCTION("GOOGLETRANSLATE(C2069,""en"",""pl"")"),"pieluchy")</f>
        <v>pieluchy</v>
      </c>
    </row>
    <row r="2070">
      <c r="C2070" s="1" t="s">
        <v>2067</v>
      </c>
      <c r="D2070" s="3" t="str">
        <f>IFERROR(__xludf.DUMMYFUNCTION("GOOGLETRANSLATE(C2070,""en"",""pl"")"),"zabójstwa")</f>
        <v>zabójstwa</v>
      </c>
    </row>
    <row r="2071">
      <c r="C2071" s="1" t="s">
        <v>2068</v>
      </c>
      <c r="D2071" s="3" t="str">
        <f>IFERROR(__xludf.DUMMYFUNCTION("GOOGLETRANSLATE(C2071,""en"",""pl"")"),"budynek sądu")</f>
        <v>budynek sądu</v>
      </c>
    </row>
    <row r="2072">
      <c r="C2072" s="1" t="s">
        <v>2069</v>
      </c>
      <c r="D2072" s="3" t="str">
        <f>IFERROR(__xludf.DUMMYFUNCTION("GOOGLETRANSLATE(C2072,""en"",""pl"")"),"szczypce")</f>
        <v>szczypce</v>
      </c>
    </row>
    <row r="2073">
      <c r="C2073" s="1" t="s">
        <v>2070</v>
      </c>
      <c r="D2073" s="3" t="str">
        <f>IFERROR(__xludf.DUMMYFUNCTION("GOOGLETRANSLATE(C2073,""en"",""pl"")"),"młode")</f>
        <v>młode</v>
      </c>
    </row>
    <row r="2074">
      <c r="C2074" s="1" t="s">
        <v>2071</v>
      </c>
      <c r="D2074" s="3" t="str">
        <f>IFERROR(__xludf.DUMMYFUNCTION("GOOGLETRANSLATE(C2074,""en"",""pl"")"),"surfing")</f>
        <v>surfing</v>
      </c>
    </row>
    <row r="2075">
      <c r="C2075" s="1" t="s">
        <v>2072</v>
      </c>
      <c r="D2075" s="3" t="str">
        <f>IFERROR(__xludf.DUMMYFUNCTION("GOOGLETRANSLATE(C2075,""en"",""pl"")"),"Indiana")</f>
        <v>Indiana</v>
      </c>
    </row>
    <row r="2076">
      <c r="C2076" s="1" t="s">
        <v>2073</v>
      </c>
      <c r="D2076" s="3" t="str">
        <f>IFERROR(__xludf.DUMMYFUNCTION("GOOGLETRANSLATE(C2076,""en"",""pl"")"),"reflektor")</f>
        <v>reflektor</v>
      </c>
    </row>
    <row r="2077">
      <c r="C2077" s="1" t="s">
        <v>2074</v>
      </c>
      <c r="D2077" s="3" t="str">
        <f>IFERROR(__xludf.DUMMYFUNCTION("GOOGLETRANSLATE(C2077,""en"",""pl"")"),"granica")</f>
        <v>granica</v>
      </c>
    </row>
    <row r="2078">
      <c r="C2078" s="1" t="s">
        <v>2075</v>
      </c>
      <c r="D2078" s="3" t="str">
        <f>IFERROR(__xludf.DUMMYFUNCTION("GOOGLETRANSLATE(C2078,""en"",""pl"")"),"góra")</f>
        <v>góra</v>
      </c>
    </row>
    <row r="2079">
      <c r="C2079" s="1" t="s">
        <v>2076</v>
      </c>
      <c r="D2079" s="3" t="str">
        <f>IFERROR(__xludf.DUMMYFUNCTION("GOOGLETRANSLATE(C2079,""en"",""pl"")"),"dyby")</f>
        <v>dyby</v>
      </c>
    </row>
    <row r="2080">
      <c r="C2080" s="1" t="s">
        <v>2077</v>
      </c>
      <c r="D2080" s="3" t="str">
        <f>IFERROR(__xludf.DUMMYFUNCTION("GOOGLETRANSLATE(C2080,""en"",""pl"")"),"Patterson")</f>
        <v>Patterson</v>
      </c>
    </row>
    <row r="2081">
      <c r="C2081" s="1" t="s">
        <v>2078</v>
      </c>
      <c r="D2081" s="3" t="str">
        <f>IFERROR(__xludf.DUMMYFUNCTION("GOOGLETRANSLATE(C2081,""en"",""pl"")"),"świętość")</f>
        <v>świętość</v>
      </c>
    </row>
    <row r="2082">
      <c r="C2082" s="1" t="s">
        <v>2079</v>
      </c>
      <c r="D2082" s="3" t="str">
        <f>IFERROR(__xludf.DUMMYFUNCTION("GOOGLETRANSLATE(C2082,""en"",""pl"")"),"Dania")</f>
        <v>Dania</v>
      </c>
    </row>
    <row r="2083">
      <c r="C2083" s="1" t="s">
        <v>2080</v>
      </c>
      <c r="D2083" s="3" t="str">
        <f>IFERROR(__xludf.DUMMYFUNCTION("GOOGLETRANSLATE(C2083,""en"",""pl"")"),"izolacja")</f>
        <v>izolacja</v>
      </c>
    </row>
    <row r="2084">
      <c r="C2084" s="1" t="s">
        <v>2081</v>
      </c>
      <c r="D2084" s="3" t="str">
        <f>IFERROR(__xludf.DUMMYFUNCTION("GOOGLETRANSLATE(C2084,""en"",""pl"")"),"przystawki")</f>
        <v>przystawki</v>
      </c>
    </row>
    <row r="2085">
      <c r="C2085" s="1" t="s">
        <v>2082</v>
      </c>
      <c r="D2085" s="3" t="str">
        <f>IFERROR(__xludf.DUMMYFUNCTION("GOOGLETRANSLATE(C2085,""en"",""pl"")"),"zrezygnowany")</f>
        <v>zrezygnowany</v>
      </c>
    </row>
    <row r="2086">
      <c r="C2086" s="1" t="s">
        <v>2083</v>
      </c>
      <c r="D2086" s="3" t="str">
        <f>IFERROR(__xludf.DUMMYFUNCTION("GOOGLETRANSLATE(C2086,""en"",""pl"")"),"obeznany")</f>
        <v>obeznany</v>
      </c>
    </row>
    <row r="2087">
      <c r="C2087" s="1" t="s">
        <v>2084</v>
      </c>
      <c r="D2087" s="3" t="str">
        <f>IFERROR(__xludf.DUMMYFUNCTION("GOOGLETRANSLATE(C2087,""en"",""pl"")"),"miauczeć")</f>
        <v>miauczeć</v>
      </c>
    </row>
    <row r="2088">
      <c r="C2088" s="1" t="s">
        <v>2085</v>
      </c>
      <c r="D2088" s="3" t="str">
        <f>IFERROR(__xludf.DUMMYFUNCTION("GOOGLETRANSLATE(C2088,""en"",""pl"")"),"występy")</f>
        <v>występy</v>
      </c>
    </row>
    <row r="2089">
      <c r="C2089" s="1" t="s">
        <v>2086</v>
      </c>
      <c r="D2089" s="3" t="str">
        <f>IFERROR(__xludf.DUMMYFUNCTION("GOOGLETRANSLATE(C2089,""en"",""pl"")"),"strych")</f>
        <v>strych</v>
      </c>
    </row>
    <row r="2090">
      <c r="C2090" s="1" t="s">
        <v>2087</v>
      </c>
      <c r="D2090" s="3" t="str">
        <f>IFERROR(__xludf.DUMMYFUNCTION("GOOGLETRANSLATE(C2090,""en"",""pl"")"),"kapuś")</f>
        <v>kapuś</v>
      </c>
    </row>
    <row r="2091">
      <c r="C2091" s="1" t="s">
        <v>2088</v>
      </c>
      <c r="D2091" s="3" t="str">
        <f>IFERROR(__xludf.DUMMYFUNCTION("GOOGLETRANSLATE(C2091,""en"",""pl"")"),"wstążka")</f>
        <v>wstążka</v>
      </c>
    </row>
    <row r="2092">
      <c r="C2092" s="1" t="s">
        <v>2089</v>
      </c>
      <c r="D2092" s="3" t="str">
        <f>IFERROR(__xludf.DUMMYFUNCTION("GOOGLETRANSLATE(C2092,""en"",""pl"")"),"odważa się")</f>
        <v>odważa się</v>
      </c>
    </row>
    <row r="2093">
      <c r="C2093" s="1" t="s">
        <v>2090</v>
      </c>
      <c r="D2093" s="3" t="str">
        <f>IFERROR(__xludf.DUMMYFUNCTION("GOOGLETRANSLATE(C2093,""en"",""pl"")"),"wielkość")</f>
        <v>wielkość</v>
      </c>
    </row>
    <row r="2094">
      <c r="C2094" s="1" t="s">
        <v>2091</v>
      </c>
      <c r="D2094" s="3" t="str">
        <f>IFERROR(__xludf.DUMMYFUNCTION("GOOGLETRANSLATE(C2094,""en"",""pl"")"),"upadek")</f>
        <v>upadek</v>
      </c>
    </row>
    <row r="2095">
      <c r="C2095" s="1" t="s">
        <v>2092</v>
      </c>
      <c r="D2095" s="3" t="str">
        <f>IFERROR(__xludf.DUMMYFUNCTION("GOOGLETRANSLATE(C2095,""en"",""pl"")"),"najfajniejszy")</f>
        <v>najfajniejszy</v>
      </c>
    </row>
    <row r="2096">
      <c r="C2096" s="1" t="s">
        <v>2093</v>
      </c>
      <c r="D2096" s="3" t="str">
        <f>IFERROR(__xludf.DUMMYFUNCTION("GOOGLETRANSLATE(C2096,""en"",""pl"")"),"przyzwoitość")</f>
        <v>przyzwoitość</v>
      </c>
    </row>
    <row r="2097">
      <c r="C2097" s="1" t="s">
        <v>2094</v>
      </c>
      <c r="D2097" s="3" t="str">
        <f>IFERROR(__xludf.DUMMYFUNCTION("GOOGLETRANSLATE(C2097,""en"",""pl"")"),"majowy")</f>
        <v>majowy</v>
      </c>
    </row>
    <row r="2098">
      <c r="C2098" s="1" t="s">
        <v>2095</v>
      </c>
      <c r="D2098" s="3" t="str">
        <f>IFERROR(__xludf.DUMMYFUNCTION("GOOGLETRANSLATE(C2098,""en"",""pl"")"),"Michigan")</f>
        <v>Michigan</v>
      </c>
    </row>
    <row r="2099">
      <c r="C2099" s="1" t="s">
        <v>2096</v>
      </c>
      <c r="D2099" s="3" t="str">
        <f>IFERROR(__xludf.DUMMYFUNCTION("GOOGLETRANSLATE(C2099,""en"",""pl"")"),"reaktor")</f>
        <v>reaktor</v>
      </c>
    </row>
    <row r="2100">
      <c r="C2100" s="1" t="s">
        <v>2097</v>
      </c>
      <c r="D2100" s="3" t="str">
        <f>IFERROR(__xludf.DUMMYFUNCTION("GOOGLETRANSLATE(C2100,""en"",""pl"")"),"klamra")</f>
        <v>klamra</v>
      </c>
    </row>
    <row r="2101">
      <c r="C2101" s="1" t="s">
        <v>2098</v>
      </c>
      <c r="D2101" s="3" t="str">
        <f>IFERROR(__xludf.DUMMYFUNCTION("GOOGLETRANSLATE(C2101,""en"",""pl"")"),"próżność")</f>
        <v>próżność</v>
      </c>
    </row>
    <row r="2102">
      <c r="C2102" s="1" t="s">
        <v>2099</v>
      </c>
      <c r="D2102" s="3" t="str">
        <f>IFERROR(__xludf.DUMMYFUNCTION("GOOGLETRANSLATE(C2102,""en"",""pl"")"),"Szymon")</f>
        <v>Szymon</v>
      </c>
    </row>
    <row r="2103">
      <c r="C2103" s="1" t="s">
        <v>2100</v>
      </c>
      <c r="D2103" s="3" t="str">
        <f>IFERROR(__xludf.DUMMYFUNCTION("GOOGLETRANSLATE(C2103,""en"",""pl"")"),"zarobkowy")</f>
        <v>zarobkowy</v>
      </c>
    </row>
    <row r="2104">
      <c r="C2104" s="1" t="s">
        <v>2101</v>
      </c>
      <c r="D2104" s="3" t="str">
        <f>IFERROR(__xludf.DUMMYFUNCTION("GOOGLETRANSLATE(C2104,""en"",""pl"")"),"małżeństwa")</f>
        <v>małżeństwa</v>
      </c>
    </row>
    <row r="2105">
      <c r="C2105" s="1" t="s">
        <v>2102</v>
      </c>
      <c r="D2105" s="3" t="str">
        <f>IFERROR(__xludf.DUMMYFUNCTION("GOOGLETRANSLATE(C2105,""en"",""pl"")"),"doki")</f>
        <v>doki</v>
      </c>
    </row>
    <row r="2106">
      <c r="C2106" s="1" t="s">
        <v>2103</v>
      </c>
      <c r="D2106" s="3" t="str">
        <f>IFERROR(__xludf.DUMMYFUNCTION("GOOGLETRANSLATE(C2106,""en"",""pl"")"),"Lopez")</f>
        <v>Lopez</v>
      </c>
    </row>
    <row r="2107">
      <c r="C2107" s="1" t="s">
        <v>2104</v>
      </c>
      <c r="D2107" s="3" t="str">
        <f>IFERROR(__xludf.DUMMYFUNCTION("GOOGLETRANSLATE(C2107,""en"",""pl"")"),"rzekomy")</f>
        <v>rzekomy</v>
      </c>
    </row>
    <row r="2108">
      <c r="C2108" s="1" t="s">
        <v>2105</v>
      </c>
      <c r="D2108" s="3" t="str">
        <f>IFERROR(__xludf.DUMMYFUNCTION("GOOGLETRANSLATE(C2108,""en"",""pl"")"),"jak najszybciej")</f>
        <v>jak najszybciej</v>
      </c>
    </row>
    <row r="2109">
      <c r="C2109" s="1" t="s">
        <v>2106</v>
      </c>
      <c r="D2109" s="3" t="str">
        <f>IFERROR(__xludf.DUMMYFUNCTION("GOOGLETRANSLATE(C2109,""en"",""pl"")"),"przygotowania")</f>
        <v>przygotowania</v>
      </c>
    </row>
    <row r="2110">
      <c r="C2110" s="1" t="s">
        <v>2107</v>
      </c>
      <c r="D2110" s="3" t="str">
        <f>IFERROR(__xludf.DUMMYFUNCTION("GOOGLETRANSLATE(C2110,""en"",""pl"")"),"podsłuchiwanie")</f>
        <v>podsłuchiwanie</v>
      </c>
    </row>
    <row r="2111">
      <c r="C2111" s="1" t="s">
        <v>2108</v>
      </c>
      <c r="D2111" s="3" t="str">
        <f>IFERROR(__xludf.DUMMYFUNCTION("GOOGLETRANSLATE(C2111,""en"",""pl"")"),"podbity")</f>
        <v>podbity</v>
      </c>
    </row>
    <row r="2112">
      <c r="C2112" s="1" t="s">
        <v>2109</v>
      </c>
      <c r="D2112" s="3" t="str">
        <f>IFERROR(__xludf.DUMMYFUNCTION("GOOGLETRANSLATE(C2112,""en"",""pl"")"),"kukułka")</f>
        <v>kukułka</v>
      </c>
    </row>
    <row r="2113">
      <c r="C2113" s="1" t="s">
        <v>2110</v>
      </c>
      <c r="D2113" s="3" t="str">
        <f>IFERROR(__xludf.DUMMYFUNCTION("GOOGLETRANSLATE(C2113,""en"",""pl"")"),"kołyska")</f>
        <v>kołyska</v>
      </c>
    </row>
    <row r="2114">
      <c r="C2114" s="1" t="s">
        <v>2111</v>
      </c>
      <c r="D2114" s="3" t="str">
        <f>IFERROR(__xludf.DUMMYFUNCTION("GOOGLETRANSLATE(C2114,""en"",""pl"")"),"jogurt")</f>
        <v>jogurt</v>
      </c>
    </row>
    <row r="2115">
      <c r="C2115" s="1" t="s">
        <v>2112</v>
      </c>
      <c r="D2115" s="3" t="str">
        <f>IFERROR(__xludf.DUMMYFUNCTION("GOOGLETRANSLATE(C2115,""en"",""pl"")"),"po drugie")</f>
        <v>po drugie</v>
      </c>
    </row>
    <row r="2116">
      <c r="C2116" s="1" t="s">
        <v>2113</v>
      </c>
      <c r="D2116" s="3" t="str">
        <f>IFERROR(__xludf.DUMMYFUNCTION("GOOGLETRANSLATE(C2116,""en"",""pl"")"),"Nixon")</f>
        <v>Nixon</v>
      </c>
    </row>
    <row r="2117">
      <c r="C2117" s="1" t="s">
        <v>2114</v>
      </c>
      <c r="D2117" s="3" t="str">
        <f>IFERROR(__xludf.DUMMYFUNCTION("GOOGLETRANSLATE(C2117,""en"",""pl"")"),"Portlandia")</f>
        <v>Portlandia</v>
      </c>
    </row>
    <row r="2118">
      <c r="C2118" s="1" t="s">
        <v>2115</v>
      </c>
      <c r="D2118" s="3" t="str">
        <f>IFERROR(__xludf.DUMMYFUNCTION("GOOGLETRANSLATE(C2118,""en"",""pl"")"),"podejrzany")</f>
        <v>podejrzany</v>
      </c>
    </row>
    <row r="2119">
      <c r="C2119" s="1" t="s">
        <v>2116</v>
      </c>
      <c r="D2119" s="3" t="str">
        <f>IFERROR(__xludf.DUMMYFUNCTION("GOOGLETRANSLATE(C2119,""en"",""pl"")"),"trzepnięcie")</f>
        <v>trzepnięcie</v>
      </c>
    </row>
    <row r="2120">
      <c r="C2120" s="1" t="s">
        <v>2117</v>
      </c>
      <c r="D2120" s="3" t="str">
        <f>IFERROR(__xludf.DUMMYFUNCTION("GOOGLETRANSLATE(C2120,""en"",""pl"")"),"porysowany")</f>
        <v>porysowany</v>
      </c>
    </row>
    <row r="2121">
      <c r="C2121" s="1" t="s">
        <v>2118</v>
      </c>
      <c r="D2121" s="3" t="str">
        <f>IFERROR(__xludf.DUMMYFUNCTION("GOOGLETRANSLATE(C2121,""en"",""pl"")"),"bułeczka")</f>
        <v>bułeczka</v>
      </c>
    </row>
    <row r="2122">
      <c r="C2122" s="1" t="s">
        <v>2119</v>
      </c>
      <c r="D2122" s="3" t="str">
        <f>IFERROR(__xludf.DUMMYFUNCTION("GOOGLETRANSLATE(C2122,""en"",""pl"")"),"krzepki")</f>
        <v>krzepki</v>
      </c>
    </row>
    <row r="2123">
      <c r="C2123" s="1" t="s">
        <v>2120</v>
      </c>
      <c r="D2123" s="3" t="str">
        <f>IFERROR(__xludf.DUMMYFUNCTION("GOOGLETRANSLATE(C2123,""en"",""pl"")"),"krawiec")</f>
        <v>krawiec</v>
      </c>
    </row>
    <row r="2124">
      <c r="C2124" s="1" t="s">
        <v>2121</v>
      </c>
      <c r="D2124" s="3" t="str">
        <f>IFERROR(__xludf.DUMMYFUNCTION("GOOGLETRANSLATE(C2124,""en"",""pl"")"),"komin")</f>
        <v>komin</v>
      </c>
    </row>
    <row r="2125">
      <c r="C2125" s="1" t="s">
        <v>2122</v>
      </c>
      <c r="D2125" s="3" t="str">
        <f>IFERROR(__xludf.DUMMYFUNCTION("GOOGLETRANSLATE(C2125,""en"",""pl"")"),"zakonnice")</f>
        <v>zakonnice</v>
      </c>
    </row>
    <row r="2126">
      <c r="C2126" s="1" t="s">
        <v>2123</v>
      </c>
      <c r="D2126" s="3" t="str">
        <f>IFERROR(__xludf.DUMMYFUNCTION("GOOGLETRANSLATE(C2126,""en"",""pl"")"),"Ezdrasz")</f>
        <v>Ezdrasz</v>
      </c>
    </row>
    <row r="2127">
      <c r="C2127" s="1" t="s">
        <v>2124</v>
      </c>
      <c r="D2127" s="3" t="str">
        <f>IFERROR(__xludf.DUMMYFUNCTION("GOOGLETRANSLATE(C2127,""en"",""pl"")"),"paczka")</f>
        <v>paczka</v>
      </c>
    </row>
    <row r="2128">
      <c r="C2128" s="1" t="s">
        <v>2125</v>
      </c>
      <c r="D2128" s="3" t="str">
        <f>IFERROR(__xludf.DUMMYFUNCTION("GOOGLETRANSLATE(C2128,""en"",""pl"")"),"domowej roboty")</f>
        <v>domowej roboty</v>
      </c>
    </row>
    <row r="2129">
      <c r="C2129" s="1" t="s">
        <v>2126</v>
      </c>
      <c r="D2129" s="3" t="str">
        <f>IFERROR(__xludf.DUMMYFUNCTION("GOOGLETRANSLATE(C2129,""en"",""pl"")"),"rolnictwo")</f>
        <v>rolnictwo</v>
      </c>
    </row>
    <row r="2130">
      <c r="C2130" s="1" t="s">
        <v>2127</v>
      </c>
      <c r="D2130" s="3" t="str">
        <f>IFERROR(__xludf.DUMMYFUNCTION("GOOGLETRANSLATE(C2130,""en"",""pl"")"),"prawdziwie")</f>
        <v>prawdziwie</v>
      </c>
    </row>
    <row r="2131">
      <c r="C2131" s="1" t="s">
        <v>2128</v>
      </c>
      <c r="D2131" s="3" t="str">
        <f>IFERROR(__xludf.DUMMYFUNCTION("GOOGLETRANSLATE(C2131,""en"",""pl"")"),"plotki")</f>
        <v>plotki</v>
      </c>
    </row>
    <row r="2132">
      <c r="C2132" s="1" t="s">
        <v>2129</v>
      </c>
      <c r="D2132" s="3" t="str">
        <f>IFERROR(__xludf.DUMMYFUNCTION("GOOGLETRANSLATE(C2132,""en"",""pl"")"),"Daniele")</f>
        <v>Daniele</v>
      </c>
    </row>
    <row r="2133">
      <c r="C2133" s="1" t="s">
        <v>2130</v>
      </c>
      <c r="D2133" s="3" t="str">
        <f>IFERROR(__xludf.DUMMYFUNCTION("GOOGLETRANSLATE(C2133,""en"",""pl"")"),"bluzka")</f>
        <v>bluzka</v>
      </c>
    </row>
    <row r="2134">
      <c r="C2134" s="1" t="s">
        <v>2131</v>
      </c>
      <c r="D2134" s="3" t="str">
        <f>IFERROR(__xludf.DUMMYFUNCTION("GOOGLETRANSLATE(C2134,""en"",""pl"")"),"latawiec")</f>
        <v>latawiec</v>
      </c>
    </row>
    <row r="2135">
      <c r="C2135" s="1" t="s">
        <v>2132</v>
      </c>
      <c r="D2135" s="3" t="str">
        <f>IFERROR(__xludf.DUMMYFUNCTION("GOOGLETRANSLATE(C2135,""en"",""pl"")"),"autobusy")</f>
        <v>autobusy</v>
      </c>
    </row>
    <row r="2136">
      <c r="C2136" s="1" t="s">
        <v>2133</v>
      </c>
      <c r="D2136" s="3" t="str">
        <f>IFERROR(__xludf.DUMMYFUNCTION("GOOGLETRANSLATE(C2136,""en"",""pl"")"),"Hassan")</f>
        <v>Hassan</v>
      </c>
    </row>
    <row r="2137">
      <c r="C2137" s="1" t="s">
        <v>2134</v>
      </c>
      <c r="D2137" s="3" t="str">
        <f>IFERROR(__xludf.DUMMYFUNCTION("GOOGLETRANSLATE(C2137,""en"",""pl"")"),"wierszyk")</f>
        <v>wierszyk</v>
      </c>
    </row>
    <row r="2138">
      <c r="C2138" s="1" t="s">
        <v>2135</v>
      </c>
      <c r="D2138" s="3" t="str">
        <f>IFERROR(__xludf.DUMMYFUNCTION("GOOGLETRANSLATE(C2138,""en"",""pl"")"),"najechał")</f>
        <v>najechał</v>
      </c>
    </row>
    <row r="2139">
      <c r="C2139" s="1" t="s">
        <v>2136</v>
      </c>
      <c r="D2139" s="3" t="str">
        <f>IFERROR(__xludf.DUMMYFUNCTION("GOOGLETRANSLATE(C2139,""en"",""pl"")"),"quentin")</f>
        <v>quentin</v>
      </c>
    </row>
    <row r="2140">
      <c r="C2140" s="1" t="s">
        <v>2137</v>
      </c>
      <c r="D2140" s="3" t="str">
        <f>IFERROR(__xludf.DUMMYFUNCTION("GOOGLETRANSLATE(C2140,""en"",""pl"")"),"równanie")</f>
        <v>równanie</v>
      </c>
    </row>
    <row r="2141">
      <c r="C2141" s="1" t="s">
        <v>2138</v>
      </c>
      <c r="D2141" s="3" t="str">
        <f>IFERROR(__xludf.DUMMYFUNCTION("GOOGLETRANSLATE(C2141,""en"",""pl"")"),"nadajnik")</f>
        <v>nadajnik</v>
      </c>
    </row>
    <row r="2142">
      <c r="C2142" s="1" t="s">
        <v>2139</v>
      </c>
      <c r="D2142" s="3" t="str">
        <f>IFERROR(__xludf.DUMMYFUNCTION("GOOGLETRANSLATE(C2142,""en"",""pl"")"),"idioci")</f>
        <v>idioci</v>
      </c>
    </row>
    <row r="2143">
      <c r="C2143" s="1" t="s">
        <v>2140</v>
      </c>
      <c r="D2143" s="3" t="str">
        <f>IFERROR(__xludf.DUMMYFUNCTION("GOOGLETRANSLATE(C2143,""en"",""pl"")"),"wapno")</f>
        <v>wapno</v>
      </c>
    </row>
    <row r="2144">
      <c r="C2144" s="1" t="s">
        <v>2141</v>
      </c>
      <c r="D2144" s="3" t="str">
        <f>IFERROR(__xludf.DUMMYFUNCTION("GOOGLETRANSLATE(C2144,""en"",""pl"")"),"gnicie")</f>
        <v>gnicie</v>
      </c>
    </row>
    <row r="2145">
      <c r="C2145" s="1" t="s">
        <v>2142</v>
      </c>
      <c r="D2145" s="3" t="str">
        <f>IFERROR(__xludf.DUMMYFUNCTION("GOOGLETRANSLATE(C2145,""en"",""pl"")"),"Lata 20.")</f>
        <v>Lata 20.</v>
      </c>
    </row>
    <row r="2146">
      <c r="C2146" s="1" t="s">
        <v>2143</v>
      </c>
      <c r="D2146" s="3" t="str">
        <f>IFERROR(__xludf.DUMMYFUNCTION("GOOGLETRANSLATE(C2146,""en"",""pl"")"),"wyrzuty sumienia")</f>
        <v>wyrzuty sumienia</v>
      </c>
    </row>
    <row r="2147">
      <c r="C2147" s="1" t="s">
        <v>2144</v>
      </c>
      <c r="D2147" s="3" t="str">
        <f>IFERROR(__xludf.DUMMYFUNCTION("GOOGLETRANSLATE(C2147,""en"",""pl"")"),"otis")</f>
        <v>otis</v>
      </c>
    </row>
    <row r="2148">
      <c r="C2148" s="1" t="s">
        <v>2145</v>
      </c>
      <c r="D2148" s="3" t="str">
        <f>IFERROR(__xludf.DUMMYFUNCTION("GOOGLETRANSLATE(C2148,""en"",""pl"")"),"znacznik")</f>
        <v>znacznik</v>
      </c>
    </row>
    <row r="2149">
      <c r="C2149" s="1" t="s">
        <v>2146</v>
      </c>
      <c r="D2149" s="3" t="str">
        <f>IFERROR(__xludf.DUMMYFUNCTION("GOOGLETRANSLATE(C2149,""en"",""pl"")"),"cel")</f>
        <v>cel</v>
      </c>
    </row>
    <row r="2150">
      <c r="C2150" s="1" t="s">
        <v>2147</v>
      </c>
      <c r="D2150" s="3" t="str">
        <f>IFERROR(__xludf.DUMMYFUNCTION("GOOGLETRANSLATE(C2150,""en"",""pl"")"),"dodaje")</f>
        <v>dodaje</v>
      </c>
    </row>
    <row r="2151">
      <c r="C2151" s="1" t="s">
        <v>2148</v>
      </c>
      <c r="D2151" s="3" t="str">
        <f>IFERROR(__xludf.DUMMYFUNCTION("GOOGLETRANSLATE(C2151,""en"",""pl"")"),"obowiązki")</f>
        <v>obowiązki</v>
      </c>
    </row>
    <row r="2152">
      <c r="C2152" s="1" t="s">
        <v>2149</v>
      </c>
      <c r="D2152" s="3" t="str">
        <f>IFERROR(__xludf.DUMMYFUNCTION("GOOGLETRANSLATE(C2152,""en"",""pl"")"),"klejnot")</f>
        <v>klejnot</v>
      </c>
    </row>
    <row r="2153">
      <c r="C2153" s="1" t="s">
        <v>2150</v>
      </c>
      <c r="D2153" s="3" t="str">
        <f>IFERROR(__xludf.DUMMYFUNCTION("GOOGLETRANSLATE(C2153,""en"",""pl"")"),"wystrzelony")</f>
        <v>wystrzelony</v>
      </c>
    </row>
    <row r="2154">
      <c r="C2154" s="1" t="s">
        <v>2151</v>
      </c>
      <c r="D2154" s="3" t="str">
        <f>IFERROR(__xludf.DUMMYFUNCTION("GOOGLETRANSLATE(C2154,""en"",""pl"")"),"chwyta")</f>
        <v>chwyta</v>
      </c>
    </row>
    <row r="2155">
      <c r="C2155" s="1" t="s">
        <v>2152</v>
      </c>
      <c r="D2155" s="3" t="str">
        <f>IFERROR(__xludf.DUMMYFUNCTION("GOOGLETRANSLATE(C2155,""en"",""pl"")"),"odważny")</f>
        <v>odważny</v>
      </c>
    </row>
    <row r="2156">
      <c r="C2156" s="1" t="s">
        <v>2153</v>
      </c>
      <c r="D2156" s="3" t="str">
        <f>IFERROR(__xludf.DUMMYFUNCTION("GOOGLETRANSLATE(C2156,""en"",""pl"")"),"determinacja")</f>
        <v>determinacja</v>
      </c>
    </row>
    <row r="2157">
      <c r="C2157" s="1" t="s">
        <v>2154</v>
      </c>
      <c r="D2157" s="3" t="str">
        <f>IFERROR(__xludf.DUMMYFUNCTION("GOOGLETRANSLATE(C2157,""en"",""pl"")"),"bóbr")</f>
        <v>bóbr</v>
      </c>
    </row>
    <row r="2158">
      <c r="C2158" s="1" t="s">
        <v>2155</v>
      </c>
      <c r="D2158" s="3" t="str">
        <f>IFERROR(__xludf.DUMMYFUNCTION("GOOGLETRANSLATE(C2158,""en"",""pl"")"),"wydawniczy")</f>
        <v>wydawniczy</v>
      </c>
    </row>
    <row r="2159">
      <c r="C2159" s="1" t="s">
        <v>2156</v>
      </c>
      <c r="D2159" s="3" t="str">
        <f>IFERROR(__xludf.DUMMYFUNCTION("GOOGLETRANSLATE(C2159,""en"",""pl"")"),"świerszcze")</f>
        <v>świerszcze</v>
      </c>
    </row>
    <row r="2160">
      <c r="C2160" s="1" t="s">
        <v>2157</v>
      </c>
      <c r="D2160" s="3" t="str">
        <f>IFERROR(__xludf.DUMMYFUNCTION("GOOGLETRANSLATE(C2160,""en"",""pl"")"),"dobrze znany")</f>
        <v>dobrze znany</v>
      </c>
    </row>
    <row r="2161">
      <c r="C2161" s="1" t="s">
        <v>2158</v>
      </c>
      <c r="D2161" s="3" t="str">
        <f>IFERROR(__xludf.DUMMYFUNCTION("GOOGLETRANSLATE(C2161,""en"",""pl"")"),"11.")</f>
        <v>11.</v>
      </c>
    </row>
    <row r="2162">
      <c r="C2162" s="1" t="s">
        <v>2159</v>
      </c>
      <c r="D2162" s="3" t="str">
        <f>IFERROR(__xludf.DUMMYFUNCTION("GOOGLETRANSLATE(C2162,""en"",""pl"")"),"ćwiczenia")</f>
        <v>ćwiczenia</v>
      </c>
    </row>
    <row r="2163">
      <c r="C2163" s="1" t="s">
        <v>2160</v>
      </c>
      <c r="D2163" s="3" t="str">
        <f>IFERROR(__xludf.DUMMYFUNCTION("GOOGLETRANSLATE(C2163,""en"",""pl"")"),"testament")</f>
        <v>testament</v>
      </c>
    </row>
    <row r="2164">
      <c r="C2164" s="1" t="s">
        <v>2161</v>
      </c>
      <c r="D2164" s="3" t="str">
        <f>IFERROR(__xludf.DUMMYFUNCTION("GOOGLETRANSLATE(C2164,""en"",""pl"")"),"apokalipsa")</f>
        <v>apokalipsa</v>
      </c>
    </row>
    <row r="2165">
      <c r="C2165" s="1" t="s">
        <v>2162</v>
      </c>
      <c r="D2165" s="3" t="str">
        <f>IFERROR(__xludf.DUMMYFUNCTION("GOOGLETRANSLATE(C2165,""en"",""pl"")"),"uff")</f>
        <v>uff</v>
      </c>
    </row>
    <row r="2166">
      <c r="C2166" s="1" t="s">
        <v>2163</v>
      </c>
      <c r="D2166" s="3" t="str">
        <f>IFERROR(__xludf.DUMMYFUNCTION("GOOGLETRANSLATE(C2166,""en"",""pl"")"),"kutasy")</f>
        <v>kutasy</v>
      </c>
    </row>
    <row r="2167">
      <c r="C2167" s="1" t="s">
        <v>2164</v>
      </c>
      <c r="D2167" s="3" t="str">
        <f>IFERROR(__xludf.DUMMYFUNCTION("GOOGLETRANSLATE(C2167,""en"",""pl"")"),"sparaliżowany")</f>
        <v>sparaliżowany</v>
      </c>
    </row>
    <row r="2168">
      <c r="C2168" s="1" t="s">
        <v>2165</v>
      </c>
      <c r="D2168" s="3" t="str">
        <f>IFERROR(__xludf.DUMMYFUNCTION("GOOGLETRANSLATE(C2168,""en"",""pl"")"),"nagłówki")</f>
        <v>nagłówki</v>
      </c>
    </row>
    <row r="2169">
      <c r="C2169" s="1" t="s">
        <v>2166</v>
      </c>
      <c r="D2169" s="3" t="str">
        <f>IFERROR(__xludf.DUMMYFUNCTION("GOOGLETRANSLATE(C2169,""en"",""pl"")"),"paski")</f>
        <v>paski</v>
      </c>
    </row>
    <row r="2170">
      <c r="C2170" s="1" t="s">
        <v>2167</v>
      </c>
      <c r="D2170" s="3" t="str">
        <f>IFERROR(__xludf.DUMMYFUNCTION("GOOGLETRANSLATE(C2170,""en"",""pl"")"),"Święty")</f>
        <v>Święty</v>
      </c>
    </row>
    <row r="2171">
      <c r="C2171" s="1" t="s">
        <v>2168</v>
      </c>
      <c r="D2171" s="3" t="str">
        <f>IFERROR(__xludf.DUMMYFUNCTION("GOOGLETRANSLATE(C2171,""en"",""pl"")"),"oddechy")</f>
        <v>oddechy</v>
      </c>
    </row>
    <row r="2172">
      <c r="C2172" s="1" t="s">
        <v>2169</v>
      </c>
      <c r="D2172" s="3" t="str">
        <f>IFERROR(__xludf.DUMMYFUNCTION("GOOGLETRANSLATE(C2172,""en"",""pl"")"),"poronić")</f>
        <v>poronić</v>
      </c>
    </row>
    <row r="2173">
      <c r="C2173" s="1" t="s">
        <v>2170</v>
      </c>
      <c r="D2173" s="3" t="str">
        <f>IFERROR(__xludf.DUMMYFUNCTION("GOOGLETRANSLATE(C2173,""en"",""pl"")"),"sterta")</f>
        <v>sterta</v>
      </c>
    </row>
    <row r="2174">
      <c r="C2174" s="1" t="s">
        <v>2171</v>
      </c>
      <c r="D2174" s="3" t="str">
        <f>IFERROR(__xludf.DUMMYFUNCTION("GOOGLETRANSLATE(C2174,""en"",""pl"")"),"ketchup")</f>
        <v>ketchup</v>
      </c>
    </row>
    <row r="2175">
      <c r="C2175" s="1" t="s">
        <v>2172</v>
      </c>
      <c r="D2175" s="3" t="str">
        <f>IFERROR(__xludf.DUMMYFUNCTION("GOOGLETRANSLATE(C2175,""en"",""pl"")"),"odpowiedział")</f>
        <v>odpowiedział</v>
      </c>
    </row>
    <row r="2176">
      <c r="C2176" s="1" t="s">
        <v>2173</v>
      </c>
      <c r="D2176" s="3" t="str">
        <f>IFERROR(__xludf.DUMMYFUNCTION("GOOGLETRANSLATE(C2176,""en"",""pl"")"),"Edmund")</f>
        <v>Edmund</v>
      </c>
    </row>
    <row r="2177">
      <c r="C2177" s="1" t="s">
        <v>2174</v>
      </c>
      <c r="D2177" s="3" t="str">
        <f>IFERROR(__xludf.DUMMYFUNCTION("GOOGLETRANSLATE(C2177,""en"",""pl"")"),"łaska")</f>
        <v>łaska</v>
      </c>
    </row>
    <row r="2178">
      <c r="C2178" s="1" t="s">
        <v>2175</v>
      </c>
      <c r="D2178" s="3" t="str">
        <f>IFERROR(__xludf.DUMMYFUNCTION("GOOGLETRANSLATE(C2178,""en"",""pl"")"),"chroni")</f>
        <v>chroni</v>
      </c>
    </row>
    <row r="2179">
      <c r="C2179" s="1" t="s">
        <v>2176</v>
      </c>
      <c r="D2179" s="3" t="str">
        <f>IFERROR(__xludf.DUMMYFUNCTION("GOOGLETRANSLATE(C2179,""en"",""pl"")"),"brzuszek")</f>
        <v>brzuszek</v>
      </c>
    </row>
    <row r="2180">
      <c r="C2180" s="1" t="s">
        <v>2177</v>
      </c>
      <c r="D2180" s="3" t="str">
        <f>IFERROR(__xludf.DUMMYFUNCTION("GOOGLETRANSLATE(C2180,""en"",""pl"")"),"wieprz")</f>
        <v>wieprz</v>
      </c>
    </row>
    <row r="2181">
      <c r="C2181" s="1" t="s">
        <v>2178</v>
      </c>
      <c r="D2181" s="3" t="str">
        <f>IFERROR(__xludf.DUMMYFUNCTION("GOOGLETRANSLATE(C2181,""en"",""pl"")"),"yakuza")</f>
        <v>yakuza</v>
      </c>
    </row>
    <row r="2182">
      <c r="C2182" s="1" t="s">
        <v>2179</v>
      </c>
      <c r="D2182" s="3" t="str">
        <f>IFERROR(__xludf.DUMMYFUNCTION("GOOGLETRANSLATE(C2182,""en"",""pl"")"),"płacz")</f>
        <v>płacz</v>
      </c>
    </row>
    <row r="2183">
      <c r="C2183" s="1" t="s">
        <v>2180</v>
      </c>
      <c r="D2183" s="3" t="str">
        <f>IFERROR(__xludf.DUMMYFUNCTION("GOOGLETRANSLATE(C2183,""en"",""pl"")"),"paprochy")</f>
        <v>paprochy</v>
      </c>
    </row>
    <row r="2184">
      <c r="C2184" s="1" t="s">
        <v>2181</v>
      </c>
      <c r="D2184" s="3" t="str">
        <f>IFERROR(__xludf.DUMMYFUNCTION("GOOGLETRANSLATE(C2184,""en"",""pl"")"),"katastrofa")</f>
        <v>katastrofa</v>
      </c>
    </row>
    <row r="2185">
      <c r="C2185" s="1" t="s">
        <v>2182</v>
      </c>
      <c r="D2185" s="3" t="str">
        <f>IFERROR(__xludf.DUMMYFUNCTION("GOOGLETRANSLATE(C2185,""en"",""pl"")"),"bp")</f>
        <v>bp</v>
      </c>
    </row>
    <row r="2186">
      <c r="C2186" s="1" t="s">
        <v>2183</v>
      </c>
      <c r="D2186" s="3" t="str">
        <f>IFERROR(__xludf.DUMMYFUNCTION("GOOGLETRANSLATE(C2186,""en"",""pl"")"),"kościoły")</f>
        <v>kościoły</v>
      </c>
    </row>
    <row r="2187">
      <c r="C2187" s="1" t="s">
        <v>2184</v>
      </c>
      <c r="D2187" s="3" t="str">
        <f>IFERROR(__xludf.DUMMYFUNCTION("GOOGLETRANSLATE(C2187,""en"",""pl"")"),"szpilki")</f>
        <v>szpilki</v>
      </c>
    </row>
    <row r="2188">
      <c r="C2188" s="1" t="s">
        <v>2185</v>
      </c>
      <c r="D2188" s="3" t="str">
        <f>IFERROR(__xludf.DUMMYFUNCTION("GOOGLETRANSLATE(C2188,""en"",""pl"")"),"golenie")</f>
        <v>golenie</v>
      </c>
    </row>
    <row r="2189">
      <c r="C2189" s="1" t="s">
        <v>2186</v>
      </c>
      <c r="D2189" s="3" t="str">
        <f>IFERROR(__xludf.DUMMYFUNCTION("GOOGLETRANSLATE(C2189,""en"",""pl"")"),"nie-")</f>
        <v>nie-</v>
      </c>
    </row>
    <row r="2190">
      <c r="C2190" s="1" t="s">
        <v>2187</v>
      </c>
      <c r="D2190" s="3" t="str">
        <f>IFERROR(__xludf.DUMMYFUNCTION("GOOGLETRANSLATE(C2190,""en"",""pl"")"),"legalny")</f>
        <v>legalny</v>
      </c>
    </row>
    <row r="2191">
      <c r="C2191" s="1" t="s">
        <v>2188</v>
      </c>
      <c r="D2191" s="3" t="str">
        <f>IFERROR(__xludf.DUMMYFUNCTION("GOOGLETRANSLATE(C2191,""en"",""pl"")"),"yoo")</f>
        <v>yoo</v>
      </c>
    </row>
    <row r="2192">
      <c r="C2192" s="1" t="s">
        <v>2189</v>
      </c>
      <c r="D2192" s="3" t="str">
        <f>IFERROR(__xludf.DUMMYFUNCTION("GOOGLETRANSLATE(C2192,""en"",""pl"")"),"ukierunkowany")</f>
        <v>ukierunkowany</v>
      </c>
    </row>
    <row r="2193">
      <c r="C2193" s="1" t="s">
        <v>2190</v>
      </c>
      <c r="D2193" s="3" t="str">
        <f>IFERROR(__xludf.DUMMYFUNCTION("GOOGLETRANSLATE(C2193,""en"",""pl"")"),"prostszy")</f>
        <v>prostszy</v>
      </c>
    </row>
    <row r="2194">
      <c r="C2194" s="1" t="s">
        <v>2191</v>
      </c>
      <c r="D2194" s="3" t="str">
        <f>IFERROR(__xludf.DUMMYFUNCTION("GOOGLETRANSLATE(C2194,""en"",""pl"")"),"zauważając")</f>
        <v>zauważając</v>
      </c>
    </row>
    <row r="2195">
      <c r="C2195" s="1" t="s">
        <v>2192</v>
      </c>
      <c r="D2195" s="3" t="str">
        <f>IFERROR(__xludf.DUMMYFUNCTION("GOOGLETRANSLATE(C2195,""en"",""pl"")"),"wędrowiec")</f>
        <v>wędrowiec</v>
      </c>
    </row>
    <row r="2196">
      <c r="C2196" s="1" t="s">
        <v>2193</v>
      </c>
      <c r="D2196" s="3" t="str">
        <f>IFERROR(__xludf.DUMMYFUNCTION("GOOGLETRANSLATE(C2196,""en"",""pl"")"),"Lars")</f>
        <v>Lars</v>
      </c>
    </row>
    <row r="2197">
      <c r="C2197" s="1" t="s">
        <v>2194</v>
      </c>
      <c r="D2197" s="3" t="str">
        <f>IFERROR(__xludf.DUMMYFUNCTION("GOOGLETRANSLATE(C2197,""en"",""pl"")"),"ponadto")</f>
        <v>ponadto</v>
      </c>
    </row>
    <row r="2198">
      <c r="C2198" s="1" t="s">
        <v>2195</v>
      </c>
      <c r="D2198" s="3" t="str">
        <f>IFERROR(__xludf.DUMMYFUNCTION("GOOGLETRANSLATE(C2198,""en"",""pl"")"),"zwalnianie")</f>
        <v>zwalnianie</v>
      </c>
    </row>
    <row r="2199">
      <c r="C2199" s="1" t="s">
        <v>2196</v>
      </c>
      <c r="D2199" s="3" t="str">
        <f>IFERROR(__xludf.DUMMYFUNCTION("GOOGLETRANSLATE(C2199,""en"",""pl"")"),"faszystowski")</f>
        <v>faszystowski</v>
      </c>
    </row>
    <row r="2200">
      <c r="C2200" s="1" t="s">
        <v>2197</v>
      </c>
      <c r="D2200" s="3" t="str">
        <f>IFERROR(__xludf.DUMMYFUNCTION("GOOGLETRANSLATE(C2200,""en"",""pl"")"),"Greta")</f>
        <v>Greta</v>
      </c>
    </row>
    <row r="2201">
      <c r="C2201" s="1" t="s">
        <v>2198</v>
      </c>
      <c r="D2201" s="3" t="str">
        <f>IFERROR(__xludf.DUMMYFUNCTION("GOOGLETRANSLATE(C2201,""en"",""pl"")"),"plucie")</f>
        <v>plucie</v>
      </c>
    </row>
    <row r="2202">
      <c r="C2202" s="1" t="s">
        <v>2199</v>
      </c>
      <c r="D2202" s="3" t="str">
        <f>IFERROR(__xludf.DUMMYFUNCTION("GOOGLETRANSLATE(C2202,""en"",""pl"")"),"źrebię")</f>
        <v>źrebię</v>
      </c>
    </row>
    <row r="2203">
      <c r="C2203" s="1" t="s">
        <v>2200</v>
      </c>
      <c r="D2203" s="3" t="str">
        <f>IFERROR(__xludf.DUMMYFUNCTION("GOOGLETRANSLATE(C2203,""en"",""pl"")"),"Tristan")</f>
        <v>Tristan</v>
      </c>
    </row>
    <row r="2204">
      <c r="C2204" s="1" t="s">
        <v>2201</v>
      </c>
      <c r="D2204" s="3" t="str">
        <f>IFERROR(__xludf.DUMMYFUNCTION("GOOGLETRANSLATE(C2204,""en"",""pl"")"),"wytrzymały")</f>
        <v>wytrzymały</v>
      </c>
    </row>
    <row r="2205">
      <c r="C2205" s="1" t="s">
        <v>2202</v>
      </c>
      <c r="D2205" s="3" t="str">
        <f>IFERROR(__xludf.DUMMYFUNCTION("GOOGLETRANSLATE(C2205,""en"",""pl"")"),"rozejm")</f>
        <v>rozejm</v>
      </c>
    </row>
    <row r="2206">
      <c r="C2206" s="1" t="s">
        <v>2203</v>
      </c>
      <c r="D2206" s="3" t="str">
        <f>IFERROR(__xludf.DUMMYFUNCTION("GOOGLETRANSLATE(C2206,""en"",""pl"")"),"plac")</f>
        <v>plac</v>
      </c>
    </row>
    <row r="2207">
      <c r="C2207" s="1" t="s">
        <v>2204</v>
      </c>
      <c r="D2207" s="3" t="str">
        <f>IFERROR(__xludf.DUMMYFUNCTION("GOOGLETRANSLATE(C2207,""en"",""pl"")"),"brązowy")</f>
        <v>brązowy</v>
      </c>
    </row>
    <row r="2208">
      <c r="C2208" s="1" t="s">
        <v>2205</v>
      </c>
      <c r="D2208" s="3" t="str">
        <f>IFERROR(__xludf.DUMMYFUNCTION("GOOGLETRANSLATE(C2208,""en"",""pl"")"),"ostrożny")</f>
        <v>ostrożny</v>
      </c>
    </row>
    <row r="2209">
      <c r="C2209" s="1" t="s">
        <v>2206</v>
      </c>
      <c r="D2209" s="3" t="str">
        <f>IFERROR(__xludf.DUMMYFUNCTION("GOOGLETRANSLATE(C2209,""en"",""pl"")"),"linia lotnicza")</f>
        <v>linia lotnicza</v>
      </c>
    </row>
    <row r="2210">
      <c r="C2210" s="1" t="s">
        <v>2207</v>
      </c>
      <c r="D2210" s="3" t="str">
        <f>IFERROR(__xludf.DUMMYFUNCTION("GOOGLETRANSLATE(C2210,""en"",""pl"")"),"Ramón")</f>
        <v>Ramón</v>
      </c>
    </row>
    <row r="2211">
      <c r="C2211" s="1" t="s">
        <v>2208</v>
      </c>
      <c r="D2211" s="3" t="str">
        <f>IFERROR(__xludf.DUMMYFUNCTION("GOOGLETRANSLATE(C2211,""en"",""pl"")"),"niezdolny")</f>
        <v>niezdolny</v>
      </c>
    </row>
    <row r="2212">
      <c r="C2212" s="1" t="s">
        <v>2209</v>
      </c>
      <c r="D2212" s="3" t="str">
        <f>IFERROR(__xludf.DUMMYFUNCTION("GOOGLETRANSLATE(C2212,""en"",""pl"")"),"ciosy")</f>
        <v>ciosy</v>
      </c>
    </row>
    <row r="2213">
      <c r="C2213" s="1" t="s">
        <v>2210</v>
      </c>
      <c r="D2213" s="3" t="str">
        <f>IFERROR(__xludf.DUMMYFUNCTION("GOOGLETRANSLATE(C2213,""en"",""pl"")"),"sanchez")</f>
        <v>sanchez</v>
      </c>
    </row>
    <row r="2214">
      <c r="C2214" s="1" t="s">
        <v>2211</v>
      </c>
      <c r="D2214" s="3" t="str">
        <f>IFERROR(__xludf.DUMMYFUNCTION("GOOGLETRANSLATE(C2214,""en"",""pl"")"),"siedziba główna")</f>
        <v>siedziba główna</v>
      </c>
    </row>
    <row r="2215">
      <c r="C2215" s="1" t="s">
        <v>2212</v>
      </c>
      <c r="D2215" s="3" t="str">
        <f>IFERROR(__xludf.DUMMYFUNCTION("GOOGLETRANSLATE(C2215,""en"",""pl"")"),"prywatnie")</f>
        <v>prywatnie</v>
      </c>
    </row>
    <row r="2216">
      <c r="C2216" s="1" t="s">
        <v>2213</v>
      </c>
      <c r="D2216" s="3" t="str">
        <f>IFERROR(__xludf.DUMMYFUNCTION("GOOGLETRANSLATE(C2216,""en"",""pl"")"),"Watykan")</f>
        <v>Watykan</v>
      </c>
    </row>
    <row r="2217">
      <c r="C2217" s="1" t="s">
        <v>2214</v>
      </c>
      <c r="D2217" s="3" t="str">
        <f>IFERROR(__xludf.DUMMYFUNCTION("GOOGLETRANSLATE(C2217,""en"",""pl"")"),"otaczać")</f>
        <v>otaczać</v>
      </c>
    </row>
    <row r="2218">
      <c r="C2218" s="1" t="s">
        <v>2215</v>
      </c>
      <c r="D2218" s="3" t="str">
        <f>IFERROR(__xludf.DUMMYFUNCTION("GOOGLETRANSLATE(C2218,""en"",""pl"")"),"Barrett")</f>
        <v>Barrett</v>
      </c>
    </row>
    <row r="2219">
      <c r="C2219" s="1" t="s">
        <v>2216</v>
      </c>
      <c r="D2219" s="3" t="str">
        <f>IFERROR(__xludf.DUMMYFUNCTION("GOOGLETRANSLATE(C2219,""en"",""pl"")"),"edna")</f>
        <v>edna</v>
      </c>
    </row>
    <row r="2220">
      <c r="C2220" s="1" t="s">
        <v>2217</v>
      </c>
      <c r="D2220" s="3" t="str">
        <f>IFERROR(__xludf.DUMMYFUNCTION("GOOGLETRANSLATE(C2220,""en"",""pl"")"),"Alwin")</f>
        <v>Alwin</v>
      </c>
    </row>
    <row r="2221">
      <c r="C2221" s="1" t="s">
        <v>2218</v>
      </c>
      <c r="D2221" s="3" t="str">
        <f>IFERROR(__xludf.DUMMYFUNCTION("GOOGLETRANSLATE(C2221,""en"",""pl"")"),"pocieszenie")</f>
        <v>pocieszenie</v>
      </c>
    </row>
    <row r="2222">
      <c r="C2222" s="1" t="s">
        <v>2219</v>
      </c>
      <c r="D2222" s="3" t="str">
        <f>IFERROR(__xludf.DUMMYFUNCTION("GOOGLETRANSLATE(C2222,""en"",""pl"")"),"rynna")</f>
        <v>rynna</v>
      </c>
    </row>
    <row r="2223">
      <c r="C2223" s="1" t="s">
        <v>2220</v>
      </c>
      <c r="D2223" s="3" t="str">
        <f>IFERROR(__xludf.DUMMYFUNCTION("GOOGLETRANSLATE(C2223,""en"",""pl"")"),"łan")</f>
        <v>łan</v>
      </c>
    </row>
    <row r="2224">
      <c r="C2224" s="1" t="s">
        <v>2221</v>
      </c>
      <c r="D2224" s="3" t="str">
        <f>IFERROR(__xludf.DUMMYFUNCTION("GOOGLETRANSLATE(C2224,""en"",""pl"")"),"zadziwiający")</f>
        <v>zadziwiający</v>
      </c>
    </row>
    <row r="2225">
      <c r="C2225" s="1" t="s">
        <v>2222</v>
      </c>
      <c r="D2225" s="3" t="str">
        <f>IFERROR(__xludf.DUMMYFUNCTION("GOOGLETRANSLATE(C2225,""en"",""pl"")"),"pośrednik")</f>
        <v>pośrednik</v>
      </c>
    </row>
    <row r="2226">
      <c r="C2226" s="1" t="s">
        <v>2223</v>
      </c>
      <c r="D2226" s="3" t="str">
        <f>IFERROR(__xludf.DUMMYFUNCTION("GOOGLETRANSLATE(C2226,""en"",""pl"")"),"napad")</f>
        <v>napad</v>
      </c>
    </row>
    <row r="2227">
      <c r="C2227" s="1" t="s">
        <v>2224</v>
      </c>
      <c r="D2227" s="3" t="str">
        <f>IFERROR(__xludf.DUMMYFUNCTION("GOOGLETRANSLATE(C2227,""en"",""pl"")"),"strach")</f>
        <v>strach</v>
      </c>
    </row>
    <row r="2228">
      <c r="C2228" s="1" t="s">
        <v>2225</v>
      </c>
      <c r="D2228" s="3" t="str">
        <f>IFERROR(__xludf.DUMMYFUNCTION("GOOGLETRANSLATE(C2228,""en"",""pl"")"),"biegać")</f>
        <v>biegać</v>
      </c>
    </row>
    <row r="2229">
      <c r="C2229" s="1" t="s">
        <v>2226</v>
      </c>
      <c r="D2229" s="3" t="str">
        <f>IFERROR(__xludf.DUMMYFUNCTION("GOOGLETRANSLATE(C2229,""en"",""pl"")"),"oparty")</f>
        <v>oparty</v>
      </c>
    </row>
    <row r="2230">
      <c r="C2230" s="1" t="s">
        <v>2227</v>
      </c>
      <c r="D2230" s="3" t="str">
        <f>IFERROR(__xludf.DUMMYFUNCTION("GOOGLETRANSLATE(C2230,""en"",""pl"")"),"mikrofon")</f>
        <v>mikrofon</v>
      </c>
    </row>
    <row r="2231">
      <c r="C2231" s="1" t="s">
        <v>2228</v>
      </c>
      <c r="D2231" s="3" t="str">
        <f>IFERROR(__xludf.DUMMYFUNCTION("GOOGLETRANSLATE(C2231,""en"",""pl"")"),"szkarłatna")</f>
        <v>szkarłatna</v>
      </c>
    </row>
    <row r="2232">
      <c r="C2232" s="1" t="s">
        <v>2229</v>
      </c>
      <c r="D2232" s="3" t="str">
        <f>IFERROR(__xludf.DUMMYFUNCTION("GOOGLETRANSLATE(C2232,""en"",""pl"")"),"jagoda")</f>
        <v>jagoda</v>
      </c>
    </row>
    <row r="2233">
      <c r="C2233" s="1" t="s">
        <v>2230</v>
      </c>
      <c r="D2233" s="3" t="str">
        <f>IFERROR(__xludf.DUMMYFUNCTION("GOOGLETRANSLATE(C2233,""en"",""pl"")"),"paulie")</f>
        <v>paulie</v>
      </c>
    </row>
    <row r="2234">
      <c r="C2234" s="1" t="s">
        <v>2231</v>
      </c>
      <c r="D2234" s="3" t="str">
        <f>IFERROR(__xludf.DUMMYFUNCTION("GOOGLETRANSLATE(C2234,""en"",""pl"")"),"brakujący")</f>
        <v>brakujący</v>
      </c>
    </row>
    <row r="2235">
      <c r="C2235" s="1" t="s">
        <v>2232</v>
      </c>
      <c r="D2235" s="3" t="str">
        <f>IFERROR(__xludf.DUMMYFUNCTION("GOOGLETRANSLATE(C2235,""en"",""pl"")"),"skraj")</f>
        <v>skraj</v>
      </c>
    </row>
    <row r="2236">
      <c r="C2236" s="1" t="s">
        <v>2233</v>
      </c>
      <c r="D2236" s="3" t="str">
        <f>IFERROR(__xludf.DUMMYFUNCTION("GOOGLETRANSLATE(C2236,""en"",""pl"")"),"Lucyfer")</f>
        <v>Lucyfer</v>
      </c>
    </row>
    <row r="2237">
      <c r="C2237" s="1" t="s">
        <v>2234</v>
      </c>
      <c r="D2237" s="3" t="str">
        <f>IFERROR(__xludf.DUMMYFUNCTION("GOOGLETRANSLATE(C2237,""en"",""pl"")"),"brać w czymś udział")</f>
        <v>brać w czymś udział</v>
      </c>
    </row>
    <row r="2238">
      <c r="C2238" s="1" t="s">
        <v>2235</v>
      </c>
      <c r="D2238" s="3" t="str">
        <f>IFERROR(__xludf.DUMMYFUNCTION("GOOGLETRANSLATE(C2238,""en"",""pl"")"),"biżuteria")</f>
        <v>biżuteria</v>
      </c>
    </row>
    <row r="2239">
      <c r="C2239" s="1" t="s">
        <v>2236</v>
      </c>
      <c r="D2239" s="3" t="str">
        <f>IFERROR(__xludf.DUMMYFUNCTION("GOOGLETRANSLATE(C2239,""en"",""pl"")"),"Ryszard")</f>
        <v>Ryszard</v>
      </c>
    </row>
    <row r="2240">
      <c r="C2240" s="1" t="s">
        <v>2237</v>
      </c>
      <c r="D2240" s="3" t="str">
        <f>IFERROR(__xludf.DUMMYFUNCTION("GOOGLETRANSLATE(C2240,""en"",""pl"")"),"erotyczny")</f>
        <v>erotyczny</v>
      </c>
    </row>
    <row r="2241">
      <c r="C2241" s="1" t="s">
        <v>2238</v>
      </c>
      <c r="D2241" s="3" t="str">
        <f>IFERROR(__xludf.DUMMYFUNCTION("GOOGLETRANSLATE(C2241,""en"",""pl"")"),"feng")</f>
        <v>feng</v>
      </c>
    </row>
    <row r="2242">
      <c r="C2242" s="1" t="s">
        <v>2239</v>
      </c>
      <c r="D2242" s="3" t="str">
        <f>IFERROR(__xludf.DUMMYFUNCTION("GOOGLETRANSLATE(C2242,""en"",""pl"")"),"rodzeństwo")</f>
        <v>rodzeństwo</v>
      </c>
    </row>
    <row r="2243">
      <c r="C2243" s="1" t="s">
        <v>2240</v>
      </c>
      <c r="D2243" s="3" t="str">
        <f>IFERROR(__xludf.DUMMYFUNCTION("GOOGLETRANSLATE(C2243,""en"",""pl"")"),"est")</f>
        <v>est</v>
      </c>
    </row>
    <row r="2244">
      <c r="C2244" s="1" t="s">
        <v>2241</v>
      </c>
      <c r="D2244" s="3" t="str">
        <f>IFERROR(__xludf.DUMMYFUNCTION("GOOGLETRANSLATE(C2244,""en"",""pl"")"),"Drewniana")</f>
        <v>Drewniana</v>
      </c>
    </row>
    <row r="2245">
      <c r="C2245" s="1" t="s">
        <v>2242</v>
      </c>
      <c r="D2245" s="3" t="str">
        <f>IFERROR(__xludf.DUMMYFUNCTION("GOOGLETRANSLATE(C2245,""en"",""pl"")"),"kasa")</f>
        <v>kasa</v>
      </c>
    </row>
    <row r="2246">
      <c r="C2246" s="1" t="s">
        <v>2243</v>
      </c>
      <c r="D2246" s="3" t="str">
        <f>IFERROR(__xludf.DUMMYFUNCTION("GOOGLETRANSLATE(C2246,""en"",""pl"")"),"dysk")</f>
        <v>dysk</v>
      </c>
    </row>
    <row r="2247">
      <c r="C2247" s="1" t="s">
        <v>2244</v>
      </c>
      <c r="D2247" s="3" t="str">
        <f>IFERROR(__xludf.DUMMYFUNCTION("GOOGLETRANSLATE(C2247,""en"",""pl"")"),"o")</f>
        <v>o</v>
      </c>
    </row>
    <row r="2248">
      <c r="C2248" s="1" t="s">
        <v>2245</v>
      </c>
      <c r="D2248" s="3" t="str">
        <f>IFERROR(__xludf.DUMMYFUNCTION("GOOGLETRANSLATE(C2248,""en"",""pl"")"),"komiksy")</f>
        <v>komiksy</v>
      </c>
    </row>
    <row r="2249">
      <c r="C2249" s="1" t="s">
        <v>2246</v>
      </c>
      <c r="D2249" s="3" t="str">
        <f>IFERROR(__xludf.DUMMYFUNCTION("GOOGLETRANSLATE(C2249,""en"",""pl"")"),"przeszkoda")</f>
        <v>przeszkoda</v>
      </c>
    </row>
    <row r="2250">
      <c r="C2250" s="1" t="s">
        <v>2247</v>
      </c>
      <c r="D2250" s="3" t="str">
        <f>IFERROR(__xludf.DUMMYFUNCTION("GOOGLETRANSLATE(C2250,""en"",""pl"")"),"ale")</f>
        <v>ale</v>
      </c>
    </row>
    <row r="2251">
      <c r="C2251" s="1" t="s">
        <v>2248</v>
      </c>
      <c r="D2251" s="3" t="str">
        <f>IFERROR(__xludf.DUMMYFUNCTION("GOOGLETRANSLATE(C2251,""en"",""pl"")"),"koral")</f>
        <v>koral</v>
      </c>
    </row>
    <row r="2252">
      <c r="C2252" s="1" t="s">
        <v>2249</v>
      </c>
      <c r="D2252" s="3" t="str">
        <f>IFERROR(__xludf.DUMMYFUNCTION("GOOGLETRANSLATE(C2252,""en"",""pl"")"),"hamburger")</f>
        <v>hamburger</v>
      </c>
    </row>
    <row r="2253">
      <c r="C2253" s="1" t="s">
        <v>2250</v>
      </c>
      <c r="D2253" s="3" t="str">
        <f>IFERROR(__xludf.DUMMYFUNCTION("GOOGLETRANSLATE(C2253,""en"",""pl"")"),"suchar")</f>
        <v>suchar</v>
      </c>
    </row>
    <row r="2254">
      <c r="C2254" s="1" t="s">
        <v>2251</v>
      </c>
      <c r="D2254" s="3" t="str">
        <f>IFERROR(__xludf.DUMMYFUNCTION("GOOGLETRANSLATE(C2254,""en"",""pl"")"),"odkupienie")</f>
        <v>odkupienie</v>
      </c>
    </row>
    <row r="2255">
      <c r="C2255" s="1" t="s">
        <v>2252</v>
      </c>
      <c r="D2255" s="3" t="str">
        <f>IFERROR(__xludf.DUMMYFUNCTION("GOOGLETRANSLATE(C2255,""en"",""pl"")"),"bandyta")</f>
        <v>bandyta</v>
      </c>
    </row>
    <row r="2256">
      <c r="C2256" s="1" t="s">
        <v>2253</v>
      </c>
      <c r="D2256" s="3" t="str">
        <f>IFERROR(__xludf.DUMMYFUNCTION("GOOGLETRANSLATE(C2256,""en"",""pl"")"),"wstrząs mózgu")</f>
        <v>wstrząs mózgu</v>
      </c>
    </row>
    <row r="2257">
      <c r="C2257" s="1" t="s">
        <v>2254</v>
      </c>
      <c r="D2257" s="3" t="str">
        <f>IFERROR(__xludf.DUMMYFUNCTION("GOOGLETRANSLATE(C2257,""en"",""pl"")"),"martinez")</f>
        <v>martinez</v>
      </c>
    </row>
    <row r="2258">
      <c r="C2258" s="1" t="s">
        <v>2255</v>
      </c>
      <c r="D2258" s="3" t="str">
        <f>IFERROR(__xludf.DUMMYFUNCTION("GOOGLETRANSLATE(C2258,""en"",""pl"")"),"niesmak")</f>
        <v>niesmak</v>
      </c>
    </row>
    <row r="2259">
      <c r="C2259" s="1" t="s">
        <v>2256</v>
      </c>
      <c r="D2259" s="3" t="str">
        <f>IFERROR(__xludf.DUMMYFUNCTION("GOOGLETRANSLATE(C2259,""en"",""pl"")"),"Wright-w ...")</f>
        <v>Wright-w ...</v>
      </c>
    </row>
    <row r="2260">
      <c r="C2260" s="1" t="s">
        <v>2257</v>
      </c>
      <c r="D2260" s="3" t="str">
        <f>IFERROR(__xludf.DUMMYFUNCTION("GOOGLETRANSLATE(C2260,""en"",""pl"")"),"niespełniający wymogów")</f>
        <v>niespełniający wymogów</v>
      </c>
    </row>
    <row r="2261">
      <c r="C2261" s="1" t="s">
        <v>2258</v>
      </c>
      <c r="D2261" s="3" t="str">
        <f>IFERROR(__xludf.DUMMYFUNCTION("GOOGLETRANSLATE(C2261,""en"",""pl"")"),"powstać")</f>
        <v>powstać</v>
      </c>
    </row>
    <row r="2262">
      <c r="C2262" s="1" t="s">
        <v>2259</v>
      </c>
      <c r="D2262" s="3" t="str">
        <f>IFERROR(__xludf.DUMMYFUNCTION("GOOGLETRANSLATE(C2262,""en"",""pl"")"),"celebryci")</f>
        <v>celebryci</v>
      </c>
    </row>
    <row r="2263">
      <c r="C2263" s="1" t="s">
        <v>2260</v>
      </c>
      <c r="D2263" s="3" t="str">
        <f>IFERROR(__xludf.DUMMYFUNCTION("GOOGLETRANSLATE(C2263,""en"",""pl"")"),"Kev")</f>
        <v>Kev</v>
      </c>
    </row>
    <row r="2264">
      <c r="C2264" s="1" t="s">
        <v>2261</v>
      </c>
      <c r="D2264" s="3" t="str">
        <f>IFERROR(__xludf.DUMMYFUNCTION("GOOGLETRANSLATE(C2264,""en"",""pl"")"),"delfiny")</f>
        <v>delfiny</v>
      </c>
    </row>
    <row r="2265">
      <c r="C2265" s="1" t="s">
        <v>2262</v>
      </c>
      <c r="D2265" s="3" t="str">
        <f>IFERROR(__xludf.DUMMYFUNCTION("GOOGLETRANSLATE(C2265,""en"",""pl"")"),"nerki")</f>
        <v>nerki</v>
      </c>
    </row>
    <row r="2266">
      <c r="C2266" s="1" t="s">
        <v>2263</v>
      </c>
      <c r="D2266" s="3" t="str">
        <f>IFERROR(__xludf.DUMMYFUNCTION("GOOGLETRANSLATE(C2266,""en"",""pl"")"),"wyciekł")</f>
        <v>wyciekł</v>
      </c>
    </row>
    <row r="2267">
      <c r="C2267" s="1" t="s">
        <v>2264</v>
      </c>
      <c r="D2267" s="3" t="str">
        <f>IFERROR(__xludf.DUMMYFUNCTION("GOOGLETRANSLATE(C2267,""en"",""pl"")"),"rozwiązywanie")</f>
        <v>rozwiązywanie</v>
      </c>
    </row>
    <row r="2268">
      <c r="C2268" s="1" t="s">
        <v>2265</v>
      </c>
      <c r="D2268" s="3" t="str">
        <f>IFERROR(__xludf.DUMMYFUNCTION("GOOGLETRANSLATE(C2268,""en"",""pl"")"),"osocze")</f>
        <v>osocze</v>
      </c>
    </row>
    <row r="2269">
      <c r="C2269" s="1" t="s">
        <v>2266</v>
      </c>
      <c r="D2269" s="3" t="str">
        <f>IFERROR(__xludf.DUMMYFUNCTION("GOOGLETRANSLATE(C2269,""en"",""pl"")"),"Singapur")</f>
        <v>Singapur</v>
      </c>
    </row>
    <row r="2270">
      <c r="C2270" s="1" t="s">
        <v>2267</v>
      </c>
      <c r="D2270" s="3" t="str">
        <f>IFERROR(__xludf.DUMMYFUNCTION("GOOGLETRANSLATE(C2270,""en"",""pl"")"),"odwalić się")</f>
        <v>odwalić się</v>
      </c>
    </row>
    <row r="2271">
      <c r="C2271" s="1" t="s">
        <v>2268</v>
      </c>
      <c r="D2271" s="3" t="str">
        <f>IFERROR(__xludf.DUMMYFUNCTION("GOOGLETRANSLATE(C2271,""en"",""pl"")"),"wracać")</f>
        <v>wracać</v>
      </c>
    </row>
    <row r="2272">
      <c r="C2272" s="1" t="s">
        <v>2269</v>
      </c>
      <c r="D2272" s="3" t="str">
        <f>IFERROR(__xludf.DUMMYFUNCTION("GOOGLETRANSLATE(C2272,""en"",""pl"")"),"dyrygent")</f>
        <v>dyrygent</v>
      </c>
    </row>
    <row r="2273">
      <c r="C2273" s="1" t="s">
        <v>2270</v>
      </c>
      <c r="D2273" s="3" t="str">
        <f>IFERROR(__xludf.DUMMYFUNCTION("GOOGLETRANSLATE(C2273,""en"",""pl"")"),"ministrowie")</f>
        <v>ministrowie</v>
      </c>
    </row>
    <row r="2274">
      <c r="C2274" s="1" t="s">
        <v>2271</v>
      </c>
      <c r="D2274" s="3" t="str">
        <f>IFERROR(__xludf.DUMMYFUNCTION("GOOGLETRANSLATE(C2274,""en"",""pl"")"),"płeć")</f>
        <v>płeć</v>
      </c>
    </row>
    <row r="2275">
      <c r="C2275" s="1" t="s">
        <v>2272</v>
      </c>
      <c r="D2275" s="3" t="str">
        <f>IFERROR(__xludf.DUMMYFUNCTION("GOOGLETRANSLATE(C2275,""en"",""pl"")"),"usuwanie")</f>
        <v>usuwanie</v>
      </c>
    </row>
    <row r="2276">
      <c r="C2276" s="1" t="s">
        <v>2273</v>
      </c>
      <c r="D2276" s="3" t="str">
        <f>IFERROR(__xludf.DUMMYFUNCTION("GOOGLETRANSLATE(C2276,""en"",""pl"")"),"zarozumiały")</f>
        <v>zarozumiały</v>
      </c>
    </row>
    <row r="2277">
      <c r="C2277" s="1" t="s">
        <v>2274</v>
      </c>
      <c r="D2277" s="3" t="str">
        <f>IFERROR(__xludf.DUMMYFUNCTION("GOOGLETRANSLATE(C2277,""en"",""pl"")"),"wiedzieć.")</f>
        <v>wiedzieć.</v>
      </c>
    </row>
    <row r="2278">
      <c r="C2278" s="1" t="s">
        <v>2275</v>
      </c>
      <c r="D2278" s="3" t="str">
        <f>IFERROR(__xludf.DUMMYFUNCTION("GOOGLETRANSLATE(C2278,""en"",""pl"")"),"najbogatszy")</f>
        <v>najbogatszy</v>
      </c>
    </row>
    <row r="2279">
      <c r="C2279" s="1" t="s">
        <v>2276</v>
      </c>
      <c r="D2279" s="3" t="str">
        <f>IFERROR(__xludf.DUMMYFUNCTION("GOOGLETRANSLATE(C2279,""en"",""pl"")"),"decydowanie")</f>
        <v>decydowanie</v>
      </c>
    </row>
    <row r="2280">
      <c r="C2280" s="1" t="s">
        <v>2277</v>
      </c>
      <c r="D2280" s="3" t="str">
        <f>IFERROR(__xludf.DUMMYFUNCTION("GOOGLETRANSLATE(C2280,""en"",""pl"")"),"kupa")</f>
        <v>kupa</v>
      </c>
    </row>
    <row r="2281">
      <c r="C2281" s="1" t="s">
        <v>2278</v>
      </c>
      <c r="D2281" s="3" t="str">
        <f>IFERROR(__xludf.DUMMYFUNCTION("GOOGLETRANSLATE(C2281,""en"",""pl"")"),"spór")</f>
        <v>spór</v>
      </c>
    </row>
    <row r="2282">
      <c r="C2282" s="1" t="s">
        <v>2279</v>
      </c>
      <c r="D2282" s="3" t="str">
        <f>IFERROR(__xludf.DUMMYFUNCTION("GOOGLETRANSLATE(C2282,""en"",""pl"")"),"bydlę")</f>
        <v>bydlę</v>
      </c>
    </row>
    <row r="2283">
      <c r="C2283" s="1" t="s">
        <v>2280</v>
      </c>
      <c r="D2283" s="3" t="str">
        <f>IFERROR(__xludf.DUMMYFUNCTION("GOOGLETRANSLATE(C2283,""en"",""pl"")"),"incydenty")</f>
        <v>incydenty</v>
      </c>
    </row>
    <row r="2284">
      <c r="C2284" s="1" t="s">
        <v>2281</v>
      </c>
      <c r="D2284" s="3" t="str">
        <f>IFERROR(__xludf.DUMMYFUNCTION("GOOGLETRANSLATE(C2284,""en"",""pl"")"),"telewizja")</f>
        <v>telewizja</v>
      </c>
    </row>
    <row r="2285">
      <c r="C2285" s="1" t="s">
        <v>2282</v>
      </c>
      <c r="D2285" s="3" t="str">
        <f>IFERROR(__xludf.DUMMYFUNCTION("GOOGLETRANSLATE(C2285,""en"",""pl"")"),"kapsułka")</f>
        <v>kapsułka</v>
      </c>
    </row>
    <row r="2286">
      <c r="C2286" s="1" t="s">
        <v>2283</v>
      </c>
      <c r="D2286" s="3" t="str">
        <f>IFERROR(__xludf.DUMMYFUNCTION("GOOGLETRANSLATE(C2286,""en"",""pl"")"),"kucharze")</f>
        <v>kucharze</v>
      </c>
    </row>
    <row r="2287">
      <c r="C2287" s="1" t="s">
        <v>2284</v>
      </c>
      <c r="D2287" s="3" t="str">
        <f>IFERROR(__xludf.DUMMYFUNCTION("GOOGLETRANSLATE(C2287,""en"",""pl"")"),"psychopata")</f>
        <v>psychopata</v>
      </c>
    </row>
    <row r="2288">
      <c r="C2288" s="1" t="s">
        <v>2285</v>
      </c>
      <c r="D2288" s="3" t="str">
        <f>IFERROR(__xludf.DUMMYFUNCTION("GOOGLETRANSLATE(C2288,""en"",""pl"")"),"śmietnik")</f>
        <v>śmietnik</v>
      </c>
    </row>
    <row r="2289">
      <c r="C2289" s="1" t="s">
        <v>2286</v>
      </c>
      <c r="D2289" s="3" t="str">
        <f>IFERROR(__xludf.DUMMYFUNCTION("GOOGLETRANSLATE(C2289,""en"",""pl"")"),"lira")</f>
        <v>lira</v>
      </c>
    </row>
    <row r="2290">
      <c r="C2290" s="1" t="s">
        <v>2287</v>
      </c>
      <c r="D2290" s="3" t="str">
        <f>IFERROR(__xludf.DUMMYFUNCTION("GOOGLETRANSLATE(C2290,""en"",""pl"")"),"Jarod")</f>
        <v>Jarod</v>
      </c>
    </row>
    <row r="2291">
      <c r="C2291" s="1" t="s">
        <v>2288</v>
      </c>
      <c r="D2291" s="3" t="str">
        <f>IFERROR(__xludf.DUMMYFUNCTION("GOOGLETRANSLATE(C2291,""en"",""pl"")"),"wiązać")</f>
        <v>wiązać</v>
      </c>
    </row>
    <row r="2292">
      <c r="C2292" s="1" t="s">
        <v>2289</v>
      </c>
      <c r="D2292" s="3" t="str">
        <f>IFERROR(__xludf.DUMMYFUNCTION("GOOGLETRANSLATE(C2292,""en"",""pl"")"),"kotlety")</f>
        <v>kotlety</v>
      </c>
    </row>
    <row r="2293">
      <c r="C2293" s="1" t="s">
        <v>2290</v>
      </c>
      <c r="D2293" s="3" t="str">
        <f>IFERROR(__xludf.DUMMYFUNCTION("GOOGLETRANSLATE(C2293,""en"",""pl"")"),"skorupa")</f>
        <v>skorupa</v>
      </c>
    </row>
    <row r="2294">
      <c r="C2294" s="1" t="s">
        <v>2291</v>
      </c>
      <c r="D2294" s="3" t="str">
        <f>IFERROR(__xludf.DUMMYFUNCTION("GOOGLETRANSLATE(C2294,""en"",""pl"")"),"słabo")</f>
        <v>słabo</v>
      </c>
    </row>
    <row r="2295">
      <c r="C2295" s="1" t="s">
        <v>2292</v>
      </c>
      <c r="D2295" s="3" t="str">
        <f>IFERROR(__xludf.DUMMYFUNCTION("GOOGLETRANSLATE(C2295,""en"",""pl"")"),"waży")</f>
        <v>waży</v>
      </c>
    </row>
    <row r="2296">
      <c r="C2296" s="1" t="s">
        <v>2293</v>
      </c>
      <c r="D2296" s="3" t="str">
        <f>IFERROR(__xludf.DUMMYFUNCTION("GOOGLETRANSLATE(C2296,""en"",""pl"")"),"pakiet")</f>
        <v>pakiet</v>
      </c>
    </row>
    <row r="2297">
      <c r="C2297" s="1" t="s">
        <v>2294</v>
      </c>
      <c r="D2297" s="3" t="str">
        <f>IFERROR(__xludf.DUMMYFUNCTION("GOOGLETRANSLATE(C2297,""en"",""pl"")"),"wibrujący")</f>
        <v>wibrujący</v>
      </c>
    </row>
    <row r="2298">
      <c r="C2298" s="1" t="s">
        <v>2295</v>
      </c>
      <c r="D2298" s="3" t="str">
        <f>IFERROR(__xludf.DUMMYFUNCTION("GOOGLETRANSLATE(C2298,""en"",""pl"")"),"Ryszard")</f>
        <v>Ryszard</v>
      </c>
    </row>
    <row r="2299">
      <c r="C2299" s="1" t="s">
        <v>2296</v>
      </c>
      <c r="D2299" s="3" t="str">
        <f>IFERROR(__xludf.DUMMYFUNCTION("GOOGLETRANSLATE(C2299,""en"",""pl"")"),"zachęcający")</f>
        <v>zachęcający</v>
      </c>
    </row>
    <row r="2300">
      <c r="C2300" s="1" t="s">
        <v>2297</v>
      </c>
      <c r="D2300" s="3" t="str">
        <f>IFERROR(__xludf.DUMMYFUNCTION("GOOGLETRANSLATE(C2300,""en"",""pl"")"),"dwayne")</f>
        <v>dwayne</v>
      </c>
    </row>
    <row r="2301">
      <c r="C2301" s="1" t="s">
        <v>2298</v>
      </c>
      <c r="D2301" s="3" t="str">
        <f>IFERROR(__xludf.DUMMYFUNCTION("GOOGLETRANSLATE(C2301,""en"",""pl"")"),"gra polo")</f>
        <v>gra polo</v>
      </c>
    </row>
    <row r="2302">
      <c r="C2302" s="1" t="s">
        <v>2299</v>
      </c>
      <c r="D2302" s="3" t="str">
        <f>IFERROR(__xludf.DUMMYFUNCTION("GOOGLETRANSLATE(C2302,""en"",""pl"")"),"śpiewacy")</f>
        <v>śpiewacy</v>
      </c>
    </row>
    <row r="2303">
      <c r="C2303" s="1" t="s">
        <v>2300</v>
      </c>
      <c r="D2303" s="3" t="str">
        <f>IFERROR(__xludf.DUMMYFUNCTION("GOOGLETRANSLATE(C2303,""en"",""pl"")"),"ada")</f>
        <v>ada</v>
      </c>
    </row>
    <row r="2304">
      <c r="C2304" s="1" t="s">
        <v>2301</v>
      </c>
      <c r="D2304" s="3" t="str">
        <f>IFERROR(__xludf.DUMMYFUNCTION("GOOGLETRANSLATE(C2304,""en"",""pl"")"),"meteor")</f>
        <v>meteor</v>
      </c>
    </row>
    <row r="2305">
      <c r="C2305" s="1" t="s">
        <v>2302</v>
      </c>
      <c r="D2305" s="3" t="str">
        <f>IFERROR(__xludf.DUMMYFUNCTION("GOOGLETRANSLATE(C2305,""en"",""pl"")"),"mocno")</f>
        <v>mocno</v>
      </c>
    </row>
    <row r="2306">
      <c r="C2306" s="1" t="s">
        <v>2303</v>
      </c>
      <c r="D2306" s="3" t="str">
        <f>IFERROR(__xludf.DUMMYFUNCTION("GOOGLETRANSLATE(C2306,""en"",""pl"")"),"najładniejszy")</f>
        <v>najładniejszy</v>
      </c>
    </row>
    <row r="2307">
      <c r="C2307" s="1" t="s">
        <v>2304</v>
      </c>
      <c r="D2307" s="3" t="str">
        <f>IFERROR(__xludf.DUMMYFUNCTION("GOOGLETRANSLATE(C2307,""en"",""pl"")"),"hormony")</f>
        <v>hormony</v>
      </c>
    </row>
    <row r="2308">
      <c r="C2308" s="1" t="s">
        <v>2305</v>
      </c>
      <c r="D2308" s="3" t="str">
        <f>IFERROR(__xludf.DUMMYFUNCTION("GOOGLETRANSLATE(C2308,""en"",""pl"")"),"sterburta")</f>
        <v>sterburta</v>
      </c>
    </row>
    <row r="2309">
      <c r="C2309" s="1" t="s">
        <v>2306</v>
      </c>
      <c r="D2309" s="3" t="str">
        <f>IFERROR(__xludf.DUMMYFUNCTION("GOOGLETRANSLATE(C2309,""en"",""pl"")"),"szofer")</f>
        <v>szofer</v>
      </c>
    </row>
    <row r="2310">
      <c r="C2310" s="1" t="s">
        <v>2307</v>
      </c>
      <c r="D2310" s="3" t="str">
        <f>IFERROR(__xludf.DUMMYFUNCTION("GOOGLETRANSLATE(C2310,""en"",""pl"")"),"pobierać")</f>
        <v>pobierać</v>
      </c>
    </row>
    <row r="2311">
      <c r="C2311" s="4" t="s">
        <v>2308</v>
      </c>
      <c r="D2311" s="3" t="str">
        <f>IFERROR(__xludf.DUMMYFUNCTION("GOOGLETRANSLATE(C2311,""en"",""pl"")"),"neill")</f>
        <v>neill</v>
      </c>
    </row>
    <row r="2312">
      <c r="C2312" s="1" t="s">
        <v>2309</v>
      </c>
      <c r="D2312" s="3" t="str">
        <f>IFERROR(__xludf.DUMMYFUNCTION("GOOGLETRANSLATE(C2312,""en"",""pl"")"),"garnizon")</f>
        <v>garnizon</v>
      </c>
    </row>
    <row r="2313">
      <c r="C2313" s="1" t="s">
        <v>2310</v>
      </c>
      <c r="D2313" s="3" t="str">
        <f>IFERROR(__xludf.DUMMYFUNCTION("GOOGLETRANSLATE(C2313,""en"",""pl"")"),"odzyskiwanie")</f>
        <v>odzyskiwanie</v>
      </c>
    </row>
    <row r="2314">
      <c r="C2314" s="1" t="s">
        <v>2311</v>
      </c>
      <c r="D2314" s="3" t="str">
        <f>IFERROR(__xludf.DUMMYFUNCTION("GOOGLETRANSLATE(C2314,""en"",""pl"")"),"ożywiony")</f>
        <v>ożywiony</v>
      </c>
    </row>
    <row r="2315">
      <c r="C2315" s="1" t="s">
        <v>2312</v>
      </c>
      <c r="D2315" s="3" t="str">
        <f>IFERROR(__xludf.DUMMYFUNCTION("GOOGLETRANSLATE(C2315,""en"",""pl"")"),"Hillary")</f>
        <v>Hillary</v>
      </c>
    </row>
    <row r="2316">
      <c r="C2316" s="1" t="s">
        <v>2313</v>
      </c>
      <c r="D2316" s="3" t="str">
        <f>IFERROR(__xludf.DUMMYFUNCTION("GOOGLETRANSLATE(C2316,""en"",""pl"")"),"telewizja przemysłowa")</f>
        <v>telewizja przemysłowa</v>
      </c>
    </row>
    <row r="2317">
      <c r="C2317" s="1" t="s">
        <v>2314</v>
      </c>
      <c r="D2317" s="3" t="str">
        <f>IFERROR(__xludf.DUMMYFUNCTION("GOOGLETRANSLATE(C2317,""en"",""pl"")"),"pocztówka")</f>
        <v>pocztówka</v>
      </c>
    </row>
    <row r="2318">
      <c r="C2318" s="1" t="s">
        <v>2315</v>
      </c>
      <c r="D2318" s="3" t="str">
        <f>IFERROR(__xludf.DUMMYFUNCTION("GOOGLETRANSLATE(C2318,""en"",""pl"")"),"kochanie")</f>
        <v>kochanie</v>
      </c>
    </row>
    <row r="2319">
      <c r="C2319" s="1" t="s">
        <v>2316</v>
      </c>
      <c r="D2319" s="3" t="str">
        <f>IFERROR(__xludf.DUMMYFUNCTION("GOOGLETRANSLATE(C2319,""en"",""pl"")"),"konwertować")</f>
        <v>konwertować</v>
      </c>
    </row>
    <row r="2320">
      <c r="C2320" s="1" t="s">
        <v>2317</v>
      </c>
      <c r="D2320" s="3" t="str">
        <f>IFERROR(__xludf.DUMMYFUNCTION("GOOGLETRANSLATE(C2320,""en"",""pl"")"),"celia")</f>
        <v>celia</v>
      </c>
    </row>
    <row r="2321">
      <c r="C2321" s="1" t="s">
        <v>2318</v>
      </c>
      <c r="D2321" s="3" t="str">
        <f>IFERROR(__xludf.DUMMYFUNCTION("GOOGLETRANSLATE(C2321,""en"",""pl"")"),"abi")</f>
        <v>abi</v>
      </c>
    </row>
    <row r="2322">
      <c r="C2322" s="1" t="s">
        <v>2319</v>
      </c>
      <c r="D2322" s="3" t="str">
        <f>IFERROR(__xludf.DUMMYFUNCTION("GOOGLETRANSLATE(C2322,""en"",""pl"")"),"maminsynek")</f>
        <v>maminsynek</v>
      </c>
    </row>
    <row r="2323">
      <c r="C2323" s="1" t="s">
        <v>2320</v>
      </c>
      <c r="D2323" s="3" t="str">
        <f>IFERROR(__xludf.DUMMYFUNCTION("GOOGLETRANSLATE(C2323,""en"",""pl"")"),"rafa")</f>
        <v>rafa</v>
      </c>
    </row>
    <row r="2324">
      <c r="C2324" s="4" t="s">
        <v>1858</v>
      </c>
      <c r="D2324" s="3" t="str">
        <f>IFERROR(__xludf.DUMMYFUNCTION("GOOGLETRANSLATE(C2324,""en"",""pl"")"),"to jest")</f>
        <v>to jest</v>
      </c>
    </row>
    <row r="2325">
      <c r="C2325" s="1" t="s">
        <v>2321</v>
      </c>
      <c r="D2325" s="3" t="str">
        <f>IFERROR(__xludf.DUMMYFUNCTION("GOOGLETRANSLATE(C2325,""en"",""pl"")"),"skarbiec")</f>
        <v>skarbiec</v>
      </c>
    </row>
    <row r="2326">
      <c r="C2326" s="1" t="s">
        <v>2322</v>
      </c>
      <c r="D2326" s="3" t="str">
        <f>IFERROR(__xludf.DUMMYFUNCTION("GOOGLETRANSLATE(C2326,""en"",""pl"")"),"spokojnie")</f>
        <v>spokojnie</v>
      </c>
    </row>
    <row r="2327">
      <c r="C2327" s="1" t="s">
        <v>2323</v>
      </c>
      <c r="D2327" s="3" t="str">
        <f>IFERROR(__xludf.DUMMYFUNCTION("GOOGLETRANSLATE(C2327,""en"",""pl"")"),"matematyka")</f>
        <v>matematyka</v>
      </c>
    </row>
    <row r="2328">
      <c r="C2328" s="1" t="s">
        <v>2324</v>
      </c>
      <c r="D2328" s="3" t="str">
        <f>IFERROR(__xludf.DUMMYFUNCTION("GOOGLETRANSLATE(C2328,""en"",""pl"")"),"jest")</f>
        <v>jest</v>
      </c>
    </row>
    <row r="2329">
      <c r="C2329" s="1" t="s">
        <v>2325</v>
      </c>
      <c r="D2329" s="3" t="str">
        <f>IFERROR(__xludf.DUMMYFUNCTION("GOOGLETRANSLATE(C2329,""en"",""pl"")"),"wzloty")</f>
        <v>wzloty</v>
      </c>
    </row>
    <row r="2330">
      <c r="C2330" s="1" t="s">
        <v>2326</v>
      </c>
      <c r="D2330" s="3" t="str">
        <f>IFERROR(__xludf.DUMMYFUNCTION("GOOGLETRANSLATE(C2330,""en"",""pl"")"),"haniebny")</f>
        <v>haniebny</v>
      </c>
    </row>
    <row r="2331">
      <c r="C2331" s="1" t="s">
        <v>2327</v>
      </c>
      <c r="D2331" s="3" t="str">
        <f>IFERROR(__xludf.DUMMYFUNCTION("GOOGLETRANSLATE(C2331,""en"",""pl"")"),"opactwo")</f>
        <v>opactwo</v>
      </c>
    </row>
    <row r="2332">
      <c r="C2332" s="1" t="s">
        <v>2328</v>
      </c>
      <c r="D2332" s="3" t="str">
        <f>IFERROR(__xludf.DUMMYFUNCTION("GOOGLETRANSLATE(C2332,""en"",""pl"")"),"strategiczny")</f>
        <v>strategiczny</v>
      </c>
    </row>
    <row r="2333">
      <c r="C2333" s="1" t="s">
        <v>2329</v>
      </c>
      <c r="D2333" s="3" t="str">
        <f>IFERROR(__xludf.DUMMYFUNCTION("GOOGLETRANSLATE(C2333,""en"",""pl"")"),"nadgarstki")</f>
        <v>nadgarstki</v>
      </c>
    </row>
    <row r="2334">
      <c r="C2334" s="1" t="s">
        <v>2330</v>
      </c>
      <c r="D2334" s="3" t="str">
        <f>IFERROR(__xludf.DUMMYFUNCTION("GOOGLETRANSLATE(C2334,""en"",""pl"")"),"lista płac")</f>
        <v>lista płac</v>
      </c>
    </row>
    <row r="2335">
      <c r="C2335" s="1" t="s">
        <v>2331</v>
      </c>
      <c r="D2335" s="3" t="str">
        <f>IFERROR(__xludf.DUMMYFUNCTION("GOOGLETRANSLATE(C2335,""en"",""pl"")"),"beethoven")</f>
        <v>beethoven</v>
      </c>
    </row>
    <row r="2336">
      <c r="C2336" s="1" t="s">
        <v>2332</v>
      </c>
      <c r="D2336" s="3" t="str">
        <f>IFERROR(__xludf.DUMMYFUNCTION("GOOGLETRANSLATE(C2336,""en"",""pl"")"),"ogromny")</f>
        <v>ogromny</v>
      </c>
    </row>
    <row r="2337">
      <c r="C2337" s="1" t="s">
        <v>2333</v>
      </c>
      <c r="D2337" s="3" t="str">
        <f>IFERROR(__xludf.DUMMYFUNCTION("GOOGLETRANSLATE(C2337,""en"",""pl"")"),"bez serca")</f>
        <v>bez serca</v>
      </c>
    </row>
    <row r="2338">
      <c r="C2338" s="1" t="s">
        <v>2334</v>
      </c>
      <c r="D2338" s="3" t="str">
        <f>IFERROR(__xludf.DUMMYFUNCTION("GOOGLETRANSLATE(C2338,""en"",""pl"")"),"magnus")</f>
        <v>magnus</v>
      </c>
    </row>
    <row r="2339">
      <c r="C2339" s="1" t="s">
        <v>2335</v>
      </c>
      <c r="D2339" s="3" t="str">
        <f>IFERROR(__xludf.DUMMYFUNCTION("GOOGLETRANSLATE(C2339,""en"",""pl"")"),"uderzył")</f>
        <v>uderzył</v>
      </c>
    </row>
    <row r="2340">
      <c r="C2340" s="1" t="s">
        <v>2336</v>
      </c>
      <c r="D2340" s="3" t="str">
        <f>IFERROR(__xludf.DUMMYFUNCTION("GOOGLETRANSLATE(C2340,""en"",""pl"")"),"Montgomery")</f>
        <v>Montgomery</v>
      </c>
    </row>
    <row r="2341">
      <c r="C2341" s="1" t="s">
        <v>2337</v>
      </c>
      <c r="D2341" s="3" t="str">
        <f>IFERROR(__xludf.DUMMYFUNCTION("GOOGLETRANSLATE(C2341,""en"",""pl"")"),"ochraniacz")</f>
        <v>ochraniacz</v>
      </c>
    </row>
    <row r="2342">
      <c r="C2342" s="1" t="s">
        <v>2338</v>
      </c>
      <c r="D2342" s="3" t="str">
        <f>IFERROR(__xludf.DUMMYFUNCTION("GOOGLETRANSLATE(C2342,""en"",""pl"")"),"Michał Anioł")</f>
        <v>Michał Anioł</v>
      </c>
    </row>
    <row r="2343">
      <c r="C2343" s="1" t="s">
        <v>2339</v>
      </c>
      <c r="D2343" s="3" t="str">
        <f>IFERROR(__xludf.DUMMYFUNCTION("GOOGLETRANSLATE(C2343,""en"",""pl"")"),"narrator")</f>
        <v>narrator</v>
      </c>
    </row>
    <row r="2344">
      <c r="C2344" s="1" t="s">
        <v>2340</v>
      </c>
      <c r="D2344" s="3" t="str">
        <f>IFERROR(__xludf.DUMMYFUNCTION("GOOGLETRANSLATE(C2344,""en"",""pl"")"),"wściekły")</f>
        <v>wściekły</v>
      </c>
    </row>
    <row r="2345">
      <c r="C2345" s="1" t="s">
        <v>2341</v>
      </c>
      <c r="D2345" s="3" t="str">
        <f>IFERROR(__xludf.DUMMYFUNCTION("GOOGLETRANSLATE(C2345,""en"",""pl"")"),"stosowanie")</f>
        <v>stosowanie</v>
      </c>
    </row>
    <row r="2346">
      <c r="C2346" s="1" t="s">
        <v>2342</v>
      </c>
      <c r="D2346" s="3" t="str">
        <f>IFERROR(__xludf.DUMMYFUNCTION("GOOGLETRANSLATE(C2346,""en"",""pl"")"),"wycierać")</f>
        <v>wycierać</v>
      </c>
    </row>
    <row r="2347">
      <c r="C2347" s="1" t="s">
        <v>2343</v>
      </c>
      <c r="D2347" s="3" t="str">
        <f>IFERROR(__xludf.DUMMYFUNCTION("GOOGLETRANSLATE(C2347,""en"",""pl"")"),"sol")</f>
        <v>sol</v>
      </c>
    </row>
    <row r="2348">
      <c r="C2348" s="1" t="s">
        <v>2344</v>
      </c>
      <c r="D2348" s="3" t="str">
        <f>IFERROR(__xludf.DUMMYFUNCTION("GOOGLETRANSLATE(C2348,""en"",""pl"")"),"atom")</f>
        <v>atom</v>
      </c>
    </row>
    <row r="2349">
      <c r="C2349" s="1" t="s">
        <v>2345</v>
      </c>
      <c r="D2349" s="3" t="str">
        <f>IFERROR(__xludf.DUMMYFUNCTION("GOOGLETRANSLATE(C2349,""en"",""pl"")"),"Paweł")</f>
        <v>Paweł</v>
      </c>
    </row>
    <row r="2350">
      <c r="C2350" s="4" t="s">
        <v>2346</v>
      </c>
      <c r="D2350" s="3" t="str">
        <f>IFERROR(__xludf.DUMMYFUNCTION("GOOGLETRANSLATE(C2350,""en"",""pl"")"),"Ten")</f>
        <v>Ten</v>
      </c>
    </row>
    <row r="2351">
      <c r="C2351" s="1" t="s">
        <v>2347</v>
      </c>
      <c r="D2351" s="3" t="str">
        <f>IFERROR(__xludf.DUMMYFUNCTION("GOOGLETRANSLATE(C2351,""en"",""pl"")"),"rozładować")</f>
        <v>rozładować</v>
      </c>
    </row>
    <row r="2352">
      <c r="C2352" s="1" t="s">
        <v>2348</v>
      </c>
      <c r="D2352" s="3" t="str">
        <f>IFERROR(__xludf.DUMMYFUNCTION("GOOGLETRANSLATE(C2352,""en"",""pl"")"),"detektor")</f>
        <v>detektor</v>
      </c>
    </row>
    <row r="2353">
      <c r="C2353" s="1" t="s">
        <v>2349</v>
      </c>
      <c r="D2353" s="3" t="str">
        <f>IFERROR(__xludf.DUMMYFUNCTION("GOOGLETRANSLATE(C2353,""en"",""pl"")"),"przełączanie")</f>
        <v>przełączanie</v>
      </c>
    </row>
    <row r="2354">
      <c r="C2354" s="1" t="s">
        <v>2350</v>
      </c>
      <c r="D2354" s="3" t="str">
        <f>IFERROR(__xludf.DUMMYFUNCTION("GOOGLETRANSLATE(C2354,""en"",""pl"")"),"uchwyty")</f>
        <v>uchwyty</v>
      </c>
    </row>
    <row r="2355">
      <c r="C2355" s="1" t="s">
        <v>2351</v>
      </c>
      <c r="D2355" s="3" t="str">
        <f>IFERROR(__xludf.DUMMYFUNCTION("GOOGLETRANSLATE(C2355,""en"",""pl"")"),"Ulubione")</f>
        <v>Ulubione</v>
      </c>
    </row>
    <row r="2356">
      <c r="C2356" s="1" t="s">
        <v>2352</v>
      </c>
      <c r="D2356" s="3" t="str">
        <f>IFERROR(__xludf.DUMMYFUNCTION("GOOGLETRANSLATE(C2356,""en"",""pl"")"),"śmierdzący")</f>
        <v>śmierdzący</v>
      </c>
    </row>
    <row r="2357">
      <c r="C2357" s="1" t="s">
        <v>2353</v>
      </c>
      <c r="D2357" s="3" t="str">
        <f>IFERROR(__xludf.DUMMYFUNCTION("GOOGLETRANSLATE(C2357,""en"",""pl"")"),"linia")</f>
        <v>linia</v>
      </c>
    </row>
    <row r="2358">
      <c r="C2358" s="1" t="s">
        <v>2354</v>
      </c>
      <c r="D2358" s="3" t="str">
        <f>IFERROR(__xludf.DUMMYFUNCTION("GOOGLETRANSLATE(C2358,""en"",""pl"")"),"Norton")</f>
        <v>Norton</v>
      </c>
    </row>
    <row r="2359">
      <c r="C2359" s="1" t="s">
        <v>2355</v>
      </c>
      <c r="D2359" s="3" t="str">
        <f>IFERROR(__xludf.DUMMYFUNCTION("GOOGLETRANSLATE(C2359,""en"",""pl"")"),"regionalny")</f>
        <v>regionalny</v>
      </c>
    </row>
    <row r="2360">
      <c r="C2360" s="1" t="s">
        <v>2356</v>
      </c>
      <c r="D2360" s="3" t="str">
        <f>IFERROR(__xludf.DUMMYFUNCTION("GOOGLETRANSLATE(C2360,""en"",""pl"")"),"cześć")</f>
        <v>cześć</v>
      </c>
    </row>
    <row r="2361">
      <c r="C2361" s="1" t="s">
        <v>2357</v>
      </c>
      <c r="D2361" s="3" t="str">
        <f>IFERROR(__xludf.DUMMYFUNCTION("GOOGLETRANSLATE(C2361,""en"",""pl"")"),"bogatszy")</f>
        <v>bogatszy</v>
      </c>
    </row>
    <row r="2362">
      <c r="C2362" s="1" t="s">
        <v>2358</v>
      </c>
      <c r="D2362" s="3" t="str">
        <f>IFERROR(__xludf.DUMMYFUNCTION("GOOGLETRANSLATE(C2362,""en"",""pl"")"),"tajność")</f>
        <v>tajność</v>
      </c>
    </row>
    <row r="2363">
      <c r="C2363" s="1" t="s">
        <v>2359</v>
      </c>
      <c r="D2363" s="3" t="str">
        <f>IFERROR(__xludf.DUMMYFUNCTION("GOOGLETRANSLATE(C2363,""en"",""pl"")"),"uda")</f>
        <v>uda</v>
      </c>
    </row>
    <row r="2364">
      <c r="C2364" s="1" t="s">
        <v>2360</v>
      </c>
      <c r="D2364" s="3" t="str">
        <f>IFERROR(__xludf.DUMMYFUNCTION("GOOGLETRANSLATE(C2364,""en"",""pl"")"),"sfałszowany")</f>
        <v>sfałszowany</v>
      </c>
    </row>
    <row r="2365">
      <c r="C2365" s="1" t="s">
        <v>2361</v>
      </c>
      <c r="D2365" s="3" t="str">
        <f>IFERROR(__xludf.DUMMYFUNCTION("GOOGLETRANSLATE(C2365,""en"",""pl"")"),"praca")</f>
        <v>praca</v>
      </c>
    </row>
    <row r="2366">
      <c r="C2366" s="1" t="s">
        <v>2362</v>
      </c>
      <c r="D2366" s="3" t="str">
        <f>IFERROR(__xludf.DUMMYFUNCTION("GOOGLETRANSLATE(C2366,""en"",""pl"")"),"zeke")</f>
        <v>zeke</v>
      </c>
    </row>
    <row r="2367">
      <c r="C2367" s="1" t="s">
        <v>2363</v>
      </c>
      <c r="D2367" s="3" t="str">
        <f>IFERROR(__xludf.DUMMYFUNCTION("GOOGLETRANSLATE(C2367,""en"",""pl"")"),"strawiony")</f>
        <v>strawiony</v>
      </c>
    </row>
    <row r="2368">
      <c r="C2368" s="1" t="s">
        <v>2364</v>
      </c>
      <c r="D2368" s="3" t="str">
        <f>IFERROR(__xludf.DUMMYFUNCTION("GOOGLETRANSLATE(C2368,""en"",""pl"")"),"trzymać")</f>
        <v>trzymać</v>
      </c>
    </row>
    <row r="2369">
      <c r="C2369" s="1" t="s">
        <v>2365</v>
      </c>
      <c r="D2369" s="3" t="str">
        <f>IFERROR(__xludf.DUMMYFUNCTION("GOOGLETRANSLATE(C2369,""en"",""pl"")"),"dostrojony")</f>
        <v>dostrojony</v>
      </c>
    </row>
    <row r="2370">
      <c r="C2370" s="1" t="s">
        <v>2366</v>
      </c>
      <c r="D2370" s="3" t="str">
        <f>IFERROR(__xludf.DUMMYFUNCTION("GOOGLETRANSLATE(C2370,""en"",""pl"")"),"Atlantyda")</f>
        <v>Atlantyda</v>
      </c>
    </row>
    <row r="2371">
      <c r="C2371" s="1" t="s">
        <v>2367</v>
      </c>
      <c r="D2371" s="3" t="str">
        <f>IFERROR(__xludf.DUMMYFUNCTION("GOOGLETRANSLATE(C2371,""en"",""pl"")"),"naprawiony")</f>
        <v>naprawiony</v>
      </c>
    </row>
    <row r="2372">
      <c r="C2372" s="1" t="s">
        <v>2368</v>
      </c>
      <c r="D2372" s="3" t="str">
        <f>IFERROR(__xludf.DUMMYFUNCTION("GOOGLETRANSLATE(C2372,""en"",""pl"")"),"wpływ")</f>
        <v>wpływ</v>
      </c>
    </row>
    <row r="2373">
      <c r="C2373" s="1" t="s">
        <v>2369</v>
      </c>
      <c r="D2373" s="3" t="str">
        <f>IFERROR(__xludf.DUMMYFUNCTION("GOOGLETRANSLATE(C2373,""en"",""pl"")"),"Kubuś")</f>
        <v>Kubuś</v>
      </c>
    </row>
    <row r="2374">
      <c r="C2374" s="1" t="s">
        <v>2370</v>
      </c>
      <c r="D2374" s="3" t="str">
        <f>IFERROR(__xludf.DUMMYFUNCTION("GOOGLETRANSLATE(C2374,""en"",""pl"")"),"zmęczony")</f>
        <v>zmęczony</v>
      </c>
    </row>
    <row r="2375">
      <c r="C2375" s="1" t="s">
        <v>2371</v>
      </c>
      <c r="D2375" s="3" t="str">
        <f>IFERROR(__xludf.DUMMYFUNCTION("GOOGLETRANSLATE(C2375,""en"",""pl"")"),"Kostaryka")</f>
        <v>Kostaryka</v>
      </c>
    </row>
    <row r="2376">
      <c r="C2376" s="1" t="s">
        <v>2372</v>
      </c>
      <c r="D2376" s="3" t="str">
        <f>IFERROR(__xludf.DUMMYFUNCTION("GOOGLETRANSLATE(C2376,""en"",""pl"")"),"żałować")</f>
        <v>żałować</v>
      </c>
    </row>
    <row r="2377">
      <c r="C2377" s="1" t="s">
        <v>2373</v>
      </c>
      <c r="D2377" s="3" t="str">
        <f>IFERROR(__xludf.DUMMYFUNCTION("GOOGLETRANSLATE(C2377,""en"",""pl"")"),"kowboje")</f>
        <v>kowboje</v>
      </c>
    </row>
    <row r="2378">
      <c r="C2378" s="1" t="s">
        <v>2374</v>
      </c>
      <c r="D2378" s="3" t="str">
        <f>IFERROR(__xludf.DUMMYFUNCTION("GOOGLETRANSLATE(C2378,""en"",""pl"")"),"zatrudniać")</f>
        <v>zatrudniać</v>
      </c>
    </row>
    <row r="2379">
      <c r="C2379" s="1" t="s">
        <v>2375</v>
      </c>
      <c r="D2379" s="3" t="str">
        <f>IFERROR(__xludf.DUMMYFUNCTION("GOOGLETRANSLATE(C2379,""en"",""pl"")"),"sprowokować")</f>
        <v>sprowokować</v>
      </c>
    </row>
    <row r="2380">
      <c r="C2380" s="1" t="s">
        <v>2376</v>
      </c>
      <c r="D2380" s="3" t="str">
        <f>IFERROR(__xludf.DUMMYFUNCTION("GOOGLETRANSLATE(C2380,""en"",""pl"")"),"stołek")</f>
        <v>stołek</v>
      </c>
    </row>
    <row r="2381">
      <c r="C2381" s="1" t="s">
        <v>2377</v>
      </c>
      <c r="D2381" s="3" t="str">
        <f>IFERROR(__xludf.DUMMYFUNCTION("GOOGLETRANSLATE(C2381,""en"",""pl"")"),"odłożyć")</f>
        <v>odłożyć</v>
      </c>
    </row>
    <row r="2382">
      <c r="C2382" s="1" t="s">
        <v>2378</v>
      </c>
      <c r="D2382" s="3" t="str">
        <f>IFERROR(__xludf.DUMMYFUNCTION("GOOGLETRANSLATE(C2382,""en"",""pl"")"),"rozległy")</f>
        <v>rozległy</v>
      </c>
    </row>
    <row r="2383">
      <c r="C2383" s="1" t="s">
        <v>2379</v>
      </c>
      <c r="D2383" s="3" t="str">
        <f>IFERROR(__xludf.DUMMYFUNCTION("GOOGLETRANSLATE(C2383,""en"",""pl"")"),"amant")</f>
        <v>amant</v>
      </c>
    </row>
    <row r="2384">
      <c r="C2384" s="1" t="s">
        <v>2380</v>
      </c>
      <c r="D2384" s="3" t="str">
        <f>IFERROR(__xludf.DUMMYFUNCTION("GOOGLETRANSLATE(C2384,""en"",""pl"")"),"pilnie")</f>
        <v>pilnie</v>
      </c>
    </row>
    <row r="2385">
      <c r="C2385" s="1" t="s">
        <v>2381</v>
      </c>
      <c r="D2385" s="3" t="str">
        <f>IFERROR(__xludf.DUMMYFUNCTION("GOOGLETRANSLATE(C2385,""en"",""pl"")"),"optymistyczny")</f>
        <v>optymistyczny</v>
      </c>
    </row>
    <row r="2386">
      <c r="C2386" s="1" t="s">
        <v>2382</v>
      </c>
      <c r="D2386" s="3" t="str">
        <f>IFERROR(__xludf.DUMMYFUNCTION("GOOGLETRANSLATE(C2386,""en"",""pl"")"),"lotos")</f>
        <v>lotos</v>
      </c>
    </row>
    <row r="2387">
      <c r="C2387" s="1" t="s">
        <v>2383</v>
      </c>
      <c r="D2387" s="3" t="str">
        <f>IFERROR(__xludf.DUMMYFUNCTION("GOOGLETRANSLATE(C2387,""en"",""pl"")"),"przepraszanie")</f>
        <v>przepraszanie</v>
      </c>
    </row>
    <row r="2388">
      <c r="C2388" s="1" t="s">
        <v>2384</v>
      </c>
      <c r="D2388" s="3" t="str">
        <f>IFERROR(__xludf.DUMMYFUNCTION("GOOGLETRANSLATE(C2388,""en"",""pl"")"),"upiorny")</f>
        <v>upiorny</v>
      </c>
    </row>
    <row r="2389">
      <c r="C2389" s="1" t="s">
        <v>2385</v>
      </c>
      <c r="D2389" s="3" t="str">
        <f>IFERROR(__xludf.DUMMYFUNCTION("GOOGLETRANSLATE(C2389,""en"",""pl"")"),"łyżwa")</f>
        <v>łyżwa</v>
      </c>
    </row>
    <row r="2390">
      <c r="C2390" s="1" t="s">
        <v>2386</v>
      </c>
      <c r="D2390" s="3" t="str">
        <f>IFERROR(__xludf.DUMMYFUNCTION("GOOGLETRANSLATE(C2390,""en"",""pl"")"),"labirynt")</f>
        <v>labirynt</v>
      </c>
    </row>
    <row r="2391">
      <c r="C2391" s="1" t="s">
        <v>2387</v>
      </c>
      <c r="D2391" s="3" t="str">
        <f>IFERROR(__xludf.DUMMYFUNCTION("GOOGLETRANSLATE(C2391,""en"",""pl"")"),"aresztowania")</f>
        <v>aresztowania</v>
      </c>
    </row>
    <row r="2392">
      <c r="C2392" s="1" t="s">
        <v>2388</v>
      </c>
      <c r="D2392" s="3" t="str">
        <f>IFERROR(__xludf.DUMMYFUNCTION("GOOGLETRANSLATE(C2392,""en"",""pl"")"),"wybieranie numeru")</f>
        <v>wybieranie numeru</v>
      </c>
    </row>
    <row r="2393">
      <c r="C2393" s="1" t="s">
        <v>2389</v>
      </c>
      <c r="D2393" s="3" t="str">
        <f>IFERROR(__xludf.DUMMYFUNCTION("GOOGLETRANSLATE(C2393,""en"",""pl"")"),"kominek")</f>
        <v>kominek</v>
      </c>
    </row>
    <row r="2394">
      <c r="C2394" s="1" t="s">
        <v>2390</v>
      </c>
      <c r="D2394" s="3" t="str">
        <f>IFERROR(__xludf.DUMMYFUNCTION("GOOGLETRANSLATE(C2394,""en"",""pl"")"),"gt")</f>
        <v>gt</v>
      </c>
    </row>
    <row r="2395">
      <c r="C2395" s="1" t="s">
        <v>2391</v>
      </c>
      <c r="D2395" s="3" t="str">
        <f>IFERROR(__xludf.DUMMYFUNCTION("GOOGLETRANSLATE(C2395,""en"",""pl"")"),"wikariusz")</f>
        <v>wikariusz</v>
      </c>
    </row>
    <row r="2396">
      <c r="C2396" s="1" t="s">
        <v>2392</v>
      </c>
      <c r="D2396" s="3" t="str">
        <f>IFERROR(__xludf.DUMMYFUNCTION("GOOGLETRANSLATE(C2396,""en"",""pl"")"),"chrząszcz")</f>
        <v>chrząszcz</v>
      </c>
    </row>
    <row r="2397">
      <c r="C2397" s="1" t="s">
        <v>2393</v>
      </c>
      <c r="D2397" s="3" t="str">
        <f>IFERROR(__xludf.DUMMYFUNCTION("GOOGLETRANSLATE(C2397,""en"",""pl"")"),"Horacy")</f>
        <v>Horacy</v>
      </c>
    </row>
    <row r="2398">
      <c r="C2398" s="1" t="s">
        <v>2394</v>
      </c>
      <c r="D2398" s="3" t="str">
        <f>IFERROR(__xludf.DUMMYFUNCTION("GOOGLETRANSLATE(C2398,""en"",""pl"")"),"podejrzenia")</f>
        <v>podejrzenia</v>
      </c>
    </row>
    <row r="2399">
      <c r="C2399" s="1" t="s">
        <v>2395</v>
      </c>
      <c r="D2399" s="3" t="str">
        <f>IFERROR(__xludf.DUMMYFUNCTION("GOOGLETRANSLATE(C2399,""en"",""pl"")"),"głupota")</f>
        <v>głupota</v>
      </c>
    </row>
    <row r="2400">
      <c r="C2400" s="1" t="s">
        <v>2396</v>
      </c>
      <c r="D2400" s="3" t="str">
        <f>IFERROR(__xludf.DUMMYFUNCTION("GOOGLETRANSLATE(C2400,""en"",""pl"")"),"ograniczony")</f>
        <v>ograniczony</v>
      </c>
    </row>
    <row r="2401">
      <c r="C2401" s="1" t="s">
        <v>2397</v>
      </c>
      <c r="D2401" s="3" t="str">
        <f>IFERROR(__xludf.DUMMYFUNCTION("GOOGLETRANSLATE(C2401,""en"",""pl"")"),"łyżwiarstwo")</f>
        <v>łyżwiarstwo</v>
      </c>
    </row>
    <row r="2402">
      <c r="C2402" s="1" t="s">
        <v>2398</v>
      </c>
      <c r="D2402" s="3" t="str">
        <f>IFERROR(__xludf.DUMMYFUNCTION("GOOGLETRANSLATE(C2402,""en"",""pl"")"),"źrenica")</f>
        <v>źrenica</v>
      </c>
    </row>
    <row r="2403">
      <c r="C2403" s="1" t="s">
        <v>2399</v>
      </c>
      <c r="D2403" s="3" t="str">
        <f>IFERROR(__xludf.DUMMYFUNCTION("GOOGLETRANSLATE(C2403,""en"",""pl"")"),"homo")</f>
        <v>homo</v>
      </c>
    </row>
    <row r="2404">
      <c r="C2404" s="1" t="s">
        <v>2400</v>
      </c>
      <c r="D2404" s="3" t="str">
        <f>IFERROR(__xludf.DUMMYFUNCTION("GOOGLETRANSLATE(C2404,""en"",""pl"")"),"kciuki")</f>
        <v>kciuki</v>
      </c>
    </row>
    <row r="2405">
      <c r="C2405" s="1" t="s">
        <v>2401</v>
      </c>
      <c r="D2405" s="3" t="str">
        <f>IFERROR(__xludf.DUMMYFUNCTION("GOOGLETRANSLATE(C2405,""en"",""pl"")"),"gospodyni")</f>
        <v>gospodyni</v>
      </c>
    </row>
    <row r="2406">
      <c r="C2406" s="1" t="s">
        <v>2402</v>
      </c>
      <c r="D2406" s="3" t="str">
        <f>IFERROR(__xludf.DUMMYFUNCTION("GOOGLETRANSLATE(C2406,""en"",""pl"")"),"cheng")</f>
        <v>cheng</v>
      </c>
    </row>
    <row r="2407">
      <c r="C2407" s="1" t="s">
        <v>2403</v>
      </c>
      <c r="D2407" s="3" t="str">
        <f>IFERROR(__xludf.DUMMYFUNCTION("GOOGLETRANSLATE(C2407,""en"",""pl"")"),"podstępny")</f>
        <v>podstępny</v>
      </c>
    </row>
    <row r="2408">
      <c r="C2408" s="1" t="s">
        <v>2404</v>
      </c>
      <c r="D2408" s="3" t="str">
        <f>IFERROR(__xludf.DUMMYFUNCTION("GOOGLETRANSLATE(C2408,""en"",""pl"")"),"spuchnięty")</f>
        <v>spuchnięty</v>
      </c>
    </row>
    <row r="2409">
      <c r="C2409" s="1" t="s">
        <v>2405</v>
      </c>
      <c r="D2409" s="3" t="str">
        <f>IFERROR(__xludf.DUMMYFUNCTION("GOOGLETRANSLATE(C2409,""en"",""pl"")"),"przez")</f>
        <v>przez</v>
      </c>
    </row>
    <row r="2410">
      <c r="C2410" s="1" t="s">
        <v>2406</v>
      </c>
      <c r="D2410" s="3" t="str">
        <f>IFERROR(__xludf.DUMMYFUNCTION("GOOGLETRANSLATE(C2410,""en"",""pl"")"),"odblokowany")</f>
        <v>odblokowany</v>
      </c>
    </row>
    <row r="2411">
      <c r="C2411" s="1" t="s">
        <v>2407</v>
      </c>
      <c r="D2411" s="3" t="str">
        <f>IFERROR(__xludf.DUMMYFUNCTION("GOOGLETRANSLATE(C2411,""en"",""pl"")"),"Eliza")</f>
        <v>Eliza</v>
      </c>
    </row>
    <row r="2412">
      <c r="C2412" s="1" t="s">
        <v>2408</v>
      </c>
      <c r="D2412" s="3" t="str">
        <f>IFERROR(__xludf.DUMMYFUNCTION("GOOGLETRANSLATE(C2412,""en"",""pl"")"),"gladys")</f>
        <v>gladys</v>
      </c>
    </row>
    <row r="2413">
      <c r="C2413" s="1" t="s">
        <v>2409</v>
      </c>
      <c r="D2413" s="3" t="str">
        <f>IFERROR(__xludf.DUMMYFUNCTION("GOOGLETRANSLATE(C2413,""en"",""pl"")"),"mieszanina")</f>
        <v>mieszanina</v>
      </c>
    </row>
    <row r="2414">
      <c r="C2414" s="1" t="s">
        <v>2410</v>
      </c>
      <c r="D2414" s="3" t="str">
        <f>IFERROR(__xludf.DUMMYFUNCTION("GOOGLETRANSLATE(C2414,""en"",""pl"")"),"porsche")</f>
        <v>porsche</v>
      </c>
    </row>
    <row r="2415">
      <c r="C2415" s="1" t="s">
        <v>2411</v>
      </c>
      <c r="D2415" s="3" t="str">
        <f>IFERROR(__xludf.DUMMYFUNCTION("GOOGLETRANSLATE(C2415,""en"",""pl"")"),"zdiagnozowano")</f>
        <v>zdiagnozowano</v>
      </c>
    </row>
    <row r="2416">
      <c r="C2416" s="1" t="s">
        <v>2412</v>
      </c>
      <c r="D2416" s="3" t="str">
        <f>IFERROR(__xludf.DUMMYFUNCTION("GOOGLETRANSLATE(C2416,""en"",""pl"")"),"Waughn")</f>
        <v>Waughn</v>
      </c>
    </row>
    <row r="2417">
      <c r="C2417" s="1" t="s">
        <v>2413</v>
      </c>
      <c r="D2417" s="3" t="str">
        <f>IFERROR(__xludf.DUMMYFUNCTION("GOOGLETRANSLATE(C2417,""en"",""pl"")"),"ri")</f>
        <v>ri</v>
      </c>
    </row>
    <row r="2418">
      <c r="C2418" s="1" t="s">
        <v>2414</v>
      </c>
      <c r="D2418" s="3" t="str">
        <f>IFERROR(__xludf.DUMMYFUNCTION("GOOGLETRANSLATE(C2418,""en"",""pl"")"),"oswobodzenie")</f>
        <v>oswobodzenie</v>
      </c>
    </row>
    <row r="2419">
      <c r="C2419" s="1" t="s">
        <v>2415</v>
      </c>
      <c r="D2419" s="3" t="str">
        <f>IFERROR(__xludf.DUMMYFUNCTION("GOOGLETRANSLATE(C2419,""en"",""pl"")"),"nie")</f>
        <v>nie</v>
      </c>
    </row>
    <row r="2420">
      <c r="C2420" s="1" t="s">
        <v>2416</v>
      </c>
      <c r="D2420" s="3" t="str">
        <f>IFERROR(__xludf.DUMMYFUNCTION("GOOGLETRANSLATE(C2420,""en"",""pl"")"),"wrony")</f>
        <v>wrony</v>
      </c>
    </row>
    <row r="2421">
      <c r="C2421" s="1" t="s">
        <v>2417</v>
      </c>
      <c r="D2421" s="3" t="str">
        <f>IFERROR(__xludf.DUMMYFUNCTION("GOOGLETRANSLATE(C2421,""en"",""pl"")"),"rakiety")</f>
        <v>rakiety</v>
      </c>
    </row>
    <row r="2422">
      <c r="C2422" s="1" t="s">
        <v>2418</v>
      </c>
      <c r="D2422" s="3" t="str">
        <f>IFERROR(__xludf.DUMMYFUNCTION("GOOGLETRANSLATE(C2422,""en"",""pl"")"),"Flota Gwiezdna")</f>
        <v>Flota Gwiezdna</v>
      </c>
    </row>
    <row r="2423">
      <c r="C2423" s="1" t="s">
        <v>2419</v>
      </c>
      <c r="D2423" s="3" t="str">
        <f>IFERROR(__xludf.DUMMYFUNCTION("GOOGLETRANSLATE(C2423,""en"",""pl"")"),"renifer")</f>
        <v>renifer</v>
      </c>
    </row>
    <row r="2424">
      <c r="C2424" s="4" t="s">
        <v>2420</v>
      </c>
      <c r="D2424" s="3" t="str">
        <f>IFERROR(__xludf.DUMMYFUNCTION("GOOGLETRANSLATE(C2424,""en"",""pl"")"),"To")</f>
        <v>To</v>
      </c>
    </row>
    <row r="2425">
      <c r="C2425" s="1" t="s">
        <v>2421</v>
      </c>
      <c r="D2425" s="3" t="str">
        <f>IFERROR(__xludf.DUMMYFUNCTION("GOOGLETRANSLATE(C2425,""en"",""pl"")"),"szampon")</f>
        <v>szampon</v>
      </c>
    </row>
    <row r="2426">
      <c r="C2426" s="1" t="s">
        <v>2422</v>
      </c>
      <c r="D2426" s="3" t="str">
        <f>IFERROR(__xludf.DUMMYFUNCTION("GOOGLETRANSLATE(C2426,""en"",""pl"")"),"milton")</f>
        <v>milton</v>
      </c>
    </row>
    <row r="2427">
      <c r="C2427" s="1" t="s">
        <v>2423</v>
      </c>
      <c r="D2427" s="3" t="str">
        <f>IFERROR(__xludf.DUMMYFUNCTION("GOOGLETRANSLATE(C2427,""en"",""pl"")"),"maj")</f>
        <v>maj</v>
      </c>
    </row>
    <row r="2428">
      <c r="C2428" s="1" t="s">
        <v>2424</v>
      </c>
      <c r="D2428" s="3" t="str">
        <f>IFERROR(__xludf.DUMMYFUNCTION("GOOGLETRANSLATE(C2428,""en"",""pl"")"),"narciarstwo")</f>
        <v>narciarstwo</v>
      </c>
    </row>
    <row r="2429">
      <c r="C2429" s="1" t="s">
        <v>2425</v>
      </c>
      <c r="D2429" s="3" t="str">
        <f>IFERROR(__xludf.DUMMYFUNCTION("GOOGLETRANSLATE(C2429,""en"",""pl"")"),"nad głową")</f>
        <v>nad głową</v>
      </c>
    </row>
    <row r="2430">
      <c r="C2430" s="1" t="s">
        <v>2426</v>
      </c>
      <c r="D2430" s="3" t="str">
        <f>IFERROR(__xludf.DUMMYFUNCTION("GOOGLETRANSLATE(C2430,""en"",""pl"")"),"niepokojenie")</f>
        <v>niepokojenie</v>
      </c>
    </row>
    <row r="2431">
      <c r="C2431" s="1" t="s">
        <v>2427</v>
      </c>
      <c r="D2431" s="3" t="str">
        <f>IFERROR(__xludf.DUMMYFUNCTION("GOOGLETRANSLATE(C2431,""en"",""pl"")"),"Kohen")</f>
        <v>Kohen</v>
      </c>
    </row>
    <row r="2432">
      <c r="C2432" s="1" t="s">
        <v>2428</v>
      </c>
      <c r="D2432" s="3" t="str">
        <f>IFERROR(__xludf.DUMMYFUNCTION("GOOGLETRANSLATE(C2432,""en"",""pl"")"),"pluje")</f>
        <v>pluje</v>
      </c>
    </row>
    <row r="2433">
      <c r="C2433" s="1" t="s">
        <v>2429</v>
      </c>
      <c r="D2433" s="3" t="str">
        <f>IFERROR(__xludf.DUMMYFUNCTION("GOOGLETRANSLATE(C2433,""en"",""pl"")"),"korba")</f>
        <v>korba</v>
      </c>
    </row>
    <row r="2434">
      <c r="C2434" s="1" t="s">
        <v>2430</v>
      </c>
      <c r="D2434" s="3" t="str">
        <f>IFERROR(__xludf.DUMMYFUNCTION("GOOGLETRANSLATE(C2434,""en"",""pl"")"),"krokodyl")</f>
        <v>krokodyl</v>
      </c>
    </row>
    <row r="2435">
      <c r="C2435" s="1" t="s">
        <v>2431</v>
      </c>
      <c r="D2435" s="3" t="str">
        <f>IFERROR(__xludf.DUMMYFUNCTION("GOOGLETRANSLATE(C2435,""en"",""pl"")"),"byki")</f>
        <v>byki</v>
      </c>
    </row>
    <row r="2436">
      <c r="C2436" s="1" t="s">
        <v>2432</v>
      </c>
      <c r="D2436" s="3" t="str">
        <f>IFERROR(__xludf.DUMMYFUNCTION("GOOGLETRANSLATE(C2436,""en"",""pl"")"),"medale")</f>
        <v>medale</v>
      </c>
    </row>
    <row r="2437">
      <c r="C2437" s="1" t="s">
        <v>2433</v>
      </c>
      <c r="D2437" s="3" t="str">
        <f>IFERROR(__xludf.DUMMYFUNCTION("GOOGLETRANSLATE(C2437,""en"",""pl"")"),"sierra")</f>
        <v>sierra</v>
      </c>
    </row>
    <row r="2438">
      <c r="C2438" s="1" t="s">
        <v>2434</v>
      </c>
      <c r="D2438" s="3" t="str">
        <f>IFERROR(__xludf.DUMMYFUNCTION("GOOGLETRANSLATE(C2438,""en"",""pl"")"),"motywacja")</f>
        <v>motywacja</v>
      </c>
    </row>
    <row r="2439">
      <c r="C2439" s="1" t="s">
        <v>2435</v>
      </c>
      <c r="D2439" s="3" t="str">
        <f>IFERROR(__xludf.DUMMYFUNCTION("GOOGLETRANSLATE(C2439,""en"",""pl"")"),"niebezpieczeństwa")</f>
        <v>niebezpieczeństwa</v>
      </c>
    </row>
    <row r="2440">
      <c r="C2440" s="1" t="s">
        <v>2436</v>
      </c>
      <c r="D2440" s="3" t="str">
        <f>IFERROR(__xludf.DUMMYFUNCTION("GOOGLETRANSLATE(C2440,""en"",""pl"")"),"eksploracja")</f>
        <v>eksploracja</v>
      </c>
    </row>
    <row r="2441">
      <c r="C2441" s="1" t="s">
        <v>2437</v>
      </c>
      <c r="D2441" s="3" t="str">
        <f>IFERROR(__xludf.DUMMYFUNCTION("GOOGLETRANSLATE(C2441,""en"",""pl"")"),"mgła")</f>
        <v>mgła</v>
      </c>
    </row>
    <row r="2442">
      <c r="C2442" s="1" t="s">
        <v>2438</v>
      </c>
      <c r="D2442" s="3" t="str">
        <f>IFERROR(__xludf.DUMMYFUNCTION("GOOGLETRANSLATE(C2442,""en"",""pl"")"),"galaktyki")</f>
        <v>galaktyki</v>
      </c>
    </row>
    <row r="2443">
      <c r="C2443" s="1" t="s">
        <v>2439</v>
      </c>
      <c r="D2443" s="3" t="str">
        <f>IFERROR(__xludf.DUMMYFUNCTION("GOOGLETRANSLATE(C2443,""en"",""pl"")"),"ju")</f>
        <v>ju</v>
      </c>
    </row>
    <row r="2444">
      <c r="C2444" s="1" t="s">
        <v>2440</v>
      </c>
      <c r="D2444" s="3" t="str">
        <f>IFERROR(__xludf.DUMMYFUNCTION("GOOGLETRANSLATE(C2444,""en"",""pl"")"),"rzeźba")</f>
        <v>rzeźba</v>
      </c>
    </row>
    <row r="2445">
      <c r="C2445" s="1" t="s">
        <v>2441</v>
      </c>
      <c r="D2445" s="3" t="str">
        <f>IFERROR(__xludf.DUMMYFUNCTION("GOOGLETRANSLATE(C2445,""en"",""pl"")"),"marysia")</f>
        <v>marysia</v>
      </c>
    </row>
    <row r="2446">
      <c r="C2446" s="1" t="s">
        <v>2442</v>
      </c>
      <c r="D2446" s="3" t="str">
        <f>IFERROR(__xludf.DUMMYFUNCTION("GOOGLETRANSLATE(C2446,""en"",""pl"")"),"adrenalina")</f>
        <v>adrenalina</v>
      </c>
    </row>
    <row r="2447">
      <c r="C2447" s="1" t="s">
        <v>2443</v>
      </c>
      <c r="D2447" s="3" t="str">
        <f>IFERROR(__xludf.DUMMYFUNCTION("GOOGLETRANSLATE(C2447,""en"",""pl"")"),"Malika")</f>
        <v>Malika</v>
      </c>
    </row>
    <row r="2448">
      <c r="C2448" s="1" t="s">
        <v>2444</v>
      </c>
      <c r="D2448" s="3" t="str">
        <f>IFERROR(__xludf.DUMMYFUNCTION("GOOGLETRANSLATE(C2448,""en"",""pl"")"),"Poz.")</f>
        <v>Poz.</v>
      </c>
    </row>
    <row r="2449">
      <c r="C2449" s="1" t="s">
        <v>2445</v>
      </c>
      <c r="D2449" s="3" t="str">
        <f>IFERROR(__xludf.DUMMYFUNCTION("GOOGLETRANSLATE(C2449,""en"",""pl"")"),"sprzymierzony")</f>
        <v>sprzymierzony</v>
      </c>
    </row>
    <row r="2450">
      <c r="C2450" s="1" t="s">
        <v>2446</v>
      </c>
      <c r="D2450" s="3" t="str">
        <f>IFERROR(__xludf.DUMMYFUNCTION("GOOGLETRANSLATE(C2450,""en"",""pl"")"),"dwór")</f>
        <v>dwór</v>
      </c>
    </row>
    <row r="2451">
      <c r="C2451" s="1" t="s">
        <v>2447</v>
      </c>
      <c r="D2451" s="3" t="str">
        <f>IFERROR(__xludf.DUMMYFUNCTION("GOOGLETRANSLATE(C2451,""en"",""pl"")"),"konwój")</f>
        <v>konwój</v>
      </c>
    </row>
    <row r="2452">
      <c r="C2452" s="1" t="s">
        <v>2448</v>
      </c>
      <c r="D2452" s="3" t="str">
        <f>IFERROR(__xludf.DUMMYFUNCTION("GOOGLETRANSLATE(C2452,""en"",""pl"")"),"Carly")</f>
        <v>Carly</v>
      </c>
    </row>
    <row r="2453">
      <c r="C2453" s="1" t="s">
        <v>2449</v>
      </c>
      <c r="D2453" s="3" t="str">
        <f>IFERROR(__xludf.DUMMYFUNCTION("GOOGLETRANSLATE(C2453,""en"",""pl"")"),"Elliott")</f>
        <v>Elliott</v>
      </c>
    </row>
    <row r="2454">
      <c r="C2454" s="1" t="s">
        <v>2450</v>
      </c>
      <c r="D2454" s="3" t="str">
        <f>IFERROR(__xludf.DUMMYFUNCTION("GOOGLETRANSLATE(C2454,""en"",""pl"")"),"zasługa")</f>
        <v>zasługa</v>
      </c>
    </row>
    <row r="2455">
      <c r="C2455" s="1" t="s">
        <v>2451</v>
      </c>
      <c r="D2455" s="3" t="str">
        <f>IFERROR(__xludf.DUMMYFUNCTION("GOOGLETRANSLATE(C2455,""en"",""pl"")"),"nóż")</f>
        <v>nóż</v>
      </c>
    </row>
    <row r="2456">
      <c r="C2456" s="1" t="s">
        <v>2452</v>
      </c>
      <c r="D2456" s="3" t="str">
        <f>IFERROR(__xludf.DUMMYFUNCTION("GOOGLETRANSLATE(C2456,""en"",""pl"")"),"stresujący")</f>
        <v>stresujący</v>
      </c>
    </row>
    <row r="2457">
      <c r="C2457" s="1" t="s">
        <v>2453</v>
      </c>
      <c r="D2457" s="3" t="str">
        <f>IFERROR(__xludf.DUMMYFUNCTION("GOOGLETRANSLATE(C2457,""en"",""pl"")"),"tworzenie się")</f>
        <v>tworzenie się</v>
      </c>
    </row>
    <row r="2458">
      <c r="C2458" s="1" t="s">
        <v>2454</v>
      </c>
      <c r="D2458" s="3" t="str">
        <f>IFERROR(__xludf.DUMMYFUNCTION("GOOGLETRANSLATE(C2458,""en"",""pl"")"),"bikini")</f>
        <v>bikini</v>
      </c>
    </row>
    <row r="2459">
      <c r="C2459" s="1" t="s">
        <v>2455</v>
      </c>
      <c r="D2459" s="3" t="str">
        <f>IFERROR(__xludf.DUMMYFUNCTION("GOOGLETRANSLATE(C2459,""en"",""pl"")"),"kołysać")</f>
        <v>kołysać</v>
      </c>
    </row>
    <row r="2460">
      <c r="C2460" s="1" t="s">
        <v>2456</v>
      </c>
      <c r="D2460" s="3" t="str">
        <f>IFERROR(__xludf.DUMMYFUNCTION("GOOGLETRANSLATE(C2460,""en"",""pl"")"),"wergil")</f>
        <v>wergil</v>
      </c>
    </row>
    <row r="2461">
      <c r="C2461" s="1" t="s">
        <v>2457</v>
      </c>
      <c r="D2461" s="3" t="str">
        <f>IFERROR(__xludf.DUMMYFUNCTION("GOOGLETRANSLATE(C2461,""en"",""pl"")"),"soja")</f>
        <v>soja</v>
      </c>
    </row>
    <row r="2462">
      <c r="C2462" s="1" t="s">
        <v>2458</v>
      </c>
      <c r="D2462" s="3" t="str">
        <f>IFERROR(__xludf.DUMMYFUNCTION("GOOGLETRANSLATE(C2462,""en"",""pl"")"),"Nel")</f>
        <v>Nel</v>
      </c>
    </row>
    <row r="2463">
      <c r="C2463" s="1" t="s">
        <v>2459</v>
      </c>
      <c r="D2463" s="3" t="str">
        <f>IFERROR(__xludf.DUMMYFUNCTION("GOOGLETRANSLATE(C2463,""en"",""pl"")"),"słony")</f>
        <v>słony</v>
      </c>
    </row>
    <row r="2464">
      <c r="C2464" s="1" t="s">
        <v>2460</v>
      </c>
      <c r="D2464" s="3" t="str">
        <f>IFERROR(__xludf.DUMMYFUNCTION("GOOGLETRANSLATE(C2464,""en"",""pl"")"),"elf")</f>
        <v>elf</v>
      </c>
    </row>
    <row r="2465">
      <c r="C2465" s="1" t="s">
        <v>2461</v>
      </c>
      <c r="D2465" s="3" t="str">
        <f>IFERROR(__xludf.DUMMYFUNCTION("GOOGLETRANSLATE(C2465,""en"",""pl"")"),"paski")</f>
        <v>paski</v>
      </c>
    </row>
    <row r="2466">
      <c r="C2466" s="1" t="s">
        <v>2462</v>
      </c>
      <c r="D2466" s="3" t="str">
        <f>IFERROR(__xludf.DUMMYFUNCTION("GOOGLETRANSLATE(C2466,""en"",""pl"")"),"Iwona")</f>
        <v>Iwona</v>
      </c>
    </row>
    <row r="2467">
      <c r="C2467" s="1" t="s">
        <v>2463</v>
      </c>
      <c r="D2467" s="3" t="str">
        <f>IFERROR(__xludf.DUMMYFUNCTION("GOOGLETRANSLATE(C2467,""en"",""pl"")"),"Disney'a")</f>
        <v>Disney'a</v>
      </c>
    </row>
    <row r="2468">
      <c r="C2468" s="1" t="s">
        <v>2464</v>
      </c>
      <c r="D2468" s="3" t="str">
        <f>IFERROR(__xludf.DUMMYFUNCTION("GOOGLETRANSLATE(C2468,""en"",""pl"")"),"wykonawca")</f>
        <v>wykonawca</v>
      </c>
    </row>
    <row r="2469">
      <c r="C2469" s="1" t="s">
        <v>2465</v>
      </c>
      <c r="D2469" s="3" t="str">
        <f>IFERROR(__xludf.DUMMYFUNCTION("GOOGLETRANSLATE(C2469,""en"",""pl"")"),"rodeo")</f>
        <v>rodeo</v>
      </c>
    </row>
    <row r="2470">
      <c r="C2470" s="1" t="s">
        <v>2466</v>
      </c>
      <c r="D2470" s="3" t="str">
        <f>IFERROR(__xludf.DUMMYFUNCTION("GOOGLETRANSLATE(C2470,""en"",""pl"")"),"krakersy")</f>
        <v>krakersy</v>
      </c>
    </row>
    <row r="2471">
      <c r="C2471" s="1" t="s">
        <v>2467</v>
      </c>
      <c r="D2471" s="3" t="str">
        <f>IFERROR(__xludf.DUMMYFUNCTION("GOOGLETRANSLATE(C2471,""en"",""pl"")"),"lekkoduch")</f>
        <v>lekkoduch</v>
      </c>
    </row>
    <row r="2472">
      <c r="C2472" s="1" t="s">
        <v>2468</v>
      </c>
      <c r="D2472" s="3" t="str">
        <f>IFERROR(__xludf.DUMMYFUNCTION("GOOGLETRANSLATE(C2472,""en"",""pl"")"),"łuk")</f>
        <v>łuk</v>
      </c>
    </row>
    <row r="2473">
      <c r="C2473" s="1" t="s">
        <v>2469</v>
      </c>
      <c r="D2473" s="3" t="str">
        <f>IFERROR(__xludf.DUMMYFUNCTION("GOOGLETRANSLATE(C2473,""en"",""pl"")"),"obsługiwany")</f>
        <v>obsługiwany</v>
      </c>
    </row>
    <row r="2474">
      <c r="C2474" s="1" t="s">
        <v>2470</v>
      </c>
      <c r="D2474" s="3" t="str">
        <f>IFERROR(__xludf.DUMMYFUNCTION("GOOGLETRANSLATE(C2474,""en"",""pl"")"),"załogi")</f>
        <v>załogi</v>
      </c>
    </row>
    <row r="2475">
      <c r="C2475" s="1" t="s">
        <v>2471</v>
      </c>
      <c r="D2475" s="3" t="str">
        <f>IFERROR(__xludf.DUMMYFUNCTION("GOOGLETRANSLATE(C2475,""en"",""pl"")"),"skaner")</f>
        <v>skaner</v>
      </c>
    </row>
    <row r="2476">
      <c r="C2476" s="1" t="s">
        <v>2472</v>
      </c>
      <c r="D2476" s="3" t="str">
        <f>IFERROR(__xludf.DUMMYFUNCTION("GOOGLETRANSLATE(C2476,""en"",""pl"")"),"ojcowie")</f>
        <v>ojcowie</v>
      </c>
    </row>
    <row r="2477">
      <c r="C2477" s="1" t="s">
        <v>2473</v>
      </c>
      <c r="D2477" s="3" t="str">
        <f>IFERROR(__xludf.DUMMYFUNCTION("GOOGLETRANSLATE(C2477,""en"",""pl"")"),"członki")</f>
        <v>członki</v>
      </c>
    </row>
    <row r="2478">
      <c r="C2478" s="1" t="s">
        <v>2474</v>
      </c>
      <c r="D2478" s="3" t="str">
        <f>IFERROR(__xludf.DUMMYFUNCTION("GOOGLETRANSLATE(C2478,""en"",""pl"")"),"kąpać")</f>
        <v>kąpać</v>
      </c>
    </row>
    <row r="2479">
      <c r="C2479" s="1" t="s">
        <v>2475</v>
      </c>
      <c r="D2479" s="3" t="str">
        <f>IFERROR(__xludf.DUMMYFUNCTION("GOOGLETRANSLATE(C2479,""en"",""pl"")"),"sercowy")</f>
        <v>sercowy</v>
      </c>
    </row>
    <row r="2480">
      <c r="C2480" s="1" t="s">
        <v>2476</v>
      </c>
      <c r="D2480" s="3" t="str">
        <f>IFERROR(__xludf.DUMMYFUNCTION("GOOGLETRANSLATE(C2480,""en"",""pl"")"),"przekonał")</f>
        <v>przekonał</v>
      </c>
    </row>
    <row r="2481">
      <c r="C2481" s="1" t="s">
        <v>2477</v>
      </c>
      <c r="D2481" s="3" t="str">
        <f>IFERROR(__xludf.DUMMYFUNCTION("GOOGLETRANSLATE(C2481,""en"",""pl"")"),"Argentyna")</f>
        <v>Argentyna</v>
      </c>
    </row>
    <row r="2482">
      <c r="C2482" s="1" t="s">
        <v>2478</v>
      </c>
      <c r="D2482" s="3" t="str">
        <f>IFERROR(__xludf.DUMMYFUNCTION("GOOGLETRANSLATE(C2482,""en"",""pl"")"),"aksamit")</f>
        <v>aksamit</v>
      </c>
    </row>
    <row r="2483">
      <c r="C2483" s="1" t="s">
        <v>2479</v>
      </c>
      <c r="D2483" s="3" t="str">
        <f>IFERROR(__xludf.DUMMYFUNCTION("GOOGLETRANSLATE(C2483,""en"",""pl"")"),"Hyde’a")</f>
        <v>Hyde’a</v>
      </c>
    </row>
    <row r="2484">
      <c r="C2484" s="1" t="s">
        <v>2480</v>
      </c>
      <c r="D2484" s="3" t="str">
        <f>IFERROR(__xludf.DUMMYFUNCTION("GOOGLETRANSLATE(C2484,""en"",""pl"")"),"trzon")</f>
        <v>trzon</v>
      </c>
    </row>
    <row r="2485">
      <c r="C2485" s="1" t="s">
        <v>2481</v>
      </c>
      <c r="D2485" s="3" t="str">
        <f>IFERROR(__xludf.DUMMYFUNCTION("GOOGLETRANSLATE(C2485,""en"",""pl"")"),"wynagrodzony")</f>
        <v>wynagrodzony</v>
      </c>
    </row>
    <row r="2486">
      <c r="C2486" s="1" t="s">
        <v>2482</v>
      </c>
      <c r="D2486" s="3" t="str">
        <f>IFERROR(__xludf.DUMMYFUNCTION("GOOGLETRANSLATE(C2486,""en"",""pl"")"),"Tajwan")</f>
        <v>Tajwan</v>
      </c>
    </row>
    <row r="2487">
      <c r="C2487" s="1" t="s">
        <v>2483</v>
      </c>
      <c r="D2487" s="3" t="str">
        <f>IFERROR(__xludf.DUMMYFUNCTION("GOOGLETRANSLATE(C2487,""en"",""pl"")"),"działania wojenne")</f>
        <v>działania wojenne</v>
      </c>
    </row>
    <row r="2488">
      <c r="C2488" s="1" t="s">
        <v>2484</v>
      </c>
      <c r="D2488" s="3" t="str">
        <f>IFERROR(__xludf.DUMMYFUNCTION("GOOGLETRANSLATE(C2488,""en"",""pl"")"),"lakhów")</f>
        <v>lakhów</v>
      </c>
    </row>
    <row r="2489">
      <c r="C2489" s="1" t="s">
        <v>2485</v>
      </c>
      <c r="D2489" s="3" t="str">
        <f>IFERROR(__xludf.DUMMYFUNCTION("GOOGLETRANSLATE(C2489,""en"",""pl"")"),"filtr")</f>
        <v>filtr</v>
      </c>
    </row>
    <row r="2490">
      <c r="C2490" s="1" t="s">
        <v>2486</v>
      </c>
      <c r="D2490" s="3" t="str">
        <f>IFERROR(__xludf.DUMMYFUNCTION("GOOGLETRANSLATE(C2490,""en"",""pl"")"),"pompowany")</f>
        <v>pompowany</v>
      </c>
    </row>
    <row r="2491">
      <c r="C2491" s="1" t="s">
        <v>2487</v>
      </c>
      <c r="D2491" s="3" t="str">
        <f>IFERROR(__xludf.DUMMYFUNCTION("GOOGLETRANSLATE(C2491,""en"",""pl"")"),"szterling")</f>
        <v>szterling</v>
      </c>
    </row>
    <row r="2492">
      <c r="C2492" s="1" t="s">
        <v>2488</v>
      </c>
      <c r="D2492" s="3" t="str">
        <f>IFERROR(__xludf.DUMMYFUNCTION("GOOGLETRANSLATE(C2492,""en"",""pl"")"),"babcia")</f>
        <v>babcia</v>
      </c>
    </row>
    <row r="2493">
      <c r="C2493" s="1" t="s">
        <v>2489</v>
      </c>
      <c r="D2493" s="3" t="str">
        <f>IFERROR(__xludf.DUMMYFUNCTION("GOOGLETRANSLATE(C2493,""en"",""pl"")"),"Prawidłowy.")</f>
        <v>Prawidłowy.</v>
      </c>
    </row>
    <row r="2494">
      <c r="C2494" s="1" t="s">
        <v>2490</v>
      </c>
      <c r="D2494" s="3" t="str">
        <f>IFERROR(__xludf.DUMMYFUNCTION("GOOGLETRANSLATE(C2494,""en"",""pl"")"),"wypełnia")</f>
        <v>wypełnia</v>
      </c>
    </row>
    <row r="2495">
      <c r="C2495" s="1" t="s">
        <v>2491</v>
      </c>
      <c r="D2495" s="3" t="str">
        <f>IFERROR(__xludf.DUMMYFUNCTION("GOOGLETRANSLATE(C2495,""en"",""pl"")"),"chet")</f>
        <v>chet</v>
      </c>
    </row>
    <row r="2496">
      <c r="C2496" s="1" t="s">
        <v>2492</v>
      </c>
      <c r="D2496" s="3" t="str">
        <f>IFERROR(__xludf.DUMMYFUNCTION("GOOGLETRANSLATE(C2496,""en"",""pl"")"),"dysk")</f>
        <v>dysk</v>
      </c>
    </row>
    <row r="2497">
      <c r="C2497" s="1" t="s">
        <v>2493</v>
      </c>
      <c r="D2497" s="3" t="str">
        <f>IFERROR(__xludf.DUMMYFUNCTION("GOOGLETRANSLATE(C2497,""en"",""pl"")"),"procent")</f>
        <v>procent</v>
      </c>
    </row>
    <row r="2498">
      <c r="C2498" s="1" t="s">
        <v>2494</v>
      </c>
      <c r="D2498" s="3" t="str">
        <f>IFERROR(__xludf.DUMMYFUNCTION("GOOGLETRANSLATE(C2498,""en"",""pl"")"),"odwaga")</f>
        <v>odwaga</v>
      </c>
    </row>
    <row r="2499">
      <c r="C2499" s="1" t="s">
        <v>2495</v>
      </c>
      <c r="D2499" s="3" t="str">
        <f>IFERROR(__xludf.DUMMYFUNCTION("GOOGLETRANSLATE(C2499,""en"",""pl"")"),"krawędzie")</f>
        <v>krawędzie</v>
      </c>
    </row>
    <row r="2500">
      <c r="C2500" s="1" t="s">
        <v>2496</v>
      </c>
      <c r="D2500" s="3" t="str">
        <f>IFERROR(__xludf.DUMMYFUNCTION("GOOGLETRANSLATE(C2500,""en"",""pl"")"),"pielucha")</f>
        <v>pielucha</v>
      </c>
    </row>
    <row r="2501">
      <c r="C2501" s="1" t="s">
        <v>2497</v>
      </c>
      <c r="D2501" s="3" t="str">
        <f>IFERROR(__xludf.DUMMYFUNCTION("GOOGLETRANSLATE(C2501,""en"",""pl"")"),"lyle")</f>
        <v>lyle</v>
      </c>
    </row>
    <row r="2502">
      <c r="C2502" s="1" t="s">
        <v>2498</v>
      </c>
      <c r="D2502" s="3" t="str">
        <f>IFERROR(__xludf.DUMMYFUNCTION("GOOGLETRANSLATE(C2502,""en"",""pl"")"),"nie wiem")</f>
        <v>nie wiem</v>
      </c>
    </row>
    <row r="2503">
      <c r="C2503" s="1" t="s">
        <v>2499</v>
      </c>
      <c r="D2503" s="3" t="str">
        <f>IFERROR(__xludf.DUMMYFUNCTION("GOOGLETRANSLATE(C2503,""en"",""pl"")"),"zakonserwowany")</f>
        <v>zakonserwowany</v>
      </c>
    </row>
    <row r="2504">
      <c r="C2504" s="1" t="s">
        <v>2500</v>
      </c>
      <c r="D2504" s="3" t="str">
        <f>IFERROR(__xludf.DUMMYFUNCTION("GOOGLETRANSLATE(C2504,""en"",""pl"")"),"suton")</f>
        <v>suton</v>
      </c>
    </row>
    <row r="2505">
      <c r="C2505" s="1" t="s">
        <v>2501</v>
      </c>
      <c r="D2505" s="3" t="str">
        <f>IFERROR(__xludf.DUMMYFUNCTION("GOOGLETRANSLATE(C2505,""en"",""pl"")"),"Katarzyna")</f>
        <v>Katarzyna</v>
      </c>
    </row>
    <row r="2506">
      <c r="C2506" s="1" t="s">
        <v>2502</v>
      </c>
      <c r="D2506" s="3" t="str">
        <f>IFERROR(__xludf.DUMMYFUNCTION("GOOGLETRANSLATE(C2506,""en"",""pl"")"),"mistrzowie")</f>
        <v>mistrzowie</v>
      </c>
    </row>
    <row r="2507">
      <c r="C2507" s="1" t="s">
        <v>2503</v>
      </c>
      <c r="D2507" s="3" t="str">
        <f>IFERROR(__xludf.DUMMYFUNCTION("GOOGLETRANSLATE(C2507,""en"",""pl"")"),"imprezować")</f>
        <v>imprezować</v>
      </c>
    </row>
    <row r="2508">
      <c r="C2508" s="1" t="s">
        <v>2504</v>
      </c>
      <c r="D2508" s="3" t="str">
        <f>IFERROR(__xludf.DUMMYFUNCTION("GOOGLETRANSLATE(C2508,""en"",""pl"")"),"Siergiej")</f>
        <v>Siergiej</v>
      </c>
    </row>
    <row r="2509">
      <c r="C2509" s="1" t="s">
        <v>2505</v>
      </c>
      <c r="D2509" s="3" t="str">
        <f>IFERROR(__xludf.DUMMYFUNCTION("GOOGLETRANSLATE(C2509,""en"",""pl"")"),"pd")</f>
        <v>pd</v>
      </c>
    </row>
    <row r="2510">
      <c r="C2510" s="1" t="s">
        <v>2506</v>
      </c>
      <c r="D2510" s="3" t="str">
        <f>IFERROR(__xludf.DUMMYFUNCTION("GOOGLETRANSLATE(C2510,""en"",""pl"")"),"moralność")</f>
        <v>moralność</v>
      </c>
    </row>
    <row r="2511">
      <c r="C2511" s="1" t="s">
        <v>2507</v>
      </c>
      <c r="D2511" s="3" t="str">
        <f>IFERROR(__xludf.DUMMYFUNCTION("GOOGLETRANSLATE(C2511,""en"",""pl"")"),"paka")</f>
        <v>paka</v>
      </c>
    </row>
    <row r="2512">
      <c r="C2512" s="1" t="s">
        <v>2508</v>
      </c>
      <c r="D2512" s="3" t="str">
        <f>IFERROR(__xludf.DUMMYFUNCTION("GOOGLETRANSLATE(C2512,""en"",""pl"")"),"moja")</f>
        <v>moja</v>
      </c>
    </row>
    <row r="2513">
      <c r="C2513" s="1" t="s">
        <v>2509</v>
      </c>
      <c r="D2513" s="3" t="str">
        <f>IFERROR(__xludf.DUMMYFUNCTION("GOOGLETRANSLATE(C2513,""en"",""pl"")"),"komplikacje")</f>
        <v>komplikacje</v>
      </c>
    </row>
    <row r="2514">
      <c r="C2514" s="1" t="s">
        <v>2510</v>
      </c>
      <c r="D2514" s="3" t="str">
        <f>IFERROR(__xludf.DUMMYFUNCTION("GOOGLETRANSLATE(C2514,""en"",""pl"")"),"kiełbaski")</f>
        <v>kiełbaski</v>
      </c>
    </row>
    <row r="2515">
      <c r="C2515" s="1" t="s">
        <v>2511</v>
      </c>
      <c r="D2515" s="3" t="str">
        <f>IFERROR(__xludf.DUMMYFUNCTION("GOOGLETRANSLATE(C2515,""en"",""pl"")"),"płynnie")</f>
        <v>płynnie</v>
      </c>
    </row>
    <row r="2516">
      <c r="C2516" s="1" t="s">
        <v>2512</v>
      </c>
      <c r="D2516" s="3" t="str">
        <f>IFERROR(__xludf.DUMMYFUNCTION("GOOGLETRANSLATE(C2516,""en"",""pl"")"),"Rafał")</f>
        <v>Rafał</v>
      </c>
    </row>
    <row r="2517">
      <c r="C2517" s="1" t="s">
        <v>2513</v>
      </c>
      <c r="D2517" s="3" t="str">
        <f>IFERROR(__xludf.DUMMYFUNCTION("GOOGLETRANSLATE(C2517,""en"",""pl"")"),"kolebka")</f>
        <v>kolebka</v>
      </c>
    </row>
    <row r="2518">
      <c r="C2518" s="1" t="s">
        <v>2514</v>
      </c>
      <c r="D2518" s="3" t="str">
        <f>IFERROR(__xludf.DUMMYFUNCTION("GOOGLETRANSLATE(C2518,""en"",""pl"")"),"lampart")</f>
        <v>lampart</v>
      </c>
    </row>
    <row r="2519">
      <c r="C2519" s="1" t="s">
        <v>2515</v>
      </c>
      <c r="D2519" s="3" t="str">
        <f>IFERROR(__xludf.DUMMYFUNCTION("GOOGLETRANSLATE(C2519,""en"",""pl"")"),"Czuć")</f>
        <v>Czuć</v>
      </c>
    </row>
    <row r="2520">
      <c r="C2520" s="1" t="s">
        <v>2516</v>
      </c>
      <c r="D2520" s="3" t="str">
        <f>IFERROR(__xludf.DUMMYFUNCTION("GOOGLETRANSLATE(C2520,""en"",""pl"")"),"ogrodnik")</f>
        <v>ogrodnik</v>
      </c>
    </row>
    <row r="2521">
      <c r="C2521" s="1" t="s">
        <v>2517</v>
      </c>
      <c r="D2521" s="3" t="str">
        <f>IFERROR(__xludf.DUMMYFUNCTION("GOOGLETRANSLATE(C2521,""en"",""pl"")"),"Ateny")</f>
        <v>Ateny</v>
      </c>
    </row>
    <row r="2522">
      <c r="C2522" s="1" t="s">
        <v>2518</v>
      </c>
      <c r="D2522" s="3" t="str">
        <f>IFERROR(__xludf.DUMMYFUNCTION("GOOGLETRANSLATE(C2522,""en"",""pl"")"),"co-co")</f>
        <v>co-co</v>
      </c>
    </row>
    <row r="2523">
      <c r="C2523" s="1" t="s">
        <v>2519</v>
      </c>
      <c r="D2523" s="3" t="str">
        <f>IFERROR(__xludf.DUMMYFUNCTION("GOOGLETRANSLATE(C2523,""en"",""pl"")"),"Abu")</f>
        <v>Abu</v>
      </c>
    </row>
    <row r="2524">
      <c r="C2524" s="1" t="s">
        <v>2520</v>
      </c>
      <c r="D2524" s="3" t="str">
        <f>IFERROR(__xludf.DUMMYFUNCTION("GOOGLETRANSLATE(C2524,""en"",""pl"")"),"kramer")</f>
        <v>kramer</v>
      </c>
    </row>
    <row r="2525">
      <c r="C2525" s="1" t="s">
        <v>2521</v>
      </c>
      <c r="D2525" s="3" t="str">
        <f>IFERROR(__xludf.DUMMYFUNCTION("GOOGLETRANSLATE(C2525,""en"",""pl"")"),"magnes")</f>
        <v>magnes</v>
      </c>
    </row>
    <row r="2526">
      <c r="C2526" s="1" t="s">
        <v>2522</v>
      </c>
      <c r="D2526" s="3" t="str">
        <f>IFERROR(__xludf.DUMMYFUNCTION("GOOGLETRANSLATE(C2526,""en"",""pl"")"),"psychotyczny")</f>
        <v>psychotyczny</v>
      </c>
    </row>
    <row r="2527">
      <c r="C2527" s="1" t="s">
        <v>2523</v>
      </c>
      <c r="D2527" s="3" t="str">
        <f>IFERROR(__xludf.DUMMYFUNCTION("GOOGLETRANSLATE(C2527,""en"",""pl"")"),"szczepionka")</f>
        <v>szczepionka</v>
      </c>
    </row>
    <row r="2528">
      <c r="C2528" s="1" t="s">
        <v>2524</v>
      </c>
      <c r="D2528" s="3" t="str">
        <f>IFERROR(__xludf.DUMMYFUNCTION("GOOGLETRANSLATE(C2528,""en"",""pl"")"),"zmotywowany")</f>
        <v>zmotywowany</v>
      </c>
    </row>
    <row r="2529">
      <c r="C2529" s="1" t="s">
        <v>2525</v>
      </c>
      <c r="D2529" s="3" t="str">
        <f>IFERROR(__xludf.DUMMYFUNCTION("GOOGLETRANSLATE(C2529,""en"",""pl"")"),"agresja")</f>
        <v>agresja</v>
      </c>
    </row>
    <row r="2530">
      <c r="C2530" s="1" t="s">
        <v>2526</v>
      </c>
      <c r="D2530" s="3" t="str">
        <f>IFERROR(__xludf.DUMMYFUNCTION("GOOGLETRANSLATE(C2530,""en"",""pl"")"),"kursy")</f>
        <v>kursy</v>
      </c>
    </row>
    <row r="2531">
      <c r="C2531" s="1" t="s">
        <v>2527</v>
      </c>
      <c r="D2531" s="3" t="str">
        <f>IFERROR(__xludf.DUMMYFUNCTION("GOOGLETRANSLATE(C2531,""en"",""pl"")"),"To jest")</f>
        <v>To jest</v>
      </c>
    </row>
    <row r="2532">
      <c r="C2532" s="1" t="s">
        <v>2528</v>
      </c>
      <c r="D2532" s="3" t="str">
        <f>IFERROR(__xludf.DUMMYFUNCTION("GOOGLETRANSLATE(C2532,""en"",""pl"")"),"Willis")</f>
        <v>Willis</v>
      </c>
    </row>
    <row r="2533">
      <c r="C2533" s="1" t="s">
        <v>2529</v>
      </c>
      <c r="D2533" s="3" t="str">
        <f>IFERROR(__xludf.DUMMYFUNCTION("GOOGLETRANSLATE(C2533,""en"",""pl"")"),"rozszerzający się")</f>
        <v>rozszerzający się</v>
      </c>
    </row>
    <row r="2534">
      <c r="C2534" s="1" t="s">
        <v>2530</v>
      </c>
      <c r="D2534" s="3" t="str">
        <f>IFERROR(__xludf.DUMMYFUNCTION("GOOGLETRANSLATE(C2534,""en"",""pl"")"),"Wance")</f>
        <v>Wance</v>
      </c>
    </row>
    <row r="2535">
      <c r="C2535" s="1" t="s">
        <v>2531</v>
      </c>
      <c r="D2535" s="3" t="str">
        <f>IFERROR(__xludf.DUMMYFUNCTION("GOOGLETRANSLATE(C2535,""en"",""pl"")"),"bazy")</f>
        <v>bazy</v>
      </c>
    </row>
    <row r="2536">
      <c r="C2536" s="1" t="s">
        <v>2532</v>
      </c>
      <c r="D2536" s="3" t="str">
        <f>IFERROR(__xludf.DUMMYFUNCTION("GOOGLETRANSLATE(C2536,""en"",""pl"")"),"włamanie")</f>
        <v>włamanie</v>
      </c>
    </row>
    <row r="2537">
      <c r="C2537" s="1" t="s">
        <v>2533</v>
      </c>
      <c r="D2537" s="3" t="str">
        <f>IFERROR(__xludf.DUMMYFUNCTION("GOOGLETRANSLATE(C2537,""en"",""pl"")"),"potknął się")</f>
        <v>potknął się</v>
      </c>
    </row>
    <row r="2538">
      <c r="C2538" s="1" t="s">
        <v>2534</v>
      </c>
      <c r="D2538" s="3" t="str">
        <f>IFERROR(__xludf.DUMMYFUNCTION("GOOGLETRANSLATE(C2538,""en"",""pl"")"),"bułki")</f>
        <v>bułki</v>
      </c>
    </row>
    <row r="2539">
      <c r="C2539" s="1" t="s">
        <v>2535</v>
      </c>
      <c r="D2539" s="3" t="str">
        <f>IFERROR(__xludf.DUMMYFUNCTION("GOOGLETRANSLATE(C2539,""en"",""pl"")"),"skonfrontowany")</f>
        <v>skonfrontowany</v>
      </c>
    </row>
    <row r="2540">
      <c r="C2540" s="1" t="s">
        <v>2536</v>
      </c>
      <c r="D2540" s="3" t="str">
        <f>IFERROR(__xludf.DUMMYFUNCTION("GOOGLETRANSLATE(C2540,""en"",""pl"")"),"Genewa")</f>
        <v>Genewa</v>
      </c>
    </row>
    <row r="2541">
      <c r="C2541" s="1" t="s">
        <v>2537</v>
      </c>
      <c r="D2541" s="3" t="str">
        <f>IFERROR(__xludf.DUMMYFUNCTION("GOOGLETRANSLATE(C2541,""en"",""pl"")"),"coraz bardziej")</f>
        <v>coraz bardziej</v>
      </c>
    </row>
    <row r="2542">
      <c r="C2542" s="1" t="s">
        <v>2538</v>
      </c>
      <c r="D2542" s="3" t="str">
        <f>IFERROR(__xludf.DUMMYFUNCTION("GOOGLETRANSLATE(C2542,""en"",""pl"")"),"chodnik")</f>
        <v>chodnik</v>
      </c>
    </row>
    <row r="2543">
      <c r="C2543" s="1" t="s">
        <v>2539</v>
      </c>
      <c r="D2543" s="3" t="str">
        <f>IFERROR(__xludf.DUMMYFUNCTION("GOOGLETRANSLATE(C2543,""en"",""pl"")"),"zacieniony")</f>
        <v>zacieniony</v>
      </c>
    </row>
    <row r="2544">
      <c r="C2544" s="1" t="s">
        <v>2540</v>
      </c>
      <c r="D2544" s="3" t="str">
        <f>IFERROR(__xludf.DUMMYFUNCTION("GOOGLETRANSLATE(C2544,""en"",""pl"")"),"bronił")</f>
        <v>bronił</v>
      </c>
    </row>
    <row r="2545">
      <c r="C2545" s="1" t="s">
        <v>2541</v>
      </c>
      <c r="D2545" s="3" t="str">
        <f>IFERROR(__xludf.DUMMYFUNCTION("GOOGLETRANSLATE(C2545,""en"",""pl"")"),"rezolucja")</f>
        <v>rezolucja</v>
      </c>
    </row>
    <row r="2546">
      <c r="C2546" s="1" t="s">
        <v>2542</v>
      </c>
      <c r="D2546" s="3" t="str">
        <f>IFERROR(__xludf.DUMMYFUNCTION("GOOGLETRANSLATE(C2546,""en"",""pl"")"),"wybiera")</f>
        <v>wybiera</v>
      </c>
    </row>
    <row r="2547">
      <c r="C2547" s="1" t="s">
        <v>2543</v>
      </c>
      <c r="D2547" s="3" t="str">
        <f>IFERROR(__xludf.DUMMYFUNCTION("GOOGLETRANSLATE(C2547,""en"",""pl"")"),"stuknął")</f>
        <v>stuknął</v>
      </c>
    </row>
    <row r="2548">
      <c r="C2548" s="1" t="s">
        <v>2544</v>
      </c>
      <c r="D2548" s="3" t="str">
        <f>IFERROR(__xludf.DUMMYFUNCTION("GOOGLETRANSLATE(C2548,""en"",""pl"")"),"eksplodować")</f>
        <v>eksplodować</v>
      </c>
    </row>
    <row r="2549">
      <c r="C2549" s="1" t="s">
        <v>2545</v>
      </c>
      <c r="D2549" s="3" t="str">
        <f>IFERROR(__xludf.DUMMYFUNCTION("GOOGLETRANSLATE(C2549,""en"",""pl"")"),"punki")</f>
        <v>punki</v>
      </c>
    </row>
    <row r="2550">
      <c r="C2550" s="1" t="s">
        <v>2546</v>
      </c>
      <c r="D2550" s="3" t="str">
        <f>IFERROR(__xludf.DUMMYFUNCTION("GOOGLETRANSLATE(C2550,""en"",""pl"")"),"sceneria")</f>
        <v>sceneria</v>
      </c>
    </row>
    <row r="2551">
      <c r="C2551" s="1" t="s">
        <v>2547</v>
      </c>
      <c r="D2551" s="3" t="str">
        <f>IFERROR(__xludf.DUMMYFUNCTION("GOOGLETRANSLATE(C2551,""en"",""pl"")"),"zaczep")</f>
        <v>zaczep</v>
      </c>
    </row>
    <row r="2552">
      <c r="C2552" s="1" t="s">
        <v>2548</v>
      </c>
      <c r="D2552" s="3" t="str">
        <f>IFERROR(__xludf.DUMMYFUNCTION("GOOGLETRANSLATE(C2552,""en"",""pl"")"),"odcięty")</f>
        <v>odcięty</v>
      </c>
    </row>
    <row r="2553">
      <c r="C2553" s="1" t="s">
        <v>2549</v>
      </c>
      <c r="D2553" s="3" t="str">
        <f>IFERROR(__xludf.DUMMYFUNCTION("GOOGLETRANSLATE(C2553,""en"",""pl"")"),"puścić oczko")</f>
        <v>puścić oczko</v>
      </c>
    </row>
    <row r="2554">
      <c r="C2554" s="1" t="s">
        <v>2550</v>
      </c>
      <c r="D2554" s="3" t="str">
        <f>IFERROR(__xludf.DUMMYFUNCTION("GOOGLETRANSLATE(C2554,""en"",""pl"")"),"początkowo")</f>
        <v>początkowo</v>
      </c>
    </row>
    <row r="2555">
      <c r="C2555" s="1" t="s">
        <v>2551</v>
      </c>
      <c r="D2555" s="3" t="str">
        <f>IFERROR(__xludf.DUMMYFUNCTION("GOOGLETRANSLATE(C2555,""en"",""pl"")"),"ocena")</f>
        <v>ocena</v>
      </c>
    </row>
    <row r="2556">
      <c r="C2556" s="1" t="s">
        <v>2552</v>
      </c>
      <c r="D2556" s="3" t="str">
        <f>IFERROR(__xludf.DUMMYFUNCTION("GOOGLETRANSLATE(C2556,""en"",""pl"")"),"niszczarka")</f>
        <v>niszczarka</v>
      </c>
    </row>
    <row r="2557">
      <c r="C2557" s="1" t="s">
        <v>2553</v>
      </c>
      <c r="D2557" s="3" t="str">
        <f>IFERROR(__xludf.DUMMYFUNCTION("GOOGLETRANSLATE(C2557,""en"",""pl"")"),"złoczyńcy")</f>
        <v>złoczyńcy</v>
      </c>
    </row>
    <row r="2558">
      <c r="C2558" s="1" t="s">
        <v>2554</v>
      </c>
      <c r="D2558" s="3" t="str">
        <f>IFERROR(__xludf.DUMMYFUNCTION("GOOGLETRANSLATE(C2558,""en"",""pl"")"),"górniczy")</f>
        <v>górniczy</v>
      </c>
    </row>
    <row r="2559">
      <c r="C2559" s="1" t="s">
        <v>2555</v>
      </c>
      <c r="D2559" s="3" t="str">
        <f>IFERROR(__xludf.DUMMYFUNCTION("GOOGLETRANSLATE(C2559,""en"",""pl"")"),"Przedstawienie")</f>
        <v>Przedstawienie</v>
      </c>
    </row>
    <row r="2560">
      <c r="C2560" s="1" t="s">
        <v>2556</v>
      </c>
      <c r="D2560" s="3" t="str">
        <f>IFERROR(__xludf.DUMMYFUNCTION("GOOGLETRANSLATE(C2560,""en"",""pl"")"),"skupienie")</f>
        <v>skupienie</v>
      </c>
    </row>
    <row r="2561">
      <c r="C2561" s="1" t="s">
        <v>2557</v>
      </c>
      <c r="D2561" s="3" t="str">
        <f>IFERROR(__xludf.DUMMYFUNCTION("GOOGLETRANSLATE(C2561,""en"",""pl"")"),"deszczowy")</f>
        <v>deszczowy</v>
      </c>
    </row>
    <row r="2562">
      <c r="C2562" s="1" t="s">
        <v>2558</v>
      </c>
      <c r="D2562" s="3" t="str">
        <f>IFERROR(__xludf.DUMMYFUNCTION("GOOGLETRANSLATE(C2562,""en"",""pl"")"),"poprawka")</f>
        <v>poprawka</v>
      </c>
    </row>
    <row r="2563">
      <c r="C2563" s="1" t="s">
        <v>2559</v>
      </c>
      <c r="D2563" s="3" t="str">
        <f>IFERROR(__xludf.DUMMYFUNCTION("GOOGLETRANSLATE(C2563,""en"",""pl"")"),"ucieczka")</f>
        <v>ucieczka</v>
      </c>
    </row>
    <row r="2564">
      <c r="C2564" s="1" t="s">
        <v>2560</v>
      </c>
      <c r="D2564" s="3" t="str">
        <f>IFERROR(__xludf.DUMMYFUNCTION("GOOGLETRANSLATE(C2564,""en"",""pl"")"),"rozpoznany")</f>
        <v>rozpoznany</v>
      </c>
    </row>
    <row r="2565">
      <c r="C2565" s="1" t="s">
        <v>2561</v>
      </c>
      <c r="D2565" s="3" t="str">
        <f>IFERROR(__xludf.DUMMYFUNCTION("GOOGLETRANSLATE(C2565,""en"",""pl"")"),"zaciemnienie")</f>
        <v>zaciemnienie</v>
      </c>
    </row>
    <row r="2566">
      <c r="C2566" s="1" t="s">
        <v>2562</v>
      </c>
      <c r="D2566" s="3" t="str">
        <f>IFERROR(__xludf.DUMMYFUNCTION("GOOGLETRANSLATE(C2566,""en"",""pl"")"),"smycz")</f>
        <v>smycz</v>
      </c>
    </row>
    <row r="2567">
      <c r="C2567" s="1" t="s">
        <v>2563</v>
      </c>
      <c r="D2567" s="3" t="str">
        <f>IFERROR(__xludf.DUMMYFUNCTION("GOOGLETRANSLATE(C2567,""en"",""pl"")"),"Mahomet")</f>
        <v>Mahomet</v>
      </c>
    </row>
    <row r="2568">
      <c r="C2568" s="1" t="s">
        <v>2564</v>
      </c>
      <c r="D2568" s="3" t="str">
        <f>IFERROR(__xludf.DUMMYFUNCTION("GOOGLETRANSLATE(C2568,""en"",""pl"")"),"brwi")</f>
        <v>brwi</v>
      </c>
    </row>
    <row r="2569">
      <c r="C2569" s="1" t="s">
        <v>2565</v>
      </c>
      <c r="D2569" s="3" t="str">
        <f>IFERROR(__xludf.DUMMYFUNCTION("GOOGLETRANSLATE(C2569,""en"",""pl"")"),"żyjący")</f>
        <v>żyjący</v>
      </c>
    </row>
    <row r="2570">
      <c r="C2570" s="1" t="s">
        <v>2566</v>
      </c>
      <c r="D2570" s="3" t="str">
        <f>IFERROR(__xludf.DUMMYFUNCTION("GOOGLETRANSLATE(C2570,""en"",""pl"")"),"buńczuczny")</f>
        <v>buńczuczny</v>
      </c>
    </row>
    <row r="2571">
      <c r="C2571" s="1" t="s">
        <v>2567</v>
      </c>
      <c r="D2571" s="3" t="str">
        <f>IFERROR(__xludf.DUMMYFUNCTION("GOOGLETRANSLATE(C2571,""en"",""pl"")"),"sutki")</f>
        <v>sutki</v>
      </c>
    </row>
    <row r="2572">
      <c r="C2572" s="4" t="s">
        <v>2568</v>
      </c>
      <c r="D2572" s="3" t="str">
        <f>IFERROR(__xludf.DUMMYFUNCTION("GOOGLETRANSLATE(C2572,""en"",""pl"")"),"Oh")</f>
        <v>Oh</v>
      </c>
    </row>
    <row r="2573">
      <c r="C2573" s="1" t="s">
        <v>2569</v>
      </c>
      <c r="D2573" s="3" t="str">
        <f>IFERROR(__xludf.DUMMYFUNCTION("GOOGLETRANSLATE(C2573,""en"",""pl"")"),"tratwa")</f>
        <v>tratwa</v>
      </c>
    </row>
    <row r="2574">
      <c r="C2574" s="1" t="s">
        <v>2570</v>
      </c>
      <c r="D2574" s="3" t="str">
        <f>IFERROR(__xludf.DUMMYFUNCTION("GOOGLETRANSLATE(C2574,""en"",""pl"")"),"faraon")</f>
        <v>faraon</v>
      </c>
    </row>
    <row r="2575">
      <c r="C2575" s="1" t="s">
        <v>2571</v>
      </c>
      <c r="D2575" s="3" t="str">
        <f>IFERROR(__xludf.DUMMYFUNCTION("GOOGLETRANSLATE(C2575,""en"",""pl"")"),"garnki")</f>
        <v>garnki</v>
      </c>
    </row>
    <row r="2576">
      <c r="C2576" s="1" t="s">
        <v>2572</v>
      </c>
      <c r="D2576" s="3" t="str">
        <f>IFERROR(__xludf.DUMMYFUNCTION("GOOGLETRANSLATE(C2576,""en"",""pl"")"),"orzeźwiający")</f>
        <v>orzeźwiający</v>
      </c>
    </row>
    <row r="2577">
      <c r="C2577" s="1" t="s">
        <v>2573</v>
      </c>
      <c r="D2577" s="3" t="str">
        <f>IFERROR(__xludf.DUMMYFUNCTION("GOOGLETRANSLATE(C2577,""en"",""pl"")"),"wędrował")</f>
        <v>wędrował</v>
      </c>
    </row>
    <row r="2578">
      <c r="C2578" s="1" t="s">
        <v>2574</v>
      </c>
      <c r="D2578" s="3" t="str">
        <f>IFERROR(__xludf.DUMMYFUNCTION("GOOGLETRANSLATE(C2578,""en"",""pl"")"),"roz")</f>
        <v>roz</v>
      </c>
    </row>
    <row r="2579">
      <c r="C2579" s="1" t="s">
        <v>2575</v>
      </c>
      <c r="D2579" s="3" t="str">
        <f>IFERROR(__xludf.DUMMYFUNCTION("GOOGLETRANSLATE(C2579,""en"",""pl"")"),"Abel")</f>
        <v>Abel</v>
      </c>
    </row>
    <row r="2580">
      <c r="C2580" s="1" t="s">
        <v>2576</v>
      </c>
      <c r="D2580" s="3" t="str">
        <f>IFERROR(__xludf.DUMMYFUNCTION("GOOGLETRANSLATE(C2580,""en"",""pl"")"),"Beatlesi")</f>
        <v>Beatlesi</v>
      </c>
    </row>
    <row r="2581">
      <c r="C2581" s="1" t="s">
        <v>2577</v>
      </c>
      <c r="D2581" s="3" t="str">
        <f>IFERROR(__xludf.DUMMYFUNCTION("GOOGLETRANSLATE(C2581,""en"",""pl"")"),"ograniczony")</f>
        <v>ograniczony</v>
      </c>
    </row>
    <row r="2582">
      <c r="C2582" s="1" t="s">
        <v>2578</v>
      </c>
      <c r="D2582" s="3" t="str">
        <f>IFERROR(__xludf.DUMMYFUNCTION("GOOGLETRANSLATE(C2582,""en"",""pl"")"),"zakaźny")</f>
        <v>zakaźny</v>
      </c>
    </row>
    <row r="2583">
      <c r="C2583" s="1" t="s">
        <v>2579</v>
      </c>
      <c r="D2583" s="3" t="str">
        <f>IFERROR(__xludf.DUMMYFUNCTION("GOOGLETRANSLATE(C2583,""en"",""pl"")"),"Madeline")</f>
        <v>Madeline</v>
      </c>
    </row>
    <row r="2584">
      <c r="C2584" s="1" t="s">
        <v>2580</v>
      </c>
      <c r="D2584" s="3" t="str">
        <f>IFERROR(__xludf.DUMMYFUNCTION("GOOGLETRANSLATE(C2584,""en"",""pl"")"),"Pekin")</f>
        <v>Pekin</v>
      </c>
    </row>
    <row r="2585">
      <c r="C2585" s="1" t="s">
        <v>2581</v>
      </c>
      <c r="D2585" s="3" t="str">
        <f>IFERROR(__xludf.DUMMYFUNCTION("GOOGLETRANSLATE(C2585,""en"",""pl"")"),"często")</f>
        <v>często</v>
      </c>
    </row>
    <row r="2586">
      <c r="C2586" s="1" t="s">
        <v>2582</v>
      </c>
      <c r="D2586" s="3" t="str">
        <f>IFERROR(__xludf.DUMMYFUNCTION("GOOGLETRANSLATE(C2586,""en"",""pl"")"),"operacyjny")</f>
        <v>operacyjny</v>
      </c>
    </row>
    <row r="2587">
      <c r="C2587" s="1" t="s">
        <v>2583</v>
      </c>
      <c r="D2587" s="3" t="str">
        <f>IFERROR(__xludf.DUMMYFUNCTION("GOOGLETRANSLATE(C2587,""en"",""pl"")"),"dreszcze")</f>
        <v>dreszcze</v>
      </c>
    </row>
    <row r="2588">
      <c r="C2588" s="1" t="s">
        <v>2584</v>
      </c>
      <c r="D2588" s="3" t="str">
        <f>IFERROR(__xludf.DUMMYFUNCTION("GOOGLETRANSLATE(C2588,""en"",""pl"")"),"dziękując")</f>
        <v>dziękując</v>
      </c>
    </row>
    <row r="2589">
      <c r="C2589" s="1" t="s">
        <v>2585</v>
      </c>
      <c r="D2589" s="3" t="str">
        <f>IFERROR(__xludf.DUMMYFUNCTION("GOOGLETRANSLATE(C2589,""en"",""pl"")"),"cierpi")</f>
        <v>cierpi</v>
      </c>
    </row>
    <row r="2590">
      <c r="C2590" s="1" t="s">
        <v>2586</v>
      </c>
      <c r="D2590" s="3" t="str">
        <f>IFERROR(__xludf.DUMMYFUNCTION("GOOGLETRANSLATE(C2590,""en"",""pl"")"),"bazylia")</f>
        <v>bazylia</v>
      </c>
    </row>
    <row r="2591">
      <c r="C2591" s="1" t="s">
        <v>2587</v>
      </c>
      <c r="D2591" s="3" t="str">
        <f>IFERROR(__xludf.DUMMYFUNCTION("GOOGLETRANSLATE(C2591,""en"",""pl"")"),"Babilon")</f>
        <v>Babilon</v>
      </c>
    </row>
    <row r="2592">
      <c r="C2592" s="4" t="s">
        <v>2588</v>
      </c>
      <c r="D2592" s="3" t="str">
        <f>IFERROR(__xludf.DUMMYFUNCTION("GOOGLETRANSLATE(C2592,""en"",""pl"")"),"Do")</f>
        <v>Do</v>
      </c>
    </row>
    <row r="2593">
      <c r="C2593" s="1" t="s">
        <v>2589</v>
      </c>
      <c r="D2593" s="3" t="str">
        <f>IFERROR(__xludf.DUMMYFUNCTION("GOOGLETRANSLATE(C2593,""en"",""pl"")"),"wiercenie")</f>
        <v>wiercenie</v>
      </c>
    </row>
    <row r="2594">
      <c r="C2594" s="1" t="s">
        <v>2590</v>
      </c>
      <c r="D2594" s="3" t="str">
        <f>IFERROR(__xludf.DUMMYFUNCTION("GOOGLETRANSLATE(C2594,""en"",""pl"")"),"agencje")</f>
        <v>agencje</v>
      </c>
    </row>
    <row r="2595">
      <c r="C2595" s="1" t="s">
        <v>2591</v>
      </c>
      <c r="D2595" s="3" t="str">
        <f>IFERROR(__xludf.DUMMYFUNCTION("GOOGLETRANSLATE(C2595,""en"",""pl"")"),"bufet")</f>
        <v>bufet</v>
      </c>
    </row>
    <row r="2596">
      <c r="C2596" s="1" t="s">
        <v>2592</v>
      </c>
      <c r="D2596" s="3" t="str">
        <f>IFERROR(__xludf.DUMMYFUNCTION("GOOGLETRANSLATE(C2596,""en"",""pl"")"),"Gospodarstwa")</f>
        <v>Gospodarstwa</v>
      </c>
    </row>
    <row r="2597">
      <c r="C2597" s="1" t="s">
        <v>2593</v>
      </c>
      <c r="D2597" s="3" t="str">
        <f>IFERROR(__xludf.DUMMYFUNCTION("GOOGLETRANSLATE(C2597,""en"",""pl"")"),"motywy")</f>
        <v>motywy</v>
      </c>
    </row>
    <row r="2598">
      <c r="C2598" s="1" t="s">
        <v>2594</v>
      </c>
      <c r="D2598" s="3" t="str">
        <f>IFERROR(__xludf.DUMMYFUNCTION("GOOGLETRANSLATE(C2598,""en"",""pl"")"),"kakao")</f>
        <v>kakao</v>
      </c>
    </row>
    <row r="2599">
      <c r="C2599" s="1" t="s">
        <v>2595</v>
      </c>
      <c r="D2599" s="3" t="str">
        <f>IFERROR(__xludf.DUMMYFUNCTION("GOOGLETRANSLATE(C2599,""en"",""pl"")"),"postrzeganie")</f>
        <v>postrzeganie</v>
      </c>
    </row>
    <row r="2600">
      <c r="C2600" s="1" t="s">
        <v>2596</v>
      </c>
      <c r="D2600" s="3" t="str">
        <f>IFERROR(__xludf.DUMMYFUNCTION("GOOGLETRANSLATE(C2600,""en"",""pl"")"),"celowanie")</f>
        <v>celowanie</v>
      </c>
    </row>
    <row r="2601">
      <c r="C2601" s="1" t="s">
        <v>2597</v>
      </c>
      <c r="D2601" s="3" t="str">
        <f>IFERROR(__xludf.DUMMYFUNCTION("GOOGLETRANSLATE(C2601,""en"",""pl"")"),"dudniący")</f>
        <v>dudniący</v>
      </c>
    </row>
    <row r="2602">
      <c r="C2602" s="1" t="s">
        <v>2598</v>
      </c>
      <c r="D2602" s="3" t="str">
        <f>IFERROR(__xludf.DUMMYFUNCTION("GOOGLETRANSLATE(C2602,""en"",""pl"")"),"grzmi")</f>
        <v>grzmi</v>
      </c>
    </row>
    <row r="2603">
      <c r="C2603" s="1" t="s">
        <v>2599</v>
      </c>
      <c r="D2603" s="3" t="str">
        <f>IFERROR(__xludf.DUMMYFUNCTION("GOOGLETRANSLATE(C2603,""en"",""pl"")"),"gęsty")</f>
        <v>gęsty</v>
      </c>
    </row>
    <row r="2604">
      <c r="C2604" s="1" t="s">
        <v>2600</v>
      </c>
      <c r="D2604" s="3" t="str">
        <f>IFERROR(__xludf.DUMMYFUNCTION("GOOGLETRANSLATE(C2604,""en"",""pl"")"),"przypięty")</f>
        <v>przypięty</v>
      </c>
    </row>
    <row r="2605">
      <c r="C2605" s="1" t="s">
        <v>2601</v>
      </c>
      <c r="D2605" s="3" t="str">
        <f>IFERROR(__xludf.DUMMYFUNCTION("GOOGLETRANSLATE(C2605,""en"",""pl"")"),"aż do")</f>
        <v>aż do</v>
      </c>
    </row>
    <row r="2606">
      <c r="C2606" s="1" t="s">
        <v>2602</v>
      </c>
      <c r="D2606" s="3" t="str">
        <f>IFERROR(__xludf.DUMMYFUNCTION("GOOGLETRANSLATE(C2606,""en"",""pl"")"),"ukłon")</f>
        <v>ukłon</v>
      </c>
    </row>
    <row r="2607">
      <c r="C2607" s="1" t="s">
        <v>2603</v>
      </c>
      <c r="D2607" s="3" t="str">
        <f>IFERROR(__xludf.DUMMYFUNCTION("GOOGLETRANSLATE(C2607,""en"",""pl"")"),"schrupać")</f>
        <v>schrupać</v>
      </c>
    </row>
    <row r="2608">
      <c r="C2608" s="1" t="s">
        <v>2604</v>
      </c>
      <c r="D2608" s="3" t="str">
        <f>IFERROR(__xludf.DUMMYFUNCTION("GOOGLETRANSLATE(C2608,""en"",""pl"")"),"plamy")</f>
        <v>plamy</v>
      </c>
    </row>
    <row r="2609">
      <c r="C2609" s="1" t="s">
        <v>2605</v>
      </c>
      <c r="D2609" s="3" t="str">
        <f>IFERROR(__xludf.DUMMYFUNCTION("GOOGLETRANSLATE(C2609,""en"",""pl"")"),"nerwowo")</f>
        <v>nerwowo</v>
      </c>
    </row>
    <row r="2610">
      <c r="C2610" s="1" t="s">
        <v>2606</v>
      </c>
      <c r="D2610" s="3" t="str">
        <f>IFERROR(__xludf.DUMMYFUNCTION("GOOGLETRANSLATE(C2610,""en"",""pl"")"),"Karaiby")</f>
        <v>Karaiby</v>
      </c>
    </row>
    <row r="2611">
      <c r="C2611" s="1" t="s">
        <v>2607</v>
      </c>
      <c r="D2611" s="3" t="str">
        <f>IFERROR(__xludf.DUMMYFUNCTION("GOOGLETRANSLATE(C2611,""en"",""pl"")"),"bukiet")</f>
        <v>bukiet</v>
      </c>
    </row>
    <row r="2612">
      <c r="C2612" s="1" t="s">
        <v>2608</v>
      </c>
      <c r="D2612" s="3" t="str">
        <f>IFERROR(__xludf.DUMMYFUNCTION("GOOGLETRANSLATE(C2612,""en"",""pl"")"),"dźgnięcie nożem")</f>
        <v>dźgnięcie nożem</v>
      </c>
    </row>
    <row r="2613">
      <c r="C2613" s="1" t="s">
        <v>2609</v>
      </c>
      <c r="D2613" s="3" t="str">
        <f>IFERROR(__xludf.DUMMYFUNCTION("GOOGLETRANSLATE(C2613,""en"",""pl"")"),"śruby")</f>
        <v>śruby</v>
      </c>
    </row>
    <row r="2614">
      <c r="C2614" s="1" t="s">
        <v>2610</v>
      </c>
      <c r="D2614" s="3" t="str">
        <f>IFERROR(__xludf.DUMMYFUNCTION("GOOGLETRANSLATE(C2614,""en"",""pl"")"),"Boone")</f>
        <v>Boone</v>
      </c>
    </row>
    <row r="2615">
      <c r="C2615" s="1" t="s">
        <v>2611</v>
      </c>
      <c r="D2615" s="3" t="str">
        <f>IFERROR(__xludf.DUMMYFUNCTION("GOOGLETRANSLATE(C2615,""en"",""pl"")"),"filozof")</f>
        <v>filozof</v>
      </c>
    </row>
    <row r="2616">
      <c r="C2616" s="1" t="s">
        <v>2612</v>
      </c>
      <c r="D2616" s="3" t="str">
        <f>IFERROR(__xludf.DUMMYFUNCTION("GOOGLETRANSLATE(C2616,""en"",""pl"")"),"żarówka")</f>
        <v>żarówka</v>
      </c>
    </row>
    <row r="2617">
      <c r="C2617" s="1" t="s">
        <v>2613</v>
      </c>
      <c r="D2617" s="3" t="str">
        <f>IFERROR(__xludf.DUMMYFUNCTION("GOOGLETRANSLATE(C2617,""en"",""pl"")"),"grzesznik")</f>
        <v>grzesznik</v>
      </c>
    </row>
    <row r="2618">
      <c r="C2618" s="1" t="s">
        <v>2614</v>
      </c>
      <c r="D2618" s="3" t="str">
        <f>IFERROR(__xludf.DUMMYFUNCTION("GOOGLETRANSLATE(C2618,""en"",""pl"")"),"bieżący")</f>
        <v>bieżący</v>
      </c>
    </row>
    <row r="2619">
      <c r="C2619" s="1" t="s">
        <v>2615</v>
      </c>
      <c r="D2619" s="3" t="str">
        <f>IFERROR(__xludf.DUMMYFUNCTION("GOOGLETRANSLATE(C2619,""en"",""pl"")"),"redagowanie")</f>
        <v>redagowanie</v>
      </c>
    </row>
    <row r="2620">
      <c r="C2620" s="1" t="s">
        <v>2616</v>
      </c>
      <c r="D2620" s="3" t="str">
        <f>IFERROR(__xludf.DUMMYFUNCTION("GOOGLETRANSLATE(C2620,""en"",""pl"")"),"weteran")</f>
        <v>weteran</v>
      </c>
    </row>
    <row r="2621">
      <c r="C2621" s="1" t="s">
        <v>2617</v>
      </c>
      <c r="D2621" s="3" t="str">
        <f>IFERROR(__xludf.DUMMYFUNCTION("GOOGLETRANSLATE(C2621,""en"",""pl"")"),"kroplówka")</f>
        <v>kroplówka</v>
      </c>
    </row>
    <row r="2622">
      <c r="C2622" s="1" t="s">
        <v>2618</v>
      </c>
      <c r="D2622" s="3" t="str">
        <f>IFERROR(__xludf.DUMMYFUNCTION("GOOGLETRANSLATE(C2622,""en"",""pl"")"),"R.")</f>
        <v>R.</v>
      </c>
    </row>
    <row r="2623">
      <c r="C2623" s="1" t="s">
        <v>2619</v>
      </c>
      <c r="D2623" s="3" t="str">
        <f>IFERROR(__xludf.DUMMYFUNCTION("GOOGLETRANSLATE(C2623,""en"",""pl"")"),"mara")</f>
        <v>mara</v>
      </c>
    </row>
    <row r="2624">
      <c r="C2624" s="1" t="s">
        <v>2620</v>
      </c>
      <c r="D2624" s="3" t="str">
        <f>IFERROR(__xludf.DUMMYFUNCTION("GOOGLETRANSLATE(C2624,""en"",""pl"")"),"inspirujący")</f>
        <v>inspirujący</v>
      </c>
    </row>
    <row r="2625">
      <c r="C2625" s="1" t="s">
        <v>2621</v>
      </c>
      <c r="D2625" s="3" t="str">
        <f>IFERROR(__xludf.DUMMYFUNCTION("GOOGLETRANSLATE(C2625,""en"",""pl"")"),"wichura")</f>
        <v>wichura</v>
      </c>
    </row>
    <row r="2626">
      <c r="C2626" s="1" t="s">
        <v>2622</v>
      </c>
      <c r="D2626" s="3" t="str">
        <f>IFERROR(__xludf.DUMMYFUNCTION("GOOGLETRANSLATE(C2626,""en"",""pl"")"),"krzemień")</f>
        <v>krzemień</v>
      </c>
    </row>
    <row r="2627">
      <c r="C2627" s="1" t="s">
        <v>2623</v>
      </c>
      <c r="D2627" s="3" t="str">
        <f>IFERROR(__xludf.DUMMYFUNCTION("GOOGLETRANSLATE(C2627,""en"",""pl"")"),"nowa")</f>
        <v>nowa</v>
      </c>
    </row>
    <row r="2628">
      <c r="C2628" s="1" t="s">
        <v>2624</v>
      </c>
      <c r="D2628" s="3" t="str">
        <f>IFERROR(__xludf.DUMMYFUNCTION("GOOGLETRANSLATE(C2628,""en"",""pl"")"),"Nevada")</f>
        <v>Nevada</v>
      </c>
    </row>
    <row r="2629">
      <c r="C2629" s="1" t="s">
        <v>2625</v>
      </c>
      <c r="D2629" s="3" t="str">
        <f>IFERROR(__xludf.DUMMYFUNCTION("GOOGLETRANSLATE(C2629,""en"",""pl"")"),"obsada")</f>
        <v>obsada</v>
      </c>
    </row>
    <row r="2630">
      <c r="C2630" s="1" t="s">
        <v>2626</v>
      </c>
      <c r="D2630" s="3" t="str">
        <f>IFERROR(__xludf.DUMMYFUNCTION("GOOGLETRANSLATE(C2630,""en"",""pl"")"),"członkostwo")</f>
        <v>członkostwo</v>
      </c>
    </row>
    <row r="2631">
      <c r="C2631" s="1" t="s">
        <v>2627</v>
      </c>
      <c r="D2631" s="3" t="str">
        <f>IFERROR(__xludf.DUMMYFUNCTION("GOOGLETRANSLATE(C2631,""en"",""pl"")"),"Portoryko")</f>
        <v>Portoryko</v>
      </c>
    </row>
    <row r="2632">
      <c r="C2632" s="1" t="s">
        <v>2628</v>
      </c>
      <c r="D2632" s="3" t="str">
        <f>IFERROR(__xludf.DUMMYFUNCTION("GOOGLETRANSLATE(C2632,""en"",""pl"")"),"Rafał")</f>
        <v>Rafał</v>
      </c>
    </row>
    <row r="2633">
      <c r="C2633" s="1" t="s">
        <v>2629</v>
      </c>
      <c r="D2633" s="3" t="str">
        <f>IFERROR(__xludf.DUMMYFUNCTION("GOOGLETRANSLATE(C2633,""en"",""pl"")"),"kreda")</f>
        <v>kreda</v>
      </c>
    </row>
    <row r="2634">
      <c r="C2634" s="1" t="s">
        <v>2630</v>
      </c>
      <c r="D2634" s="3" t="str">
        <f>IFERROR(__xludf.DUMMYFUNCTION("GOOGLETRANSLATE(C2634,""en"",""pl"")"),"podatny")</f>
        <v>podatny</v>
      </c>
    </row>
    <row r="2635">
      <c r="C2635" s="1" t="s">
        <v>2631</v>
      </c>
      <c r="D2635" s="3" t="str">
        <f>IFERROR(__xludf.DUMMYFUNCTION("GOOGLETRANSLATE(C2635,""en"",""pl"")"),"rękopis")</f>
        <v>rękopis</v>
      </c>
    </row>
    <row r="2636">
      <c r="C2636" s="1" t="s">
        <v>2632</v>
      </c>
      <c r="D2636" s="3" t="str">
        <f>IFERROR(__xludf.DUMMYFUNCTION("GOOGLETRANSLATE(C2636,""en"",""pl"")"),"H.")</f>
        <v>H.</v>
      </c>
    </row>
    <row r="2637">
      <c r="C2637" s="1" t="s">
        <v>2633</v>
      </c>
      <c r="D2637" s="3" t="str">
        <f>IFERROR(__xludf.DUMMYFUNCTION("GOOGLETRANSLATE(C2637,""en"",""pl"")"),"zorganizowany")</f>
        <v>zorganizowany</v>
      </c>
    </row>
    <row r="2638">
      <c r="C2638" s="1" t="s">
        <v>2634</v>
      </c>
      <c r="D2638" s="3" t="str">
        <f>IFERROR(__xludf.DUMMYFUNCTION("GOOGLETRANSLATE(C2638,""en"",""pl"")"),"brzęczący")</f>
        <v>brzęczący</v>
      </c>
    </row>
    <row r="2639">
      <c r="C2639" s="1" t="s">
        <v>2635</v>
      </c>
      <c r="D2639" s="3" t="str">
        <f>IFERROR(__xludf.DUMMYFUNCTION("GOOGLETRANSLATE(C2639,""en"",""pl"")"),"rynki")</f>
        <v>rynki</v>
      </c>
    </row>
    <row r="2640">
      <c r="C2640" s="1" t="s">
        <v>2636</v>
      </c>
      <c r="D2640" s="3" t="str">
        <f>IFERROR(__xludf.DUMMYFUNCTION("GOOGLETRANSLATE(C2640,""en"",""pl"")"),"rama")</f>
        <v>rama</v>
      </c>
    </row>
    <row r="2641">
      <c r="C2641" s="1" t="s">
        <v>2637</v>
      </c>
      <c r="D2641" s="3" t="str">
        <f>IFERROR(__xludf.DUMMYFUNCTION("GOOGLETRANSLATE(C2641,""en"",""pl"")"),"Austria")</f>
        <v>Austria</v>
      </c>
    </row>
    <row r="2642">
      <c r="C2642" s="1" t="s">
        <v>2638</v>
      </c>
      <c r="D2642" s="3" t="str">
        <f>IFERROR(__xludf.DUMMYFUNCTION("GOOGLETRANSLATE(C2642,""en"",""pl"")"),"czekoladki")</f>
        <v>czekoladki</v>
      </c>
    </row>
    <row r="2643">
      <c r="C2643" s="1" t="s">
        <v>2639</v>
      </c>
      <c r="D2643" s="3" t="str">
        <f>IFERROR(__xludf.DUMMYFUNCTION("GOOGLETRANSLATE(C2643,""en"",""pl"")"),"ja.")</f>
        <v>ja.</v>
      </c>
    </row>
    <row r="2644">
      <c r="C2644" s="1" t="s">
        <v>2640</v>
      </c>
      <c r="D2644" s="3" t="str">
        <f>IFERROR(__xludf.DUMMYFUNCTION("GOOGLETRANSLATE(C2644,""en"",""pl"")"),"handel ludźmi")</f>
        <v>handel ludźmi</v>
      </c>
    </row>
    <row r="2645">
      <c r="C2645" s="1" t="s">
        <v>2641</v>
      </c>
      <c r="D2645" s="3" t="str">
        <f>IFERROR(__xludf.DUMMYFUNCTION("GOOGLETRANSLATE(C2645,""en"",""pl"")"),"Filadelfia")</f>
        <v>Filadelfia</v>
      </c>
    </row>
    <row r="2646">
      <c r="C2646" s="1" t="s">
        <v>2642</v>
      </c>
      <c r="D2646" s="3" t="str">
        <f>IFERROR(__xludf.DUMMYFUNCTION("GOOGLETRANSLATE(C2646,""en"",""pl"")"),"nieświadomy")</f>
        <v>nieświadomy</v>
      </c>
    </row>
    <row r="2647">
      <c r="C2647" s="1" t="s">
        <v>2643</v>
      </c>
      <c r="D2647" s="3" t="str">
        <f>IFERROR(__xludf.DUMMYFUNCTION("GOOGLETRANSLATE(C2647,""en"",""pl"")"),"łup")</f>
        <v>łup</v>
      </c>
    </row>
    <row r="2648">
      <c r="C2648" s="1" t="s">
        <v>2644</v>
      </c>
      <c r="D2648" s="3" t="str">
        <f>IFERROR(__xludf.DUMMYFUNCTION("GOOGLETRANSLATE(C2648,""en"",""pl"")"),"zginąć")</f>
        <v>zginąć</v>
      </c>
    </row>
    <row r="2649">
      <c r="C2649" s="1" t="s">
        <v>2645</v>
      </c>
      <c r="D2649" s="3" t="str">
        <f>IFERROR(__xludf.DUMMYFUNCTION("GOOGLETRANSLATE(C2649,""en"",""pl"")"),"obrobiony")</f>
        <v>obrobiony</v>
      </c>
    </row>
    <row r="2650">
      <c r="C2650" s="1" t="s">
        <v>2646</v>
      </c>
      <c r="D2650" s="3" t="str">
        <f>IFERROR(__xludf.DUMMYFUNCTION("GOOGLETRANSLATE(C2650,""en"",""pl"")"),"klon")</f>
        <v>klon</v>
      </c>
    </row>
    <row r="2651">
      <c r="C2651" s="1" t="s">
        <v>2647</v>
      </c>
      <c r="D2651" s="3" t="str">
        <f>IFERROR(__xludf.DUMMYFUNCTION("GOOGLETRANSLATE(C2651,""en"",""pl"")"),"szum")</f>
        <v>szum</v>
      </c>
    </row>
    <row r="2652">
      <c r="C2652" s="1" t="s">
        <v>2648</v>
      </c>
      <c r="D2652" s="3" t="str">
        <f>IFERROR(__xludf.DUMMYFUNCTION("GOOGLETRANSLATE(C2652,""en"",""pl"")"),"kac")</f>
        <v>kac</v>
      </c>
    </row>
    <row r="2653">
      <c r="C2653" s="1" t="s">
        <v>2649</v>
      </c>
      <c r="D2653" s="3" t="str">
        <f>IFERROR(__xludf.DUMMYFUNCTION("GOOGLETRANSLATE(C2653,""en"",""pl"")"),"pochlebiać")</f>
        <v>pochlebiać</v>
      </c>
    </row>
    <row r="2654">
      <c r="C2654" s="1" t="s">
        <v>2650</v>
      </c>
      <c r="D2654" s="3" t="str">
        <f>IFERROR(__xludf.DUMMYFUNCTION("GOOGLETRANSLATE(C2654,""en"",""pl"")"),"nieszczęśnik")</f>
        <v>nieszczęśnik</v>
      </c>
    </row>
    <row r="2655">
      <c r="C2655" s="1" t="s">
        <v>2651</v>
      </c>
      <c r="D2655" s="3" t="str">
        <f>IFERROR(__xludf.DUMMYFUNCTION("GOOGLETRANSLATE(C2655,""en"",""pl"")"),"łasica")</f>
        <v>łasica</v>
      </c>
    </row>
    <row r="2656">
      <c r="C2656" s="1" t="s">
        <v>2652</v>
      </c>
      <c r="D2656" s="3" t="str">
        <f>IFERROR(__xludf.DUMMYFUNCTION("GOOGLETRANSLATE(C2656,""en"",""pl"")"),"Kolumbia")</f>
        <v>Kolumbia</v>
      </c>
    </row>
    <row r="2657">
      <c r="C2657" s="1" t="s">
        <v>2653</v>
      </c>
      <c r="D2657" s="3" t="str">
        <f>IFERROR(__xludf.DUMMYFUNCTION("GOOGLETRANSLATE(C2657,""en"",""pl"")"),"izraelski")</f>
        <v>izraelski</v>
      </c>
    </row>
    <row r="2658">
      <c r="C2658" s="1" t="s">
        <v>2654</v>
      </c>
      <c r="D2658" s="3" t="str">
        <f>IFERROR(__xludf.DUMMYFUNCTION("GOOGLETRANSLATE(C2658,""en"",""pl"")"),"rozbija")</f>
        <v>rozbija</v>
      </c>
    </row>
    <row r="2659">
      <c r="C2659" s="1" t="s">
        <v>2655</v>
      </c>
      <c r="D2659" s="3" t="str">
        <f>IFERROR(__xludf.DUMMYFUNCTION("GOOGLETRANSLATE(C2659,""en"",""pl"")"),"koronka")</f>
        <v>koronka</v>
      </c>
    </row>
    <row r="2660">
      <c r="C2660" s="1" t="s">
        <v>2656</v>
      </c>
      <c r="D2660" s="3" t="str">
        <f>IFERROR(__xludf.DUMMYFUNCTION("GOOGLETRANSLATE(C2660,""en"",""pl"")"),"wskazanie")</f>
        <v>wskazanie</v>
      </c>
    </row>
    <row r="2661">
      <c r="C2661" s="1" t="s">
        <v>2657</v>
      </c>
      <c r="D2661" s="3" t="str">
        <f>IFERROR(__xludf.DUMMYFUNCTION("GOOGLETRANSLATE(C2661,""en"",""pl"")"),"Allan")</f>
        <v>Allan</v>
      </c>
    </row>
    <row r="2662">
      <c r="C2662" s="1" t="s">
        <v>2658</v>
      </c>
      <c r="D2662" s="3" t="str">
        <f>IFERROR(__xludf.DUMMYFUNCTION("GOOGLETRANSLATE(C2662,""en"",""pl"")"),"Kora")</f>
        <v>Kora</v>
      </c>
    </row>
    <row r="2663">
      <c r="C2663" s="1" t="s">
        <v>2659</v>
      </c>
      <c r="D2663" s="3" t="str">
        <f>IFERROR(__xludf.DUMMYFUNCTION("GOOGLETRANSLATE(C2663,""en"",""pl"")"),"dryfowanie")</f>
        <v>dryfowanie</v>
      </c>
    </row>
    <row r="2664">
      <c r="C2664" s="1" t="s">
        <v>2660</v>
      </c>
      <c r="D2664" s="3" t="str">
        <f>IFERROR(__xludf.DUMMYFUNCTION("GOOGLETRANSLATE(C2664,""en"",""pl"")"),"Grady")</f>
        <v>Grady</v>
      </c>
    </row>
    <row r="2665">
      <c r="C2665" s="1" t="s">
        <v>2661</v>
      </c>
      <c r="D2665" s="3" t="str">
        <f>IFERROR(__xludf.DUMMYFUNCTION("GOOGLETRANSLATE(C2665,""en"",""pl"")"),"rozbierać")</f>
        <v>rozbierać</v>
      </c>
    </row>
    <row r="2666">
      <c r="C2666" s="1" t="s">
        <v>2662</v>
      </c>
      <c r="D2666" s="3" t="str">
        <f>IFERROR(__xludf.DUMMYFUNCTION("GOOGLETRANSLATE(C2666,""en"",""pl"")"),"delfin")</f>
        <v>delfin</v>
      </c>
    </row>
    <row r="2667">
      <c r="C2667" s="1" t="s">
        <v>2663</v>
      </c>
      <c r="D2667" s="3" t="str">
        <f>IFERROR(__xludf.DUMMYFUNCTION("GOOGLETRANSLATE(C2667,""en"",""pl"")"),"fałszywy")</f>
        <v>fałszywy</v>
      </c>
    </row>
    <row r="2668">
      <c r="C2668" s="1" t="s">
        <v>2664</v>
      </c>
      <c r="D2668" s="3" t="str">
        <f>IFERROR(__xludf.DUMMYFUNCTION("GOOGLETRANSLATE(C2668,""en"",""pl"")"),"odjeżdżać")</f>
        <v>odjeżdżać</v>
      </c>
    </row>
    <row r="2669">
      <c r="C2669" s="1" t="s">
        <v>2665</v>
      </c>
      <c r="D2669" s="3" t="str">
        <f>IFERROR(__xludf.DUMMYFUNCTION("GOOGLETRANSLATE(C2669,""en"",""pl"")"),"pomnik")</f>
        <v>pomnik</v>
      </c>
    </row>
    <row r="2670">
      <c r="C2670" s="1" t="s">
        <v>2666</v>
      </c>
      <c r="D2670" s="3" t="str">
        <f>IFERROR(__xludf.DUMMYFUNCTION("GOOGLETRANSLATE(C2670,""en"",""pl"")"),"opony")</f>
        <v>opony</v>
      </c>
    </row>
    <row r="2671">
      <c r="C2671" s="1" t="s">
        <v>2667</v>
      </c>
      <c r="D2671" s="3" t="str">
        <f>IFERROR(__xludf.DUMMYFUNCTION("GOOGLETRANSLATE(C2671,""en"",""pl"")"),"marysia")</f>
        <v>marysia</v>
      </c>
    </row>
    <row r="2672">
      <c r="C2672" s="1" t="s">
        <v>2668</v>
      </c>
      <c r="D2672" s="3" t="str">
        <f>IFERROR(__xludf.DUMMYFUNCTION("GOOGLETRANSLATE(C2672,""en"",""pl"")"),"Lotaryngia")</f>
        <v>Lotaryngia</v>
      </c>
    </row>
    <row r="2673">
      <c r="C2673" s="1" t="s">
        <v>2669</v>
      </c>
      <c r="D2673" s="3" t="str">
        <f>IFERROR(__xludf.DUMMYFUNCTION("GOOGLETRANSLATE(C2673,""en"",""pl"")"),"pow")</f>
        <v>pow</v>
      </c>
    </row>
    <row r="2674">
      <c r="C2674" s="1" t="s">
        <v>2670</v>
      </c>
      <c r="D2674" s="3" t="str">
        <f>IFERROR(__xludf.DUMMYFUNCTION("GOOGLETRANSLATE(C2674,""en"",""pl"")"),"najechać")</f>
        <v>najechać</v>
      </c>
    </row>
    <row r="2675">
      <c r="C2675" s="1" t="s">
        <v>2671</v>
      </c>
      <c r="D2675" s="3" t="str">
        <f>IFERROR(__xludf.DUMMYFUNCTION("GOOGLETRANSLATE(C2675,""en"",""pl"")"),"Scooby-Doo")</f>
        <v>Scooby-Doo</v>
      </c>
    </row>
    <row r="2676">
      <c r="C2676" s="1" t="s">
        <v>2672</v>
      </c>
      <c r="D2676" s="3" t="str">
        <f>IFERROR(__xludf.DUMMYFUNCTION("GOOGLETRANSLATE(C2676,""en"",""pl"")"),"piwny")</f>
        <v>piwny</v>
      </c>
    </row>
    <row r="2677">
      <c r="C2677" s="1" t="s">
        <v>2673</v>
      </c>
      <c r="D2677" s="3" t="str">
        <f>IFERROR(__xludf.DUMMYFUNCTION("GOOGLETRANSLATE(C2677,""en"",""pl"")"),"rozpustnik")</f>
        <v>rozpustnik</v>
      </c>
    </row>
    <row r="2678">
      <c r="C2678" s="4" t="s">
        <v>2240</v>
      </c>
      <c r="D2678" s="3" t="str">
        <f>IFERROR(__xludf.DUMMYFUNCTION("GOOGLETRANSLATE(C2678,""en"",""pl"")"),"est")</f>
        <v>est</v>
      </c>
    </row>
    <row r="2679">
      <c r="C2679" s="1" t="s">
        <v>2674</v>
      </c>
      <c r="D2679" s="3" t="str">
        <f>IFERROR(__xludf.DUMMYFUNCTION("GOOGLETRANSLATE(C2679,""en"",""pl"")"),"cięższy")</f>
        <v>cięższy</v>
      </c>
    </row>
    <row r="2680">
      <c r="C2680" s="1" t="s">
        <v>2675</v>
      </c>
      <c r="D2680" s="3" t="str">
        <f>IFERROR(__xludf.DUMMYFUNCTION("GOOGLETRANSLATE(C2680,""en"",""pl"")"),"tarta")</f>
        <v>tarta</v>
      </c>
    </row>
    <row r="2681">
      <c r="C2681" s="1" t="s">
        <v>2676</v>
      </c>
      <c r="D2681" s="3" t="str">
        <f>IFERROR(__xludf.DUMMYFUNCTION("GOOGLETRANSLATE(C2681,""en"",""pl"")"),"drwiący")</f>
        <v>drwiący</v>
      </c>
    </row>
    <row r="2682">
      <c r="C2682" s="1" t="s">
        <v>2677</v>
      </c>
      <c r="D2682" s="3" t="str">
        <f>IFERROR(__xludf.DUMMYFUNCTION("GOOGLETRANSLATE(C2682,""en"",""pl"")"),"zapomina")</f>
        <v>zapomina</v>
      </c>
    </row>
    <row r="2683">
      <c r="C2683" s="1" t="s">
        <v>2678</v>
      </c>
      <c r="D2683" s="3" t="str">
        <f>IFERROR(__xludf.DUMMYFUNCTION("GOOGLETRANSLATE(C2683,""en"",""pl"")"),"złowrogi")</f>
        <v>złowrogi</v>
      </c>
    </row>
    <row r="2684">
      <c r="C2684" s="1" t="s">
        <v>2679</v>
      </c>
      <c r="D2684" s="3" t="str">
        <f>IFERROR(__xludf.DUMMYFUNCTION("GOOGLETRANSLATE(C2684,""en"",""pl"")"),"chrystus")</f>
        <v>chrystus</v>
      </c>
    </row>
    <row r="2685">
      <c r="C2685" s="1" t="s">
        <v>2680</v>
      </c>
      <c r="D2685" s="3" t="str">
        <f>IFERROR(__xludf.DUMMYFUNCTION("GOOGLETRANSLATE(C2685,""en"",""pl"")"),"zręczność")</f>
        <v>zręczność</v>
      </c>
    </row>
    <row r="2686">
      <c r="C2686" s="1" t="s">
        <v>2681</v>
      </c>
      <c r="D2686" s="3" t="str">
        <f>IFERROR(__xludf.DUMMYFUNCTION("GOOGLETRANSLATE(C2686,""en"",""pl"")"),"Judasz")</f>
        <v>Judasz</v>
      </c>
    </row>
    <row r="2687">
      <c r="C2687" s="1" t="s">
        <v>2682</v>
      </c>
      <c r="D2687" s="3" t="str">
        <f>IFERROR(__xludf.DUMMYFUNCTION("GOOGLETRANSLATE(C2687,""en"",""pl"")"),"gromadzić się")</f>
        <v>gromadzić się</v>
      </c>
    </row>
    <row r="2688">
      <c r="C2688" s="1" t="s">
        <v>2683</v>
      </c>
      <c r="D2688" s="3" t="str">
        <f>IFERROR(__xludf.DUMMYFUNCTION("GOOGLETRANSLATE(C2688,""en"",""pl"")"),"skrót")</f>
        <v>skrót</v>
      </c>
    </row>
    <row r="2689">
      <c r="C2689" s="1" t="s">
        <v>2684</v>
      </c>
      <c r="D2689" s="3" t="str">
        <f>IFERROR(__xludf.DUMMYFUNCTION("GOOGLETRANSLATE(C2689,""en"",""pl"")"),"transformacja")</f>
        <v>transformacja</v>
      </c>
    </row>
    <row r="2690">
      <c r="C2690" s="1" t="s">
        <v>2685</v>
      </c>
      <c r="D2690" s="3" t="str">
        <f>IFERROR(__xludf.DUMMYFUNCTION("GOOGLETRANSLATE(C2690,""en"",""pl"")"),"posty")</f>
        <v>posty</v>
      </c>
    </row>
    <row r="2691">
      <c r="C2691" s="1" t="s">
        <v>2686</v>
      </c>
      <c r="D2691" s="3" t="str">
        <f>IFERROR(__xludf.DUMMYFUNCTION("GOOGLETRANSLATE(C2691,""en"",""pl"")"),"hojność")</f>
        <v>hojność</v>
      </c>
    </row>
    <row r="2692">
      <c r="C2692" s="1" t="s">
        <v>2687</v>
      </c>
      <c r="D2692" s="3" t="str">
        <f>IFERROR(__xludf.DUMMYFUNCTION("GOOGLETRANSLATE(C2692,""en"",""pl"")"),"rozrywka")</f>
        <v>rozrywka</v>
      </c>
    </row>
    <row r="2693">
      <c r="C2693" s="1" t="s">
        <v>2688</v>
      </c>
      <c r="D2693" s="3" t="str">
        <f>IFERROR(__xludf.DUMMYFUNCTION("GOOGLETRANSLATE(C2693,""en"",""pl"")"),"beta")</f>
        <v>beta</v>
      </c>
    </row>
    <row r="2694">
      <c r="C2694" s="1" t="s">
        <v>2689</v>
      </c>
      <c r="D2694" s="3" t="str">
        <f>IFERROR(__xludf.DUMMYFUNCTION("GOOGLETRANSLATE(C2694,""en"",""pl"")"),"doradztwo")</f>
        <v>doradztwo</v>
      </c>
    </row>
    <row r="2695">
      <c r="C2695" s="1" t="s">
        <v>2690</v>
      </c>
      <c r="D2695" s="3" t="str">
        <f>IFERROR(__xludf.DUMMYFUNCTION("GOOGLETRANSLATE(C2695,""en"",""pl"")"),"bobo")</f>
        <v>bobo</v>
      </c>
    </row>
    <row r="2696">
      <c r="C2696" s="1" t="s">
        <v>2691</v>
      </c>
      <c r="D2696" s="3" t="str">
        <f>IFERROR(__xludf.DUMMYFUNCTION("GOOGLETRANSLATE(C2696,""en"",""pl"")"),"korona")</f>
        <v>korona</v>
      </c>
    </row>
    <row r="2697">
      <c r="C2697" s="1" t="s">
        <v>2692</v>
      </c>
      <c r="D2697" s="3" t="str">
        <f>IFERROR(__xludf.DUMMYFUNCTION("GOOGLETRANSLATE(C2697,""en"",""pl"")"),"porwany")</f>
        <v>porwany</v>
      </c>
    </row>
    <row r="2698">
      <c r="C2698" s="1" t="s">
        <v>2693</v>
      </c>
      <c r="D2698" s="3" t="str">
        <f>IFERROR(__xludf.DUMMYFUNCTION("GOOGLETRANSLATE(C2698,""en"",""pl"")"),"phyllis")</f>
        <v>phyllis</v>
      </c>
    </row>
    <row r="2699">
      <c r="C2699" s="1" t="s">
        <v>2694</v>
      </c>
      <c r="D2699" s="3" t="str">
        <f>IFERROR(__xludf.DUMMYFUNCTION("GOOGLETRANSLATE(C2699,""en"",""pl"")"),"wymierzony")</f>
        <v>wymierzony</v>
      </c>
    </row>
    <row r="2700">
      <c r="C2700" s="1" t="s">
        <v>2695</v>
      </c>
      <c r="D2700" s="3" t="str">
        <f>IFERROR(__xludf.DUMMYFUNCTION("GOOGLETRANSLATE(C2700,""en"",""pl"")"),"gamma")</f>
        <v>gamma</v>
      </c>
    </row>
    <row r="2701">
      <c r="C2701" s="1" t="s">
        <v>2696</v>
      </c>
      <c r="D2701" s="3" t="str">
        <f>IFERROR(__xludf.DUMMYFUNCTION("GOOGLETRANSLATE(C2701,""en"",""pl"")"),"piski")</f>
        <v>piski</v>
      </c>
    </row>
    <row r="2702">
      <c r="C2702" s="1" t="s">
        <v>2697</v>
      </c>
      <c r="D2702" s="3" t="str">
        <f>IFERROR(__xludf.DUMMYFUNCTION("GOOGLETRANSLATE(C2702,""en"",""pl"")"),"widocznie")</f>
        <v>widocznie</v>
      </c>
    </row>
    <row r="2703">
      <c r="C2703" s="1" t="s">
        <v>2698</v>
      </c>
      <c r="D2703" s="3" t="str">
        <f>IFERROR(__xludf.DUMMYFUNCTION("GOOGLETRANSLATE(C2703,""en"",""pl"")"),"łagodny")</f>
        <v>łagodny</v>
      </c>
    </row>
    <row r="2704">
      <c r="C2704" s="1" t="s">
        <v>2699</v>
      </c>
      <c r="D2704" s="3" t="str">
        <f>IFERROR(__xludf.DUMMYFUNCTION("GOOGLETRANSLATE(C2704,""en"",""pl"")"),"caitlin")</f>
        <v>caitlin</v>
      </c>
    </row>
    <row r="2705">
      <c r="C2705" s="1" t="s">
        <v>2700</v>
      </c>
      <c r="D2705" s="3" t="str">
        <f>IFERROR(__xludf.DUMMYFUNCTION("GOOGLETRANSLATE(C2705,""en"",""pl"")"),"Dubai")</f>
        <v>Dubai</v>
      </c>
    </row>
    <row r="2706">
      <c r="C2706" s="1" t="s">
        <v>2701</v>
      </c>
      <c r="D2706" s="3" t="str">
        <f>IFERROR(__xludf.DUMMYFUNCTION("GOOGLETRANSLATE(C2706,""en"",""pl"")"),"latarnia")</f>
        <v>latarnia</v>
      </c>
    </row>
    <row r="2707">
      <c r="C2707" s="1" t="s">
        <v>2702</v>
      </c>
      <c r="D2707" s="3" t="str">
        <f>IFERROR(__xludf.DUMMYFUNCTION("GOOGLETRANSLATE(C2707,""en"",""pl"")"),"łączyć")</f>
        <v>łączyć</v>
      </c>
    </row>
    <row r="2708">
      <c r="C2708" s="1" t="s">
        <v>2703</v>
      </c>
      <c r="D2708" s="3" t="str">
        <f>IFERROR(__xludf.DUMMYFUNCTION("GOOGLETRANSLATE(C2708,""en"",""pl"")"),"Murzyn")</f>
        <v>Murzyn</v>
      </c>
    </row>
    <row r="2709">
      <c r="C2709" s="1" t="s">
        <v>2704</v>
      </c>
      <c r="D2709" s="3" t="str">
        <f>IFERROR(__xludf.DUMMYFUNCTION("GOOGLETRANSLATE(C2709,""en"",""pl"")"),"drzewo")</f>
        <v>drzewo</v>
      </c>
    </row>
    <row r="2710">
      <c r="C2710" s="1" t="s">
        <v>2705</v>
      </c>
      <c r="D2710" s="3" t="str">
        <f>IFERROR(__xludf.DUMMYFUNCTION("GOOGLETRANSLATE(C2710,""en"",""pl"")"),"Najtwardszy")</f>
        <v>Najtwardszy</v>
      </c>
    </row>
    <row r="2711">
      <c r="C2711" s="1" t="s">
        <v>2706</v>
      </c>
      <c r="D2711" s="3" t="str">
        <f>IFERROR(__xludf.DUMMYFUNCTION("GOOGLETRANSLATE(C2711,""en"",""pl"")"),"utykać")</f>
        <v>utykać</v>
      </c>
    </row>
    <row r="2712">
      <c r="C2712" s="1" t="s">
        <v>2707</v>
      </c>
      <c r="D2712" s="3" t="str">
        <f>IFERROR(__xludf.DUMMYFUNCTION("GOOGLETRANSLATE(C2712,""en"",""pl"")"),"sugerując")</f>
        <v>sugerując</v>
      </c>
    </row>
    <row r="2713">
      <c r="C2713" s="1" t="s">
        <v>2708</v>
      </c>
      <c r="D2713" s="3" t="str">
        <f>IFERROR(__xludf.DUMMYFUNCTION("GOOGLETRANSLATE(C2713,""en"",""pl"")"),"matryca")</f>
        <v>matryca</v>
      </c>
    </row>
    <row r="2714">
      <c r="C2714" s="1" t="s">
        <v>2709</v>
      </c>
      <c r="D2714" s="3" t="str">
        <f>IFERROR(__xludf.DUMMYFUNCTION("GOOGLETRANSLATE(C2714,""en"",""pl"")"),"kropki")</f>
        <v>kropki</v>
      </c>
    </row>
    <row r="2715">
      <c r="C2715" s="1" t="s">
        <v>2710</v>
      </c>
      <c r="D2715" s="3" t="str">
        <f>IFERROR(__xludf.DUMMYFUNCTION("GOOGLETRANSLATE(C2715,""en"",""pl"")"),"kilometry")</f>
        <v>kilometry</v>
      </c>
    </row>
    <row r="2716">
      <c r="C2716" s="1" t="s">
        <v>2711</v>
      </c>
      <c r="D2716" s="3" t="str">
        <f>IFERROR(__xludf.DUMMYFUNCTION("GOOGLETRANSLATE(C2716,""en"",""pl"")"),"ewakuacja")</f>
        <v>ewakuacja</v>
      </c>
    </row>
    <row r="2717">
      <c r="C2717" s="1" t="s">
        <v>2712</v>
      </c>
      <c r="D2717" s="3" t="str">
        <f>IFERROR(__xludf.DUMMYFUNCTION("GOOGLETRANSLATE(C2717,""en"",""pl"")"),"najwcześniejszy")</f>
        <v>najwcześniejszy</v>
      </c>
    </row>
    <row r="2718">
      <c r="C2718" s="1" t="s">
        <v>2713</v>
      </c>
      <c r="D2718" s="3" t="str">
        <f>IFERROR(__xludf.DUMMYFUNCTION("GOOGLETRANSLATE(C2718,""en"",""pl"")"),"niekompetentny")</f>
        <v>niekompetentny</v>
      </c>
    </row>
    <row r="2719">
      <c r="C2719" s="1" t="s">
        <v>2714</v>
      </c>
      <c r="D2719" s="3" t="str">
        <f>IFERROR(__xludf.DUMMYFUNCTION("GOOGLETRANSLATE(C2719,""en"",""pl"")"),"zamknięcie")</f>
        <v>zamknięcie</v>
      </c>
    </row>
    <row r="2720">
      <c r="C2720" s="1" t="s">
        <v>2715</v>
      </c>
      <c r="D2720" s="3" t="str">
        <f>IFERROR(__xludf.DUMMYFUNCTION("GOOGLETRANSLATE(C2720,""en"",""pl"")"),"zejście")</f>
        <v>zejście</v>
      </c>
    </row>
    <row r="2721">
      <c r="C2721" s="1" t="s">
        <v>2716</v>
      </c>
      <c r="D2721" s="3" t="str">
        <f>IFERROR(__xludf.DUMMYFUNCTION("GOOGLETRANSLATE(C2721,""en"",""pl"")"),"spadochron")</f>
        <v>spadochron</v>
      </c>
    </row>
    <row r="2722">
      <c r="C2722" s="1" t="s">
        <v>2717</v>
      </c>
      <c r="D2722" s="3" t="str">
        <f>IFERROR(__xludf.DUMMYFUNCTION("GOOGLETRANSLATE(C2722,""en"",""pl"")"),"analizować")</f>
        <v>analizować</v>
      </c>
    </row>
    <row r="2723">
      <c r="C2723" s="1" t="s">
        <v>2718</v>
      </c>
      <c r="D2723" s="3" t="str">
        <f>IFERROR(__xludf.DUMMYFUNCTION("GOOGLETRANSLATE(C2723,""en"",""pl"")"),"miażdżący")</f>
        <v>miażdżący</v>
      </c>
    </row>
    <row r="2724">
      <c r="C2724" s="1" t="s">
        <v>2719</v>
      </c>
      <c r="D2724" s="3" t="str">
        <f>IFERROR(__xludf.DUMMYFUNCTION("GOOGLETRANSLATE(C2724,""en"",""pl"")"),"koledzy z klasy")</f>
        <v>koledzy z klasy</v>
      </c>
    </row>
    <row r="2725">
      <c r="C2725" s="1" t="s">
        <v>2720</v>
      </c>
      <c r="D2725" s="3" t="str">
        <f>IFERROR(__xludf.DUMMYFUNCTION("GOOGLETRANSLATE(C2725,""en"",""pl"")"),"nadmierny")</f>
        <v>nadmierny</v>
      </c>
    </row>
    <row r="2726">
      <c r="C2726" s="1" t="s">
        <v>2721</v>
      </c>
      <c r="D2726" s="3" t="str">
        <f>IFERROR(__xludf.DUMMYFUNCTION("GOOGLETRANSLATE(C2726,""en"",""pl"")"),"ciaśniejszy")</f>
        <v>ciaśniejszy</v>
      </c>
    </row>
    <row r="2727">
      <c r="C2727" s="1" t="s">
        <v>2722</v>
      </c>
      <c r="D2727" s="3" t="str">
        <f>IFERROR(__xludf.DUMMYFUNCTION("GOOGLETRANSLATE(C2727,""en"",""pl"")"),"garb")</f>
        <v>garb</v>
      </c>
    </row>
    <row r="2728">
      <c r="C2728" s="1" t="s">
        <v>2723</v>
      </c>
      <c r="D2728" s="3" t="str">
        <f>IFERROR(__xludf.DUMMYFUNCTION("GOOGLETRANSLATE(C2728,""en"",""pl"")"),"zamazany")</f>
        <v>zamazany</v>
      </c>
    </row>
    <row r="2729">
      <c r="C2729" s="1" t="s">
        <v>2724</v>
      </c>
      <c r="D2729" s="3" t="str">
        <f>IFERROR(__xludf.DUMMYFUNCTION("GOOGLETRANSLATE(C2729,""en"",""pl"")"),"berbeć")</f>
        <v>berbeć</v>
      </c>
    </row>
    <row r="2730">
      <c r="C2730" s="1" t="s">
        <v>2725</v>
      </c>
      <c r="D2730" s="3" t="str">
        <f>IFERROR(__xludf.DUMMYFUNCTION("GOOGLETRANSLATE(C2730,""en"",""pl"")"),"karanie")</f>
        <v>karanie</v>
      </c>
    </row>
    <row r="2731">
      <c r="C2731" s="1" t="s">
        <v>2726</v>
      </c>
      <c r="D2731" s="3" t="str">
        <f>IFERROR(__xludf.DUMMYFUNCTION("GOOGLETRANSLATE(C2731,""en"",""pl"")"),"korowód")</f>
        <v>korowód</v>
      </c>
    </row>
    <row r="2732">
      <c r="C2732" s="1" t="s">
        <v>2727</v>
      </c>
      <c r="D2732" s="3" t="str">
        <f>IFERROR(__xludf.DUMMYFUNCTION("GOOGLETRANSLATE(C2732,""en"",""pl"")"),"blady")</f>
        <v>blady</v>
      </c>
    </row>
    <row r="2733">
      <c r="C2733" s="1" t="s">
        <v>2728</v>
      </c>
      <c r="D2733" s="3" t="str">
        <f>IFERROR(__xludf.DUMMYFUNCTION("GOOGLETRANSLATE(C2733,""en"",""pl"")"),"ujawnia")</f>
        <v>ujawnia</v>
      </c>
    </row>
    <row r="2734">
      <c r="C2734" s="1" t="s">
        <v>2729</v>
      </c>
      <c r="D2734" s="3" t="str">
        <f>IFERROR(__xludf.DUMMYFUNCTION("GOOGLETRANSLATE(C2734,""en"",""pl"")"),"dzikie zwierzęta")</f>
        <v>dzikie zwierzęta</v>
      </c>
    </row>
    <row r="2735">
      <c r="C2735" s="1" t="s">
        <v>2730</v>
      </c>
      <c r="D2735" s="3" t="str">
        <f>IFERROR(__xludf.DUMMYFUNCTION("GOOGLETRANSLATE(C2735,""en"",""pl"")"),"Klara")</f>
        <v>Klara</v>
      </c>
    </row>
    <row r="2736">
      <c r="C2736" s="1" t="s">
        <v>2731</v>
      </c>
      <c r="D2736" s="3" t="str">
        <f>IFERROR(__xludf.DUMMYFUNCTION("GOOGLETRANSLATE(C2736,""en"",""pl"")"),"szturchanie")</f>
        <v>szturchanie</v>
      </c>
    </row>
    <row r="2737">
      <c r="C2737" s="1" t="s">
        <v>2732</v>
      </c>
      <c r="D2737" s="3" t="str">
        <f>IFERROR(__xludf.DUMMYFUNCTION("GOOGLETRANSLATE(C2737,""en"",""pl"")"),"Próba")</f>
        <v>Próba</v>
      </c>
    </row>
    <row r="2738">
      <c r="C2738" s="1" t="s">
        <v>2733</v>
      </c>
      <c r="D2738" s="3" t="str">
        <f>IFERROR(__xludf.DUMMYFUNCTION("GOOGLETRANSLATE(C2738,""en"",""pl"")"),"powrót")</f>
        <v>powrót</v>
      </c>
    </row>
    <row r="2739">
      <c r="C2739" s="1" t="s">
        <v>2734</v>
      </c>
      <c r="D2739" s="3" t="str">
        <f>IFERROR(__xludf.DUMMYFUNCTION("GOOGLETRANSLATE(C2739,""en"",""pl"")"),"obrzęk")</f>
        <v>obrzęk</v>
      </c>
    </row>
    <row r="2740">
      <c r="C2740" s="1" t="s">
        <v>2735</v>
      </c>
      <c r="D2740" s="3" t="str">
        <f>IFERROR(__xludf.DUMMYFUNCTION("GOOGLETRANSLATE(C2740,""en"",""pl"")"),"wrzeszczący")</f>
        <v>wrzeszczący</v>
      </c>
    </row>
    <row r="2741">
      <c r="C2741" s="1" t="s">
        <v>2736</v>
      </c>
      <c r="D2741" s="3" t="str">
        <f>IFERROR(__xludf.DUMMYFUNCTION("GOOGLETRANSLATE(C2741,""en"",""pl"")"),"skrzeczenie")</f>
        <v>skrzeczenie</v>
      </c>
    </row>
    <row r="2742">
      <c r="C2742" s="1" t="s">
        <v>2737</v>
      </c>
      <c r="D2742" s="3" t="str">
        <f>IFERROR(__xludf.DUMMYFUNCTION("GOOGLETRANSLATE(C2742,""en"",""pl"")"),"TARDIS")</f>
        <v>TARDIS</v>
      </c>
    </row>
    <row r="2743">
      <c r="C2743" s="1" t="s">
        <v>2738</v>
      </c>
      <c r="D2743" s="3" t="str">
        <f>IFERROR(__xludf.DUMMYFUNCTION("GOOGLETRANSLATE(C2743,""en"",""pl"")"),"Kaina")</f>
        <v>Kaina</v>
      </c>
    </row>
    <row r="2744">
      <c r="C2744" s="1" t="s">
        <v>2739</v>
      </c>
      <c r="D2744" s="3" t="str">
        <f>IFERROR(__xludf.DUMMYFUNCTION("GOOGLETRANSLATE(C2744,""en"",""pl"")"),"posągi")</f>
        <v>posągi</v>
      </c>
    </row>
    <row r="2745">
      <c r="C2745" s="1" t="s">
        <v>2740</v>
      </c>
      <c r="D2745" s="3" t="str">
        <f>IFERROR(__xludf.DUMMYFUNCTION("GOOGLETRANSLATE(C2745,""en"",""pl"")"),"doświadczony")</f>
        <v>doświadczony</v>
      </c>
    </row>
    <row r="2746">
      <c r="C2746" s="1" t="s">
        <v>2741</v>
      </c>
      <c r="D2746" s="3" t="str">
        <f>IFERROR(__xludf.DUMMYFUNCTION("GOOGLETRANSLATE(C2746,""en"",""pl"")"),"chrześcijaństwo")</f>
        <v>chrześcijaństwo</v>
      </c>
    </row>
    <row r="2747">
      <c r="C2747" s="1" t="s">
        <v>2742</v>
      </c>
      <c r="D2747" s="3" t="str">
        <f>IFERROR(__xludf.DUMMYFUNCTION("GOOGLETRANSLATE(C2747,""en"",""pl"")"),"zaryzykować")</f>
        <v>zaryzykować</v>
      </c>
    </row>
    <row r="2748">
      <c r="C2748" s="1" t="s">
        <v>2743</v>
      </c>
      <c r="D2748" s="3" t="str">
        <f>IFERROR(__xludf.DUMMYFUNCTION("GOOGLETRANSLATE(C2748,""en"",""pl"")"),"rozciągnięty")</f>
        <v>rozciągnięty</v>
      </c>
    </row>
    <row r="2749">
      <c r="C2749" s="1" t="s">
        <v>2744</v>
      </c>
      <c r="D2749" s="3" t="str">
        <f>IFERROR(__xludf.DUMMYFUNCTION("GOOGLETRANSLATE(C2749,""en"",""pl"")"),"śmierć")</f>
        <v>śmierć</v>
      </c>
    </row>
    <row r="2750">
      <c r="C2750" s="1" t="s">
        <v>2745</v>
      </c>
      <c r="D2750" s="3" t="str">
        <f>IFERROR(__xludf.DUMMYFUNCTION("GOOGLETRANSLATE(C2750,""en"",""pl"")"),"trudy")</f>
        <v>trudy</v>
      </c>
    </row>
    <row r="2751">
      <c r="C2751" s="1" t="s">
        <v>2746</v>
      </c>
      <c r="D2751" s="3" t="str">
        <f>IFERROR(__xludf.DUMMYFUNCTION("GOOGLETRANSLATE(C2751,""en"",""pl"")"),"ślimak")</f>
        <v>ślimak</v>
      </c>
    </row>
    <row r="2752">
      <c r="C2752" s="1" t="s">
        <v>2747</v>
      </c>
      <c r="D2752" s="3" t="str">
        <f>IFERROR(__xludf.DUMMYFUNCTION("GOOGLETRANSLATE(C2752,""en"",""pl"")"),"udaremnienie")</f>
        <v>udaremnienie</v>
      </c>
    </row>
    <row r="2753">
      <c r="C2753" s="1" t="s">
        <v>2748</v>
      </c>
      <c r="D2753" s="3" t="str">
        <f>IFERROR(__xludf.DUMMYFUNCTION("GOOGLETRANSLATE(C2753,""en"",""pl"")"),"Edie")</f>
        <v>Edie</v>
      </c>
    </row>
    <row r="2754">
      <c r="C2754" s="1" t="s">
        <v>2749</v>
      </c>
      <c r="D2754" s="3" t="str">
        <f>IFERROR(__xludf.DUMMYFUNCTION("GOOGLETRANSLATE(C2754,""en"",""pl"")"),"oszustwo")</f>
        <v>oszustwo</v>
      </c>
    </row>
    <row r="2755">
      <c r="C2755" s="1" t="s">
        <v>2750</v>
      </c>
      <c r="D2755" s="3" t="str">
        <f>IFERROR(__xludf.DUMMYFUNCTION("GOOGLETRANSLATE(C2755,""en"",""pl"")"),"lilianka")</f>
        <v>lilianka</v>
      </c>
    </row>
    <row r="2756">
      <c r="C2756" s="1" t="s">
        <v>2751</v>
      </c>
      <c r="D2756" s="3" t="str">
        <f>IFERROR(__xludf.DUMMYFUNCTION("GOOGLETRANSLATE(C2756,""en"",""pl"")"),"wtargnięcie")</f>
        <v>wtargnięcie</v>
      </c>
    </row>
    <row r="2757">
      <c r="C2757" s="1" t="s">
        <v>2752</v>
      </c>
      <c r="D2757" s="3" t="str">
        <f>IFERROR(__xludf.DUMMYFUNCTION("GOOGLETRANSLATE(C2757,""en"",""pl"")"),"eliminacja")</f>
        <v>eliminacja</v>
      </c>
    </row>
    <row r="2758">
      <c r="C2758" s="1" t="s">
        <v>2753</v>
      </c>
      <c r="D2758" s="3" t="str">
        <f>IFERROR(__xludf.DUMMYFUNCTION("GOOGLETRANSLATE(C2758,""en"",""pl"")"),"pocieszający")</f>
        <v>pocieszający</v>
      </c>
    </row>
    <row r="2759">
      <c r="C2759" s="1" t="s">
        <v>2754</v>
      </c>
      <c r="D2759" s="3" t="str">
        <f>IFERROR(__xludf.DUMMYFUNCTION("GOOGLETRANSLATE(C2759,""en"",""pl"")"),"len")</f>
        <v>len</v>
      </c>
    </row>
    <row r="2760">
      <c r="C2760" s="1" t="s">
        <v>2755</v>
      </c>
      <c r="D2760" s="3" t="str">
        <f>IFERROR(__xludf.DUMMYFUNCTION("GOOGLETRANSLATE(C2760,""en"",""pl"")"),"kazanie")</f>
        <v>kazanie</v>
      </c>
    </row>
    <row r="2761">
      <c r="C2761" s="1" t="s">
        <v>2756</v>
      </c>
      <c r="D2761" s="3" t="str">
        <f>IFERROR(__xludf.DUMMYFUNCTION("GOOGLETRANSLATE(C2761,""en"",""pl"")"),"praktyka")</f>
        <v>praktyka</v>
      </c>
    </row>
    <row r="2762">
      <c r="C2762" s="1" t="s">
        <v>2757</v>
      </c>
      <c r="D2762" s="3" t="str">
        <f>IFERROR(__xludf.DUMMYFUNCTION("GOOGLETRANSLATE(C2762,""en"",""pl"")"),"odszkodowanie")</f>
        <v>odszkodowanie</v>
      </c>
    </row>
    <row r="2763">
      <c r="C2763" s="1" t="s">
        <v>2758</v>
      </c>
      <c r="D2763" s="3" t="str">
        <f>IFERROR(__xludf.DUMMYFUNCTION("GOOGLETRANSLATE(C2763,""en"",""pl"")"),"były chłopak")</f>
        <v>były chłopak</v>
      </c>
    </row>
    <row r="2764">
      <c r="C2764" s="1" t="s">
        <v>2759</v>
      </c>
      <c r="D2764" s="3" t="str">
        <f>IFERROR(__xludf.DUMMYFUNCTION("GOOGLETRANSLATE(C2764,""en"",""pl"")"),"wyjścia")</f>
        <v>wyjścia</v>
      </c>
    </row>
    <row r="2765">
      <c r="C2765" s="1" t="s">
        <v>2760</v>
      </c>
      <c r="D2765" s="3" t="str">
        <f>IFERROR(__xludf.DUMMYFUNCTION("GOOGLETRANSLATE(C2765,""en"",""pl"")"),"tak")</f>
        <v>tak</v>
      </c>
    </row>
    <row r="2766">
      <c r="C2766" s="1" t="s">
        <v>2761</v>
      </c>
      <c r="D2766" s="3" t="str">
        <f>IFERROR(__xludf.DUMMYFUNCTION("GOOGLETRANSLATE(C2766,""en"",""pl"")"),"spotkania")</f>
        <v>spotkania</v>
      </c>
    </row>
    <row r="2767">
      <c r="C2767" s="1" t="s">
        <v>2762</v>
      </c>
      <c r="D2767" s="3" t="str">
        <f>IFERROR(__xludf.DUMMYFUNCTION("GOOGLETRANSLATE(C2767,""en"",""pl"")"),"znaczenie")</f>
        <v>znaczenie</v>
      </c>
    </row>
    <row r="2768">
      <c r="C2768" s="1" t="s">
        <v>2763</v>
      </c>
      <c r="D2768" s="3" t="str">
        <f>IFERROR(__xludf.DUMMYFUNCTION("GOOGLETRANSLATE(C2768,""en"",""pl"")"),"perkusista")</f>
        <v>perkusista</v>
      </c>
    </row>
    <row r="2769">
      <c r="C2769" s="1" t="s">
        <v>2764</v>
      </c>
      <c r="D2769" s="3" t="str">
        <f>IFERROR(__xludf.DUMMYFUNCTION("GOOGLETRANSLATE(C2769,""en"",""pl"")"),"próbka")</f>
        <v>próbka</v>
      </c>
    </row>
    <row r="2770">
      <c r="C2770" s="1" t="s">
        <v>2765</v>
      </c>
      <c r="D2770" s="3" t="str">
        <f>IFERROR(__xludf.DUMMYFUNCTION("GOOGLETRANSLATE(C2770,""en"",""pl"")"),"wiara w czary")</f>
        <v>wiara w czary</v>
      </c>
    </row>
    <row r="2771">
      <c r="C2771" s="1" t="s">
        <v>2766</v>
      </c>
      <c r="D2771" s="3" t="str">
        <f>IFERROR(__xludf.DUMMYFUNCTION("GOOGLETRANSLATE(C2771,""en"",""pl"")"),"Kleo")</f>
        <v>Kleo</v>
      </c>
    </row>
    <row r="2772">
      <c r="C2772" s="1" t="s">
        <v>2767</v>
      </c>
      <c r="D2772" s="3" t="str">
        <f>IFERROR(__xludf.DUMMYFUNCTION("GOOGLETRANSLATE(C2772,""en"",""pl"")"),"źle zrozumieć")</f>
        <v>źle zrozumieć</v>
      </c>
    </row>
    <row r="2773">
      <c r="C2773" s="1" t="s">
        <v>2768</v>
      </c>
      <c r="D2773" s="3" t="str">
        <f>IFERROR(__xludf.DUMMYFUNCTION("GOOGLETRANSLATE(C2773,""en"",""pl"")"),"astma")</f>
        <v>astma</v>
      </c>
    </row>
    <row r="2774">
      <c r="C2774" s="1" t="s">
        <v>2769</v>
      </c>
      <c r="D2774" s="3" t="str">
        <f>IFERROR(__xludf.DUMMYFUNCTION("GOOGLETRANSLATE(C2774,""en"",""pl"")"),"sprawunki")</f>
        <v>sprawunki</v>
      </c>
    </row>
    <row r="2775">
      <c r="C2775" s="1" t="s">
        <v>2770</v>
      </c>
      <c r="D2775" s="3" t="str">
        <f>IFERROR(__xludf.DUMMYFUNCTION("GOOGLETRANSLATE(C2775,""en"",""pl"")"),"hipokryta")</f>
        <v>hipokryta</v>
      </c>
    </row>
    <row r="2776">
      <c r="C2776" s="1" t="s">
        <v>2771</v>
      </c>
      <c r="D2776" s="3" t="str">
        <f>IFERROR(__xludf.DUMMYFUNCTION("GOOGLETRANSLATE(C2776,""en"",""pl"")"),"prychnięcia")</f>
        <v>prychnięcia</v>
      </c>
    </row>
    <row r="2777">
      <c r="C2777" s="1" t="s">
        <v>2772</v>
      </c>
      <c r="D2777" s="3" t="str">
        <f>IFERROR(__xludf.DUMMYFUNCTION("GOOGLETRANSLATE(C2777,""en"",""pl"")"),"rzecznik")</f>
        <v>rzecznik</v>
      </c>
    </row>
    <row r="2778">
      <c r="C2778" s="1" t="s">
        <v>2773</v>
      </c>
      <c r="D2778" s="3" t="str">
        <f>IFERROR(__xludf.DUMMYFUNCTION("GOOGLETRANSLATE(C2778,""en"",""pl"")"),"słodziak")</f>
        <v>słodziak</v>
      </c>
    </row>
    <row r="2779">
      <c r="C2779" s="1" t="s">
        <v>2774</v>
      </c>
      <c r="D2779" s="3" t="str">
        <f>IFERROR(__xludf.DUMMYFUNCTION("GOOGLETRANSLATE(C2779,""en"",""pl"")"),"uzyskany")</f>
        <v>uzyskany</v>
      </c>
    </row>
    <row r="2780">
      <c r="C2780" s="1" t="s">
        <v>2775</v>
      </c>
      <c r="D2780" s="3" t="str">
        <f>IFERROR(__xludf.DUMMYFUNCTION("GOOGLETRANSLATE(C2780,""en"",""pl"")"),"Krystyna")</f>
        <v>Krystyna</v>
      </c>
    </row>
    <row r="2781">
      <c r="C2781" s="1" t="s">
        <v>2776</v>
      </c>
      <c r="D2781" s="3" t="str">
        <f>IFERROR(__xludf.DUMMYFUNCTION("GOOGLETRANSLATE(C2781,""en"",""pl"")"),"radioaktywny")</f>
        <v>radioaktywny</v>
      </c>
    </row>
    <row r="2782">
      <c r="C2782" s="1" t="s">
        <v>2777</v>
      </c>
      <c r="D2782" s="3" t="str">
        <f>IFERROR(__xludf.DUMMYFUNCTION("GOOGLETRANSLATE(C2782,""en"",""pl"")"),"Richmond")</f>
        <v>Richmond</v>
      </c>
    </row>
    <row r="2783">
      <c r="C2783" s="1" t="s">
        <v>2778</v>
      </c>
      <c r="D2783" s="3" t="str">
        <f>IFERROR(__xludf.DUMMYFUNCTION("GOOGLETRANSLATE(C2783,""en"",""pl"")"),"ideały")</f>
        <v>ideały</v>
      </c>
    </row>
    <row r="2784">
      <c r="C2784" s="1" t="s">
        <v>2779</v>
      </c>
      <c r="D2784" s="3" t="str">
        <f>IFERROR(__xludf.DUMMYFUNCTION("GOOGLETRANSLATE(C2784,""en"",""pl"")"),"uczeń")</f>
        <v>uczeń</v>
      </c>
    </row>
    <row r="2785">
      <c r="C2785" s="1" t="s">
        <v>2780</v>
      </c>
      <c r="D2785" s="3" t="str">
        <f>IFERROR(__xludf.DUMMYFUNCTION("GOOGLETRANSLATE(C2785,""en"",""pl"")"),"nierozsądny")</f>
        <v>nierozsądny</v>
      </c>
    </row>
    <row r="2786">
      <c r="C2786" s="1" t="s">
        <v>2781</v>
      </c>
      <c r="D2786" s="3" t="str">
        <f>IFERROR(__xludf.DUMMYFUNCTION("GOOGLETRANSLATE(C2786,""en"",""pl"")"),"więzień")</f>
        <v>więzień</v>
      </c>
    </row>
    <row r="2787">
      <c r="C2787" s="1" t="s">
        <v>2782</v>
      </c>
      <c r="D2787" s="3" t="str">
        <f>IFERROR(__xludf.DUMMYFUNCTION("GOOGLETRANSLATE(C2787,""en"",""pl"")"),"oblężenie")</f>
        <v>oblężenie</v>
      </c>
    </row>
    <row r="2788">
      <c r="C2788" s="1" t="s">
        <v>2783</v>
      </c>
      <c r="D2788" s="3" t="str">
        <f>IFERROR(__xludf.DUMMYFUNCTION("GOOGLETRANSLATE(C2788,""en"",""pl"")"),"kobra")</f>
        <v>kobra</v>
      </c>
    </row>
    <row r="2789">
      <c r="C2789" s="1" t="s">
        <v>2784</v>
      </c>
      <c r="D2789" s="3" t="str">
        <f>IFERROR(__xludf.DUMMYFUNCTION("GOOGLETRANSLATE(C2789,""en"",""pl"")"),"zwiększa się")</f>
        <v>zwiększa się</v>
      </c>
    </row>
    <row r="2790">
      <c r="C2790" s="1" t="s">
        <v>2785</v>
      </c>
      <c r="D2790" s="3" t="str">
        <f>IFERROR(__xludf.DUMMYFUNCTION("GOOGLETRANSLATE(C2790,""en"",""pl"")"),"port")</f>
        <v>port</v>
      </c>
    </row>
    <row r="2791">
      <c r="C2791" s="1" t="s">
        <v>2786</v>
      </c>
      <c r="D2791" s="3" t="str">
        <f>IFERROR(__xludf.DUMMYFUNCTION("GOOGLETRANSLATE(C2791,""en"",""pl"")"),"Lata 90.")</f>
        <v>Lata 90.</v>
      </c>
    </row>
    <row r="2792">
      <c r="C2792" s="1" t="s">
        <v>2787</v>
      </c>
      <c r="D2792" s="3" t="str">
        <f>IFERROR(__xludf.DUMMYFUNCTION("GOOGLETRANSLATE(C2792,""en"",""pl"")"),"nielegalnie")</f>
        <v>nielegalnie</v>
      </c>
    </row>
    <row r="2793">
      <c r="C2793" s="1" t="s">
        <v>2788</v>
      </c>
      <c r="D2793" s="3" t="str">
        <f>IFERROR(__xludf.DUMMYFUNCTION("GOOGLETRANSLATE(C2793,""en"",""pl"")"),"grzechotka")</f>
        <v>grzechotka</v>
      </c>
    </row>
    <row r="2794">
      <c r="C2794" s="1" t="s">
        <v>2789</v>
      </c>
      <c r="D2794" s="3" t="str">
        <f>IFERROR(__xludf.DUMMYFUNCTION("GOOGLETRANSLATE(C2794,""en"",""pl"")"),"przycinać")</f>
        <v>przycinać</v>
      </c>
    </row>
    <row r="2795">
      <c r="C2795" s="1" t="s">
        <v>2790</v>
      </c>
      <c r="D2795" s="3" t="str">
        <f>IFERROR(__xludf.DUMMYFUNCTION("GOOGLETRANSLATE(C2795,""en"",""pl"")"),"makaron")</f>
        <v>makaron</v>
      </c>
    </row>
    <row r="2796">
      <c r="C2796" s="1" t="s">
        <v>2791</v>
      </c>
      <c r="D2796" s="3" t="str">
        <f>IFERROR(__xludf.DUMMYFUNCTION("GOOGLETRANSLATE(C2796,""en"",""pl"")"),"antybiotyki")</f>
        <v>antybiotyki</v>
      </c>
    </row>
    <row r="2797">
      <c r="C2797" s="1" t="s">
        <v>2792</v>
      </c>
      <c r="D2797" s="3" t="str">
        <f>IFERROR(__xludf.DUMMYFUNCTION("GOOGLETRANSLATE(C2797,""en"",""pl"")"),"miało znaczenie")</f>
        <v>miało znaczenie</v>
      </c>
    </row>
    <row r="2798">
      <c r="C2798" s="1" t="s">
        <v>2793</v>
      </c>
      <c r="D2798" s="3" t="str">
        <f>IFERROR(__xludf.DUMMYFUNCTION("GOOGLETRANSLATE(C2798,""en"",""pl"")"),"deklaracja")</f>
        <v>deklaracja</v>
      </c>
    </row>
    <row r="2799">
      <c r="C2799" s="1" t="s">
        <v>2794</v>
      </c>
      <c r="D2799" s="3" t="str">
        <f>IFERROR(__xludf.DUMMYFUNCTION("GOOGLETRANSLATE(C2799,""en"",""pl"")"),"faktyczny")</f>
        <v>faktyczny</v>
      </c>
    </row>
    <row r="2800">
      <c r="C2800" s="1" t="s">
        <v>2795</v>
      </c>
      <c r="D2800" s="3" t="str">
        <f>IFERROR(__xludf.DUMMYFUNCTION("GOOGLETRANSLATE(C2800,""en"",""pl"")"),"intuicja")</f>
        <v>intuicja</v>
      </c>
    </row>
    <row r="2801">
      <c r="C2801" s="1" t="s">
        <v>2796</v>
      </c>
      <c r="D2801" s="3" t="str">
        <f>IFERROR(__xludf.DUMMYFUNCTION("GOOGLETRANSLATE(C2801,""en"",""pl"")"),"obroty")</f>
        <v>obroty</v>
      </c>
    </row>
    <row r="2802">
      <c r="C2802" s="1" t="s">
        <v>2797</v>
      </c>
      <c r="D2802" s="3" t="str">
        <f>IFERROR(__xludf.DUMMYFUNCTION("GOOGLETRANSLATE(C2802,""en"",""pl"")"),"Darcy")</f>
        <v>Darcy</v>
      </c>
    </row>
    <row r="2803">
      <c r="C2803" s="1" t="s">
        <v>2798</v>
      </c>
      <c r="D2803" s="3" t="str">
        <f>IFERROR(__xludf.DUMMYFUNCTION("GOOGLETRANSLATE(C2803,""en"",""pl"")"),"waga")</f>
        <v>waga</v>
      </c>
    </row>
    <row r="2804">
      <c r="C2804" s="1" t="s">
        <v>2799</v>
      </c>
      <c r="D2804" s="3" t="str">
        <f>IFERROR(__xludf.DUMMYFUNCTION("GOOGLETRANSLATE(C2804,""en"",""pl"")"),"zeznawał")</f>
        <v>zeznawał</v>
      </c>
    </row>
    <row r="2805">
      <c r="C2805" s="1" t="s">
        <v>2800</v>
      </c>
      <c r="D2805" s="3" t="str">
        <f>IFERROR(__xludf.DUMMYFUNCTION("GOOGLETRANSLATE(C2805,""en"",""pl"")"),"gigi")</f>
        <v>gigi</v>
      </c>
    </row>
    <row r="2806">
      <c r="C2806" s="1" t="s">
        <v>2801</v>
      </c>
      <c r="D2806" s="3" t="str">
        <f>IFERROR(__xludf.DUMMYFUNCTION("GOOGLETRANSLATE(C2806,""en"",""pl"")"),"dwadzieścia pięć")</f>
        <v>dwadzieścia pięć</v>
      </c>
    </row>
    <row r="2807">
      <c r="C2807" s="1" t="s">
        <v>2802</v>
      </c>
      <c r="D2807" s="3" t="str">
        <f>IFERROR(__xludf.DUMMYFUNCTION("GOOGLETRANSLATE(C2807,""en"",""pl"")"),"objazd")</f>
        <v>objazd</v>
      </c>
    </row>
    <row r="2808">
      <c r="C2808" s="1" t="s">
        <v>2803</v>
      </c>
      <c r="D2808" s="3" t="str">
        <f>IFERROR(__xludf.DUMMYFUNCTION("GOOGLETRANSLATE(C2808,""en"",""pl"")"),"zapalenie płuc")</f>
        <v>zapalenie płuc</v>
      </c>
    </row>
    <row r="2809">
      <c r="C2809" s="1" t="s">
        <v>2804</v>
      </c>
      <c r="D2809" s="3" t="str">
        <f>IFERROR(__xludf.DUMMYFUNCTION("GOOGLETRANSLATE(C2809,""en"",""pl"")"),"męski")</f>
        <v>męski</v>
      </c>
    </row>
    <row r="2810">
      <c r="C2810" s="1" t="s">
        <v>2805</v>
      </c>
      <c r="D2810" s="3" t="str">
        <f>IFERROR(__xludf.DUMMYFUNCTION("GOOGLETRANSLATE(C2810,""en"",""pl"")"),"leki")</f>
        <v>leki</v>
      </c>
    </row>
    <row r="2811">
      <c r="C2811" s="1" t="s">
        <v>2806</v>
      </c>
      <c r="D2811" s="3" t="str">
        <f>IFERROR(__xludf.DUMMYFUNCTION("GOOGLETRANSLATE(C2811,""en"",""pl"")"),"zwalnianie")</f>
        <v>zwalnianie</v>
      </c>
    </row>
    <row r="2812">
      <c r="C2812" s="1" t="s">
        <v>2807</v>
      </c>
      <c r="D2812" s="3" t="str">
        <f>IFERROR(__xludf.DUMMYFUNCTION("GOOGLETRANSLATE(C2812,""en"",""pl"")"),"jęk")</f>
        <v>jęk</v>
      </c>
    </row>
    <row r="2813">
      <c r="C2813" s="1" t="s">
        <v>2808</v>
      </c>
      <c r="D2813" s="3" t="str">
        <f>IFERROR(__xludf.DUMMYFUNCTION("GOOGLETRANSLATE(C2813,""en"",""pl"")"),"loch")</f>
        <v>loch</v>
      </c>
    </row>
    <row r="2814">
      <c r="C2814" s="1" t="s">
        <v>2809</v>
      </c>
      <c r="D2814" s="3" t="str">
        <f>IFERROR(__xludf.DUMMYFUNCTION("GOOGLETRANSLATE(C2814,""en"",""pl"")"),"chłopaki")</f>
        <v>chłopaki</v>
      </c>
    </row>
    <row r="2815">
      <c r="C2815" s="1" t="s">
        <v>2810</v>
      </c>
      <c r="D2815" s="3" t="str">
        <f>IFERROR(__xludf.DUMMYFUNCTION("GOOGLETRANSLATE(C2815,""en"",""pl"")"),"NCIS")</f>
        <v>NCIS</v>
      </c>
    </row>
    <row r="2816">
      <c r="C2816" s="1" t="s">
        <v>2811</v>
      </c>
      <c r="D2816" s="3" t="str">
        <f>IFERROR(__xludf.DUMMYFUNCTION("GOOGLETRANSLATE(C2816,""en"",""pl"")"),"konsekwencja")</f>
        <v>konsekwencja</v>
      </c>
    </row>
    <row r="2817">
      <c r="C2817" s="1" t="s">
        <v>2812</v>
      </c>
      <c r="D2817" s="3" t="str">
        <f>IFERROR(__xludf.DUMMYFUNCTION("GOOGLETRANSLATE(C2817,""en"",""pl"")"),"przechwycić")</f>
        <v>przechwycić</v>
      </c>
    </row>
    <row r="2818">
      <c r="C2818" s="1" t="s">
        <v>2813</v>
      </c>
      <c r="D2818" s="3" t="str">
        <f>IFERROR(__xludf.DUMMYFUNCTION("GOOGLETRANSLATE(C2818,""en"",""pl"")"),"twardziel")</f>
        <v>twardziel</v>
      </c>
    </row>
    <row r="2819">
      <c r="C2819" s="1" t="s">
        <v>2814</v>
      </c>
      <c r="D2819" s="3" t="str">
        <f>IFERROR(__xludf.DUMMYFUNCTION("GOOGLETRANSLATE(C2819,""en"",""pl"")"),"przykłady")</f>
        <v>przykłady</v>
      </c>
    </row>
    <row r="2820">
      <c r="C2820" s="1" t="s">
        <v>2815</v>
      </c>
      <c r="D2820" s="3" t="str">
        <f>IFERROR(__xludf.DUMMYFUNCTION("GOOGLETRANSLATE(C2820,""en"",""pl"")"),"pięści")</f>
        <v>pięści</v>
      </c>
    </row>
    <row r="2821">
      <c r="C2821" s="1" t="s">
        <v>2816</v>
      </c>
      <c r="D2821" s="3" t="str">
        <f>IFERROR(__xludf.DUMMYFUNCTION("GOOGLETRANSLATE(C2821,""en"",""pl"")"),"brzęk")</f>
        <v>brzęk</v>
      </c>
    </row>
    <row r="2822">
      <c r="C2822" s="1" t="s">
        <v>2817</v>
      </c>
      <c r="D2822" s="3" t="str">
        <f>IFERROR(__xludf.DUMMYFUNCTION("GOOGLETRANSLATE(C2822,""en"",""pl"")"),"istotny")</f>
        <v>istotny</v>
      </c>
    </row>
    <row r="2823">
      <c r="C2823" s="1" t="s">
        <v>2818</v>
      </c>
      <c r="D2823" s="3" t="str">
        <f>IFERROR(__xludf.DUMMYFUNCTION("GOOGLETRANSLATE(C2823,""en"",""pl"")"),"chwalba")</f>
        <v>chwalba</v>
      </c>
    </row>
    <row r="2824">
      <c r="C2824" s="1" t="s">
        <v>2819</v>
      </c>
      <c r="D2824" s="3" t="str">
        <f>IFERROR(__xludf.DUMMYFUNCTION("GOOGLETRANSLATE(C2824,""en"",""pl"")"),"dzban")</f>
        <v>dzban</v>
      </c>
    </row>
    <row r="2825">
      <c r="C2825" s="1" t="s">
        <v>2820</v>
      </c>
      <c r="D2825" s="3" t="str">
        <f>IFERROR(__xludf.DUMMYFUNCTION("GOOGLETRANSLATE(C2825,""en"",""pl"")"),"na pokładzie")</f>
        <v>na pokładzie</v>
      </c>
    </row>
    <row r="2826">
      <c r="C2826" s="1" t="s">
        <v>2821</v>
      </c>
      <c r="D2826" s="3" t="str">
        <f>IFERROR(__xludf.DUMMYFUNCTION("GOOGLETRANSLATE(C2826,""en"",""pl"")"),"przyjaciel")</f>
        <v>przyjaciel</v>
      </c>
    </row>
    <row r="2827">
      <c r="C2827" s="1" t="s">
        <v>2822</v>
      </c>
      <c r="D2827" s="3" t="str">
        <f>IFERROR(__xludf.DUMMYFUNCTION("GOOGLETRANSLATE(C2827,""en"",""pl"")"),"dziedziniec")</f>
        <v>dziedziniec</v>
      </c>
    </row>
    <row r="2828">
      <c r="C2828" s="1" t="s">
        <v>2823</v>
      </c>
      <c r="D2828" s="3" t="str">
        <f>IFERROR(__xludf.DUMMYFUNCTION("GOOGLETRANSLATE(C2828,""en"",""pl"")"),"królewskość")</f>
        <v>królewskość</v>
      </c>
    </row>
    <row r="2829">
      <c r="C2829" s="1" t="s">
        <v>2824</v>
      </c>
      <c r="D2829" s="3" t="str">
        <f>IFERROR(__xludf.DUMMYFUNCTION("GOOGLETRANSLATE(C2829,""en"",""pl"")"),"spontaniczny")</f>
        <v>spontaniczny</v>
      </c>
    </row>
    <row r="2830">
      <c r="C2830" s="1" t="s">
        <v>2825</v>
      </c>
      <c r="D2830" s="3" t="str">
        <f>IFERROR(__xludf.DUMMYFUNCTION("GOOGLETRANSLATE(C2830,""en"",""pl"")"),"ca")</f>
        <v>ca</v>
      </c>
    </row>
    <row r="2831">
      <c r="C2831" s="1" t="s">
        <v>2826</v>
      </c>
      <c r="D2831" s="3" t="str">
        <f>IFERROR(__xludf.DUMMYFUNCTION("GOOGLETRANSLATE(C2831,""en"",""pl"")"),"ubikacja")</f>
        <v>ubikacja</v>
      </c>
    </row>
    <row r="2832">
      <c r="C2832" s="1" t="s">
        <v>2827</v>
      </c>
      <c r="D2832" s="3" t="str">
        <f>IFERROR(__xludf.DUMMYFUNCTION("GOOGLETRANSLATE(C2832,""en"",""pl"")"),"ćwierkanie")</f>
        <v>ćwierkanie</v>
      </c>
    </row>
    <row r="2833">
      <c r="C2833" s="1" t="s">
        <v>2828</v>
      </c>
      <c r="D2833" s="3" t="str">
        <f>IFERROR(__xludf.DUMMYFUNCTION("GOOGLETRANSLATE(C2833,""en"",""pl"")"),"negocjowanie")</f>
        <v>negocjowanie</v>
      </c>
    </row>
    <row r="2834">
      <c r="C2834" s="1" t="s">
        <v>2829</v>
      </c>
      <c r="D2834" s="3" t="str">
        <f>IFERROR(__xludf.DUMMYFUNCTION("GOOGLETRANSLATE(C2834,""en"",""pl"")"),"boleć")</f>
        <v>boleć</v>
      </c>
    </row>
    <row r="2835">
      <c r="C2835" s="1" t="s">
        <v>2830</v>
      </c>
      <c r="D2835" s="3" t="str">
        <f>IFERROR(__xludf.DUMMYFUNCTION("GOOGLETRANSLATE(C2835,""en"",""pl"")"),"pacnięcie")</f>
        <v>pacnięcie</v>
      </c>
    </row>
    <row r="2836">
      <c r="C2836" s="1" t="s">
        <v>2831</v>
      </c>
      <c r="D2836" s="3" t="str">
        <f>IFERROR(__xludf.DUMMYFUNCTION("GOOGLETRANSLATE(C2836,""en"",""pl"")"),"pojawić się")</f>
        <v>pojawić się</v>
      </c>
    </row>
    <row r="2837">
      <c r="C2837" s="1" t="s">
        <v>2832</v>
      </c>
      <c r="D2837" s="3" t="str">
        <f>IFERROR(__xludf.DUMMYFUNCTION("GOOGLETRANSLATE(C2837,""en"",""pl"")"),"hazardzista")</f>
        <v>hazardzista</v>
      </c>
    </row>
    <row r="2838">
      <c r="C2838" s="1" t="s">
        <v>2833</v>
      </c>
      <c r="D2838" s="3" t="str">
        <f>IFERROR(__xludf.DUMMYFUNCTION("GOOGLETRANSLATE(C2838,""en"",""pl"")"),"referencje")</f>
        <v>referencje</v>
      </c>
    </row>
    <row r="2839">
      <c r="C2839" s="1" t="s">
        <v>2834</v>
      </c>
      <c r="D2839" s="3" t="str">
        <f>IFERROR(__xludf.DUMMYFUNCTION("GOOGLETRANSLATE(C2839,""en"",""pl"")"),"cześć")</f>
        <v>cześć</v>
      </c>
    </row>
    <row r="2840">
      <c r="C2840" s="1" t="s">
        <v>2835</v>
      </c>
      <c r="D2840" s="3" t="str">
        <f>IFERROR(__xludf.DUMMYFUNCTION("GOOGLETRANSLATE(C2840,""en"",""pl"")"),"najciemniejszy")</f>
        <v>najciemniejszy</v>
      </c>
    </row>
    <row r="2841">
      <c r="C2841" s="1" t="s">
        <v>2836</v>
      </c>
      <c r="D2841" s="3" t="str">
        <f>IFERROR(__xludf.DUMMYFUNCTION("GOOGLETRANSLATE(C2841,""en"",""pl"")"),"niepewny")</f>
        <v>niepewny</v>
      </c>
    </row>
    <row r="2842">
      <c r="C2842" s="1" t="s">
        <v>2837</v>
      </c>
      <c r="D2842" s="3" t="str">
        <f>IFERROR(__xludf.DUMMYFUNCTION("GOOGLETRANSLATE(C2842,""en"",""pl"")"),"obsługujący")</f>
        <v>obsługujący</v>
      </c>
    </row>
    <row r="2843">
      <c r="C2843" s="1" t="s">
        <v>2838</v>
      </c>
      <c r="D2843" s="3" t="str">
        <f>IFERROR(__xludf.DUMMYFUNCTION("GOOGLETRANSLATE(C2843,""en"",""pl"")"),"sympatyczny")</f>
        <v>sympatyczny</v>
      </c>
    </row>
    <row r="2844">
      <c r="C2844" s="1" t="s">
        <v>2839</v>
      </c>
      <c r="D2844" s="3" t="str">
        <f>IFERROR(__xludf.DUMMYFUNCTION("GOOGLETRANSLATE(C2844,""en"",""pl"")"),"fioletowy")</f>
        <v>fioletowy</v>
      </c>
    </row>
    <row r="2845">
      <c r="C2845" s="1" t="s">
        <v>2840</v>
      </c>
      <c r="D2845" s="3" t="str">
        <f>IFERROR(__xludf.DUMMYFUNCTION("GOOGLETRANSLATE(C2845,""en"",""pl"")"),"bohaterka")</f>
        <v>bohaterka</v>
      </c>
    </row>
    <row r="2846">
      <c r="C2846" s="1" t="s">
        <v>2841</v>
      </c>
      <c r="D2846" s="3" t="str">
        <f>IFERROR(__xludf.DUMMYFUNCTION("GOOGLETRANSLATE(C2846,""en"",""pl"")"),"zakrztusił się")</f>
        <v>zakrztusił się</v>
      </c>
    </row>
    <row r="2847">
      <c r="C2847" s="1" t="s">
        <v>2842</v>
      </c>
      <c r="D2847" s="3" t="str">
        <f>IFERROR(__xludf.DUMMYFUNCTION("GOOGLETRANSLATE(C2847,""en"",""pl"")"),"niezidentyfikowany")</f>
        <v>niezidentyfikowany</v>
      </c>
    </row>
    <row r="2848">
      <c r="C2848" s="1" t="s">
        <v>2843</v>
      </c>
      <c r="D2848" s="3" t="str">
        <f>IFERROR(__xludf.DUMMYFUNCTION("GOOGLETRANSLATE(C2848,""en"",""pl"")"),"instalacja wodociągowa")</f>
        <v>instalacja wodociągowa</v>
      </c>
    </row>
    <row r="2849">
      <c r="C2849" s="1" t="s">
        <v>2844</v>
      </c>
      <c r="D2849" s="3" t="str">
        <f>IFERROR(__xludf.DUMMYFUNCTION("GOOGLETRANSLATE(C2849,""en"",""pl"")"),"ciemniejszy")</f>
        <v>ciemniejszy</v>
      </c>
    </row>
    <row r="2850">
      <c r="C2850" s="1" t="s">
        <v>2845</v>
      </c>
      <c r="D2850" s="3" t="str">
        <f>IFERROR(__xludf.DUMMYFUNCTION("GOOGLETRANSLATE(C2850,""en"",""pl"")"),"powietrze")</f>
        <v>powietrze</v>
      </c>
    </row>
    <row r="2851">
      <c r="C2851" s="1" t="s">
        <v>2846</v>
      </c>
      <c r="D2851" s="3" t="str">
        <f>IFERROR(__xludf.DUMMYFUNCTION("GOOGLETRANSLATE(C2851,""en"",""pl"")"),"surowy")</f>
        <v>surowy</v>
      </c>
    </row>
    <row r="2852">
      <c r="C2852" s="1" t="s">
        <v>2847</v>
      </c>
      <c r="D2852" s="3" t="str">
        <f>IFERROR(__xludf.DUMMYFUNCTION("GOOGLETRANSLATE(C2852,""en"",""pl"")"),"słownik")</f>
        <v>słownik</v>
      </c>
    </row>
    <row r="2853">
      <c r="C2853" s="1" t="s">
        <v>2848</v>
      </c>
      <c r="D2853" s="3" t="str">
        <f>IFERROR(__xludf.DUMMYFUNCTION("GOOGLETRANSLATE(C2853,""en"",""pl"")"),"iskry")</f>
        <v>iskry</v>
      </c>
    </row>
    <row r="2854">
      <c r="C2854" s="1" t="s">
        <v>2849</v>
      </c>
      <c r="D2854" s="3" t="str">
        <f>IFERROR(__xludf.DUMMYFUNCTION("GOOGLETRANSLATE(C2854,""en"",""pl"")"),"przesłuchania")</f>
        <v>przesłuchania</v>
      </c>
    </row>
    <row r="2855">
      <c r="C2855" s="1" t="s">
        <v>2850</v>
      </c>
      <c r="D2855" s="3" t="str">
        <f>IFERROR(__xludf.DUMMYFUNCTION("GOOGLETRANSLATE(C2855,""en"",""pl"")"),"demonstracja")</f>
        <v>demonstracja</v>
      </c>
    </row>
    <row r="2856">
      <c r="C2856" s="1" t="s">
        <v>2851</v>
      </c>
      <c r="D2856" s="3" t="str">
        <f>IFERROR(__xludf.DUMMYFUNCTION("GOOGLETRANSLATE(C2856,""en"",""pl"")"),"ta-da")</f>
        <v>ta-da</v>
      </c>
    </row>
    <row r="2857">
      <c r="C2857" s="1" t="s">
        <v>2852</v>
      </c>
      <c r="D2857" s="3" t="str">
        <f>IFERROR(__xludf.DUMMYFUNCTION("GOOGLETRANSLATE(C2857,""en"",""pl"")"),"sprzeciwiać się")</f>
        <v>sprzeciwiać się</v>
      </c>
    </row>
    <row r="2858">
      <c r="C2858" s="1" t="s">
        <v>2853</v>
      </c>
      <c r="D2858" s="3" t="str">
        <f>IFERROR(__xludf.DUMMYFUNCTION("GOOGLETRANSLATE(C2858,""en"",""pl"")"),"paznokcie")</f>
        <v>paznokcie</v>
      </c>
    </row>
    <row r="2859">
      <c r="C2859" s="1" t="s">
        <v>2854</v>
      </c>
      <c r="D2859" s="3" t="str">
        <f>IFERROR(__xludf.DUMMYFUNCTION("GOOGLETRANSLATE(C2859,""en"",""pl"")"),"minerał")</f>
        <v>minerał</v>
      </c>
    </row>
    <row r="2860">
      <c r="C2860" s="1" t="s">
        <v>2855</v>
      </c>
      <c r="D2860" s="3" t="str">
        <f>IFERROR(__xludf.DUMMYFUNCTION("GOOGLETRANSLATE(C2860,""en"",""pl"")"),"zabezpieczenie")</f>
        <v>zabezpieczenie</v>
      </c>
    </row>
    <row r="2861">
      <c r="C2861" s="1" t="s">
        <v>2856</v>
      </c>
      <c r="D2861" s="3" t="str">
        <f>IFERROR(__xludf.DUMMYFUNCTION("GOOGLETRANSLATE(C2861,""en"",""pl"")"),"Stambuł")</f>
        <v>Stambuł</v>
      </c>
    </row>
    <row r="2862">
      <c r="C2862" s="1" t="s">
        <v>2857</v>
      </c>
      <c r="D2862" s="3" t="str">
        <f>IFERROR(__xludf.DUMMYFUNCTION("GOOGLETRANSLATE(C2862,""en"",""pl"")"),"jad")</f>
        <v>jad</v>
      </c>
    </row>
    <row r="2863">
      <c r="C2863" s="1" t="s">
        <v>2858</v>
      </c>
      <c r="D2863" s="3" t="str">
        <f>IFERROR(__xludf.DUMMYFUNCTION("GOOGLETRANSLATE(C2863,""en"",""pl"")"),"kuszący")</f>
        <v>kuszący</v>
      </c>
    </row>
    <row r="2864">
      <c r="C2864" s="1" t="s">
        <v>2859</v>
      </c>
      <c r="D2864" s="3" t="str">
        <f>IFERROR(__xludf.DUMMYFUNCTION("GOOGLETRANSLATE(C2864,""en"",""pl"")"),"przekaźnik")</f>
        <v>przekaźnik</v>
      </c>
    </row>
    <row r="2865">
      <c r="C2865" s="1" t="s">
        <v>2860</v>
      </c>
      <c r="D2865" s="3" t="str">
        <f>IFERROR(__xludf.DUMMYFUNCTION("GOOGLETRANSLATE(C2865,""en"",""pl"")"),"bambus")</f>
        <v>bambus</v>
      </c>
    </row>
    <row r="2866">
      <c r="C2866" s="1" t="s">
        <v>2861</v>
      </c>
      <c r="D2866" s="3" t="str">
        <f>IFERROR(__xludf.DUMMYFUNCTION("GOOGLETRANSLATE(C2866,""en"",""pl"")"),"cząstka")</f>
        <v>cząstka</v>
      </c>
    </row>
    <row r="2867">
      <c r="C2867" s="1" t="s">
        <v>2862</v>
      </c>
      <c r="D2867" s="3" t="str">
        <f>IFERROR(__xludf.DUMMYFUNCTION("GOOGLETRANSLATE(C2867,""en"",""pl"")"),"ying")</f>
        <v>ying</v>
      </c>
    </row>
    <row r="2868">
      <c r="C2868" s="1" t="s">
        <v>2863</v>
      </c>
      <c r="D2868" s="3" t="str">
        <f>IFERROR(__xludf.DUMMYFUNCTION("GOOGLETRANSLATE(C2868,""en"",""pl"")"),"wieże")</f>
        <v>wieże</v>
      </c>
    </row>
    <row r="2869">
      <c r="C2869" s="1" t="s">
        <v>2864</v>
      </c>
      <c r="D2869" s="3" t="str">
        <f>IFERROR(__xludf.DUMMYFUNCTION("GOOGLETRANSLATE(C2869,""en"",""pl"")"),"nadawczy")</f>
        <v>nadawczy</v>
      </c>
    </row>
    <row r="2870">
      <c r="C2870" s="1" t="s">
        <v>2865</v>
      </c>
      <c r="D2870" s="3" t="str">
        <f>IFERROR(__xludf.DUMMYFUNCTION("GOOGLETRANSLATE(C2870,""en"",""pl"")"),"bankowy")</f>
        <v>bankowy</v>
      </c>
    </row>
    <row r="2871">
      <c r="C2871" s="1" t="s">
        <v>2866</v>
      </c>
      <c r="D2871" s="3" t="str">
        <f>IFERROR(__xludf.DUMMYFUNCTION("GOOGLETRANSLATE(C2871,""en"",""pl"")"),"przypominając")</f>
        <v>przypominając</v>
      </c>
    </row>
    <row r="2872">
      <c r="C2872" s="1" t="s">
        <v>2867</v>
      </c>
      <c r="D2872" s="3" t="str">
        <f>IFERROR(__xludf.DUMMYFUNCTION("GOOGLETRANSLATE(C2872,""en"",""pl"")"),"Kasiula")</f>
        <v>Kasiula</v>
      </c>
    </row>
    <row r="2873">
      <c r="C2873" s="1" t="s">
        <v>2868</v>
      </c>
      <c r="D2873" s="3" t="str">
        <f>IFERROR(__xludf.DUMMYFUNCTION("GOOGLETRANSLATE(C2873,""en"",""pl"")"),"ośl")</f>
        <v>ośl</v>
      </c>
    </row>
    <row r="2874">
      <c r="C2874" s="1" t="s">
        <v>2869</v>
      </c>
      <c r="D2874" s="3" t="str">
        <f>IFERROR(__xludf.DUMMYFUNCTION("GOOGLETRANSLATE(C2874,""en"",""pl"")"),"Ferguson")</f>
        <v>Ferguson</v>
      </c>
    </row>
    <row r="2875">
      <c r="C2875" s="1" t="s">
        <v>2870</v>
      </c>
      <c r="D2875" s="3" t="str">
        <f>IFERROR(__xludf.DUMMYFUNCTION("GOOGLETRANSLATE(C2875,""en"",""pl"")"),"szacowany")</f>
        <v>szacowany</v>
      </c>
    </row>
    <row r="2876">
      <c r="C2876" s="1" t="s">
        <v>2871</v>
      </c>
      <c r="D2876" s="3" t="str">
        <f>IFERROR(__xludf.DUMMYFUNCTION("GOOGLETRANSLATE(C2876,""en"",""pl"")"),"hebrajski")</f>
        <v>hebrajski</v>
      </c>
    </row>
    <row r="2877">
      <c r="C2877" s="1" t="s">
        <v>2872</v>
      </c>
      <c r="D2877" s="3" t="str">
        <f>IFERROR(__xludf.DUMMYFUNCTION("GOOGLETRANSLATE(C2877,""en"",""pl"")"),"elektronika")</f>
        <v>elektronika</v>
      </c>
    </row>
    <row r="2878">
      <c r="C2878" s="1" t="s">
        <v>2873</v>
      </c>
      <c r="D2878" s="3" t="str">
        <f>IFERROR(__xludf.DUMMYFUNCTION("GOOGLETRANSLATE(C2878,""en"",""pl"")"),"ośmiornica")</f>
        <v>ośmiornica</v>
      </c>
    </row>
    <row r="2879">
      <c r="C2879" s="1" t="s">
        <v>2874</v>
      </c>
      <c r="D2879" s="3" t="str">
        <f>IFERROR(__xludf.DUMMYFUNCTION("GOOGLETRANSLATE(C2879,""en"",""pl"")"),"znaczący")</f>
        <v>znaczący</v>
      </c>
    </row>
    <row r="2880">
      <c r="C2880" s="1" t="s">
        <v>2875</v>
      </c>
      <c r="D2880" s="3" t="str">
        <f>IFERROR(__xludf.DUMMYFUNCTION("GOOGLETRANSLATE(C2880,""en"",""pl"")"),"na mieliźnie")</f>
        <v>na mieliźnie</v>
      </c>
    </row>
    <row r="2881">
      <c r="C2881" s="1" t="s">
        <v>2876</v>
      </c>
      <c r="D2881" s="3" t="str">
        <f>IFERROR(__xludf.DUMMYFUNCTION("GOOGLETRANSLATE(C2881,""en"",""pl"")"),"dzień")</f>
        <v>dzień</v>
      </c>
    </row>
    <row r="2882">
      <c r="C2882" s="1" t="s">
        <v>2877</v>
      </c>
      <c r="D2882" s="3" t="str">
        <f>IFERROR(__xludf.DUMMYFUNCTION("GOOGLETRANSLATE(C2882,""en"",""pl"")"),"posag")</f>
        <v>posag</v>
      </c>
    </row>
    <row r="2883">
      <c r="C2883" s="1" t="s">
        <v>2878</v>
      </c>
      <c r="D2883" s="3" t="str">
        <f>IFERROR(__xludf.DUMMYFUNCTION("GOOGLETRANSLATE(C2883,""en"",""pl"")"),"zagłodzony")</f>
        <v>zagłodzony</v>
      </c>
    </row>
    <row r="2884">
      <c r="C2884" s="1" t="s">
        <v>2879</v>
      </c>
      <c r="D2884" s="3" t="str">
        <f>IFERROR(__xludf.DUMMYFUNCTION("GOOGLETRANSLATE(C2884,""en"",""pl"")"),"była dziewczyna")</f>
        <v>była dziewczyna</v>
      </c>
    </row>
    <row r="2885">
      <c r="C2885" s="1" t="s">
        <v>2880</v>
      </c>
      <c r="D2885" s="3" t="str">
        <f>IFERROR(__xludf.DUMMYFUNCTION("GOOGLETRANSLATE(C2885,""en"",""pl"")"),"kolizja")</f>
        <v>kolizja</v>
      </c>
    </row>
    <row r="2886">
      <c r="C2886" s="1" t="s">
        <v>2881</v>
      </c>
      <c r="D2886" s="3" t="str">
        <f>IFERROR(__xludf.DUMMYFUNCTION("GOOGLETRANSLATE(C2886,""en"",""pl"")"),"przyznając się")</f>
        <v>przyznając się</v>
      </c>
    </row>
    <row r="2887">
      <c r="C2887" s="1" t="s">
        <v>2882</v>
      </c>
      <c r="D2887" s="3" t="str">
        <f>IFERROR(__xludf.DUMMYFUNCTION("GOOGLETRANSLATE(C2887,""en"",""pl"")"),"powrót")</f>
        <v>powrót</v>
      </c>
    </row>
    <row r="2888">
      <c r="C2888" s="1" t="s">
        <v>2883</v>
      </c>
      <c r="D2888" s="3" t="str">
        <f>IFERROR(__xludf.DUMMYFUNCTION("GOOGLETRANSLATE(C2888,""en"",""pl"")"),"węgierski")</f>
        <v>węgierski</v>
      </c>
    </row>
    <row r="2889">
      <c r="C2889" s="1" t="s">
        <v>2884</v>
      </c>
      <c r="D2889" s="3" t="str">
        <f>IFERROR(__xludf.DUMMYFUNCTION("GOOGLETRANSLATE(C2889,""en"",""pl"")"),"wydział")</f>
        <v>wydział</v>
      </c>
    </row>
    <row r="2890">
      <c r="C2890" s="1" t="s">
        <v>2885</v>
      </c>
      <c r="D2890" s="3" t="str">
        <f>IFERROR(__xludf.DUMMYFUNCTION("GOOGLETRANSLATE(C2890,""en"",""pl"")"),"operacyjny")</f>
        <v>operacyjny</v>
      </c>
    </row>
    <row r="2891">
      <c r="C2891" s="1" t="s">
        <v>2886</v>
      </c>
      <c r="D2891" s="3" t="str">
        <f>IFERROR(__xludf.DUMMYFUNCTION("GOOGLETRANSLATE(C2891,""en"",""pl"")"),"Liza")</f>
        <v>Liza</v>
      </c>
    </row>
    <row r="2892">
      <c r="C2892" s="1" t="s">
        <v>2887</v>
      </c>
      <c r="D2892" s="3" t="str">
        <f>IFERROR(__xludf.DUMMYFUNCTION("GOOGLETRANSLATE(C2892,""en"",""pl"")"),"najemcy")</f>
        <v>najemcy</v>
      </c>
    </row>
    <row r="2893">
      <c r="C2893" s="1" t="s">
        <v>2888</v>
      </c>
      <c r="D2893" s="3" t="str">
        <f>IFERROR(__xludf.DUMMYFUNCTION("GOOGLETRANSLATE(C2893,""en"",""pl"")"),"odkrywczy")</f>
        <v>odkrywczy</v>
      </c>
    </row>
    <row r="2894">
      <c r="C2894" s="1" t="s">
        <v>2889</v>
      </c>
      <c r="D2894" s="3" t="str">
        <f>IFERROR(__xludf.DUMMYFUNCTION("GOOGLETRANSLATE(C2894,""en"",""pl"")"),"ko")</f>
        <v>ko</v>
      </c>
    </row>
    <row r="2895">
      <c r="C2895" s="1" t="s">
        <v>2890</v>
      </c>
      <c r="D2895" s="3" t="str">
        <f>IFERROR(__xludf.DUMMYFUNCTION("GOOGLETRANSLATE(C2895,""en"",""pl"")"),"uncja")</f>
        <v>uncja</v>
      </c>
    </row>
    <row r="2896">
      <c r="C2896" s="1" t="s">
        <v>2891</v>
      </c>
      <c r="D2896" s="3" t="str">
        <f>IFERROR(__xludf.DUMMYFUNCTION("GOOGLETRANSLATE(C2896,""en"",""pl"")"),"śródziemnomorski")</f>
        <v>śródziemnomorski</v>
      </c>
    </row>
    <row r="2897">
      <c r="C2897" s="1" t="s">
        <v>2892</v>
      </c>
      <c r="D2897" s="3" t="str">
        <f>IFERROR(__xludf.DUMMYFUNCTION("GOOGLETRANSLATE(C2897,""en"",""pl"")"),"urządzenie")</f>
        <v>urządzenie</v>
      </c>
    </row>
    <row r="2898">
      <c r="C2898" s="1" t="s">
        <v>2893</v>
      </c>
      <c r="D2898" s="3" t="str">
        <f>IFERROR(__xludf.DUMMYFUNCTION("GOOGLETRANSLATE(C2898,""en"",""pl"")"),"ratownicy medyczni")</f>
        <v>ratownicy medyczni</v>
      </c>
    </row>
    <row r="2899">
      <c r="C2899" s="1" t="s">
        <v>2894</v>
      </c>
      <c r="D2899" s="3" t="str">
        <f>IFERROR(__xludf.DUMMYFUNCTION("GOOGLETRANSLATE(C2899,""en"",""pl"")"),"konsola")</f>
        <v>konsola</v>
      </c>
    </row>
    <row r="2900">
      <c r="C2900" s="1" t="s">
        <v>2895</v>
      </c>
      <c r="D2900" s="3" t="str">
        <f>IFERROR(__xludf.DUMMYFUNCTION("GOOGLETRANSLATE(C2900,""en"",""pl"")"),"Cyryl")</f>
        <v>Cyryl</v>
      </c>
    </row>
    <row r="2901">
      <c r="C2901" s="1" t="s">
        <v>2896</v>
      </c>
      <c r="D2901" s="3" t="str">
        <f>IFERROR(__xludf.DUMMYFUNCTION("GOOGLETRANSLATE(C2901,""en"",""pl"")"),"kalesony")</f>
        <v>kalesony</v>
      </c>
    </row>
    <row r="2902">
      <c r="C2902" s="1" t="s">
        <v>2897</v>
      </c>
      <c r="D2902" s="3" t="str">
        <f>IFERROR(__xludf.DUMMYFUNCTION("GOOGLETRANSLATE(C2902,""en"",""pl"")"),"karawana")</f>
        <v>karawana</v>
      </c>
    </row>
    <row r="2903">
      <c r="C2903" s="1" t="s">
        <v>2898</v>
      </c>
      <c r="D2903" s="3" t="str">
        <f>IFERROR(__xludf.DUMMYFUNCTION("GOOGLETRANSLATE(C2903,""en"",""pl"")"),"rdzeniowy")</f>
        <v>rdzeniowy</v>
      </c>
    </row>
    <row r="2904">
      <c r="C2904" s="1" t="s">
        <v>2899</v>
      </c>
      <c r="D2904" s="3" t="str">
        <f>IFERROR(__xludf.DUMMYFUNCTION("GOOGLETRANSLATE(C2904,""en"",""pl"")"),"szkoda")</f>
        <v>szkoda</v>
      </c>
    </row>
    <row r="2905">
      <c r="C2905" s="1" t="s">
        <v>2900</v>
      </c>
      <c r="D2905" s="3" t="str">
        <f>IFERROR(__xludf.DUMMYFUNCTION("GOOGLETRANSLATE(C2905,""en"",""pl"")"),"okaleczony")</f>
        <v>okaleczony</v>
      </c>
    </row>
    <row r="2906">
      <c r="C2906" s="1" t="s">
        <v>2901</v>
      </c>
      <c r="D2906" s="3" t="str">
        <f>IFERROR(__xludf.DUMMYFUNCTION("GOOGLETRANSLATE(C2906,""en"",""pl"")"),"krwawić")</f>
        <v>krwawić</v>
      </c>
    </row>
    <row r="2907">
      <c r="C2907" s="1" t="s">
        <v>2902</v>
      </c>
      <c r="D2907" s="3" t="str">
        <f>IFERROR(__xludf.DUMMYFUNCTION("GOOGLETRANSLATE(C2907,""en"",""pl"")"),"przeciwstawiać się")</f>
        <v>przeciwstawiać się</v>
      </c>
    </row>
    <row r="2908">
      <c r="C2908" s="1" t="s">
        <v>2903</v>
      </c>
      <c r="D2908" s="3" t="str">
        <f>IFERROR(__xludf.DUMMYFUNCTION("GOOGLETRANSLATE(C2908,""en"",""pl"")"),"księżyc")</f>
        <v>księżyc</v>
      </c>
    </row>
    <row r="2909">
      <c r="C2909" s="1" t="s">
        <v>2904</v>
      </c>
      <c r="D2909" s="3" t="str">
        <f>IFERROR(__xludf.DUMMYFUNCTION("GOOGLETRANSLATE(C2909,""en"",""pl"")"),"zioła")</f>
        <v>zioła</v>
      </c>
    </row>
    <row r="2910">
      <c r="C2910" s="1" t="s">
        <v>2905</v>
      </c>
      <c r="D2910" s="3" t="str">
        <f>IFERROR(__xludf.DUMMYFUNCTION("GOOGLETRANSLATE(C2910,""en"",""pl"")"),"chłopak")</f>
        <v>chłopak</v>
      </c>
    </row>
    <row r="2911">
      <c r="C2911" s="1" t="s">
        <v>2906</v>
      </c>
      <c r="D2911" s="3" t="str">
        <f>IFERROR(__xludf.DUMMYFUNCTION("GOOGLETRANSLATE(C2911,""en"",""pl"")"),"kolejka")</f>
        <v>kolejka</v>
      </c>
    </row>
    <row r="2912">
      <c r="C2912" s="1" t="s">
        <v>2907</v>
      </c>
      <c r="D2912" s="3" t="str">
        <f>IFERROR(__xludf.DUMMYFUNCTION("GOOGLETRANSLATE(C2912,""en"",""pl"")"),"oślepiony")</f>
        <v>oślepiony</v>
      </c>
    </row>
    <row r="2913">
      <c r="C2913" s="1" t="s">
        <v>2908</v>
      </c>
      <c r="D2913" s="3" t="str">
        <f>IFERROR(__xludf.DUMMYFUNCTION("GOOGLETRANSLATE(C2913,""en"",""pl"")"),"studia")</f>
        <v>studia</v>
      </c>
    </row>
    <row r="2914">
      <c r="C2914" s="1" t="s">
        <v>2909</v>
      </c>
      <c r="D2914" s="3" t="str">
        <f>IFERROR(__xludf.DUMMYFUNCTION("GOOGLETRANSLATE(C2914,""en"",""pl"")"),"9.")</f>
        <v>9.</v>
      </c>
    </row>
    <row r="2915">
      <c r="C2915" s="1" t="s">
        <v>2910</v>
      </c>
      <c r="D2915" s="3" t="str">
        <f>IFERROR(__xludf.DUMMYFUNCTION("GOOGLETRANSLATE(C2915,""en"",""pl"")"),"kurwa mać")</f>
        <v>kurwa mać</v>
      </c>
    </row>
    <row r="2916">
      <c r="C2916" s="1" t="s">
        <v>2911</v>
      </c>
      <c r="D2916" s="3" t="str">
        <f>IFERROR(__xludf.DUMMYFUNCTION("GOOGLETRANSLATE(C2916,""en"",""pl"")"),"wgłębienie")</f>
        <v>wgłębienie</v>
      </c>
    </row>
    <row r="2917">
      <c r="C2917" s="1" t="s">
        <v>2912</v>
      </c>
      <c r="D2917" s="3" t="str">
        <f>IFERROR(__xludf.DUMMYFUNCTION("GOOGLETRANSLATE(C2917,""en"",""pl"")"),"odliczanie")</f>
        <v>odliczanie</v>
      </c>
    </row>
    <row r="2918">
      <c r="C2918" s="1" t="s">
        <v>2913</v>
      </c>
      <c r="D2918" s="3" t="str">
        <f>IFERROR(__xludf.DUMMYFUNCTION("GOOGLETRANSLATE(C2918,""en"",""pl"")"),"Maddy")</f>
        <v>Maddy</v>
      </c>
    </row>
    <row r="2919">
      <c r="C2919" s="1" t="s">
        <v>2914</v>
      </c>
      <c r="D2919" s="3" t="str">
        <f>IFERROR(__xludf.DUMMYFUNCTION("GOOGLETRANSLATE(C2919,""en"",""pl"")"),"Drakula")</f>
        <v>Drakula</v>
      </c>
    </row>
    <row r="2920">
      <c r="C2920" s="1" t="s">
        <v>2915</v>
      </c>
      <c r="D2920" s="3" t="str">
        <f>IFERROR(__xludf.DUMMYFUNCTION("GOOGLETRANSLATE(C2920,""en"",""pl"")"),"alarmy")</f>
        <v>alarmy</v>
      </c>
    </row>
    <row r="2921">
      <c r="C2921" s="1" t="s">
        <v>2916</v>
      </c>
      <c r="D2921" s="3" t="str">
        <f>IFERROR(__xludf.DUMMYFUNCTION("GOOGLETRANSLATE(C2921,""en"",""pl"")"),"zyskać")</f>
        <v>zyskać</v>
      </c>
    </row>
    <row r="2922">
      <c r="C2922" s="1" t="s">
        <v>2917</v>
      </c>
      <c r="D2922" s="3" t="str">
        <f>IFERROR(__xludf.DUMMYFUNCTION("GOOGLETRANSLATE(C2922,""en"",""pl"")"),"rozgrywający")</f>
        <v>rozgrywający</v>
      </c>
    </row>
    <row r="2923">
      <c r="C2923" s="1" t="s">
        <v>2918</v>
      </c>
      <c r="D2923" s="3" t="str">
        <f>IFERROR(__xludf.DUMMYFUNCTION("GOOGLETRANSLATE(C2923,""en"",""pl"")"),"maksyma")</f>
        <v>maksyma</v>
      </c>
    </row>
    <row r="2924">
      <c r="C2924" s="1" t="s">
        <v>2919</v>
      </c>
      <c r="D2924" s="3" t="str">
        <f>IFERROR(__xludf.DUMMYFUNCTION("GOOGLETRANSLATE(C2924,""en"",""pl"")"),"eminencja")</f>
        <v>eminencja</v>
      </c>
    </row>
    <row r="2925">
      <c r="C2925" s="1" t="s">
        <v>2920</v>
      </c>
      <c r="D2925" s="3" t="str">
        <f>IFERROR(__xludf.DUMMYFUNCTION("GOOGLETRANSLATE(C2925,""en"",""pl"")"),"chętnie")</f>
        <v>chętnie</v>
      </c>
    </row>
    <row r="2926">
      <c r="C2926" s="1" t="s">
        <v>2921</v>
      </c>
      <c r="D2926" s="3" t="str">
        <f>IFERROR(__xludf.DUMMYFUNCTION("GOOGLETRANSLATE(C2926,""en"",""pl"")"),"śledczy")</f>
        <v>śledczy</v>
      </c>
    </row>
    <row r="2927">
      <c r="C2927" s="1" t="s">
        <v>2922</v>
      </c>
      <c r="D2927" s="3" t="str">
        <f>IFERROR(__xludf.DUMMYFUNCTION("GOOGLETRANSLATE(C2927,""en"",""pl"")"),"spekulacja")</f>
        <v>spekulacja</v>
      </c>
    </row>
    <row r="2928">
      <c r="C2928" s="1" t="s">
        <v>2923</v>
      </c>
      <c r="D2928" s="3" t="str">
        <f>IFERROR(__xludf.DUMMYFUNCTION("GOOGLETRANSLATE(C2928,""en"",""pl"")"),"do")</f>
        <v>do</v>
      </c>
    </row>
    <row r="2929">
      <c r="C2929" s="1" t="s">
        <v>2924</v>
      </c>
      <c r="D2929" s="3" t="str">
        <f>IFERROR(__xludf.DUMMYFUNCTION("GOOGLETRANSLATE(C2929,""en"",""pl"")"),"jaśniejszy")</f>
        <v>jaśniejszy</v>
      </c>
    </row>
    <row r="2930">
      <c r="C2930" s="1" t="s">
        <v>2925</v>
      </c>
      <c r="D2930" s="3" t="str">
        <f>IFERROR(__xludf.DUMMYFUNCTION("GOOGLETRANSLATE(C2930,""en"",""pl"")"),"gin")</f>
        <v>gin</v>
      </c>
    </row>
    <row r="2931">
      <c r="C2931" s="1" t="s">
        <v>2926</v>
      </c>
      <c r="D2931" s="3" t="str">
        <f>IFERROR(__xludf.DUMMYFUNCTION("GOOGLETRANSLATE(C2931,""en"",""pl"")"),"bezczelny")</f>
        <v>bezczelny</v>
      </c>
    </row>
    <row r="2932">
      <c r="C2932" s="1" t="s">
        <v>2927</v>
      </c>
      <c r="D2932" s="3" t="str">
        <f>IFERROR(__xludf.DUMMYFUNCTION("GOOGLETRANSLATE(C2932,""en"",""pl"")"),"bezsilny")</f>
        <v>bezsilny</v>
      </c>
    </row>
    <row r="2933">
      <c r="C2933" s="1" t="s">
        <v>2928</v>
      </c>
      <c r="D2933" s="3" t="str">
        <f>IFERROR(__xludf.DUMMYFUNCTION("GOOGLETRANSLATE(C2933,""en"",""pl"")"),"Laponia")</f>
        <v>Laponia</v>
      </c>
    </row>
    <row r="2934">
      <c r="C2934" s="1" t="s">
        <v>2929</v>
      </c>
      <c r="D2934" s="3" t="str">
        <f>IFERROR(__xludf.DUMMYFUNCTION("GOOGLETRANSLATE(C2934,""en"",""pl"")"),"okrucieństwo")</f>
        <v>okrucieństwo</v>
      </c>
    </row>
    <row r="2935">
      <c r="C2935" s="1" t="s">
        <v>2930</v>
      </c>
      <c r="D2935" s="3" t="str">
        <f>IFERROR(__xludf.DUMMYFUNCTION("GOOGLETRANSLATE(C2935,""en"",""pl"")"),"zewnętrzny")</f>
        <v>zewnętrzny</v>
      </c>
    </row>
    <row r="2936">
      <c r="C2936" s="1" t="s">
        <v>2931</v>
      </c>
      <c r="D2936" s="3" t="str">
        <f>IFERROR(__xludf.DUMMYFUNCTION("GOOGLETRANSLATE(C2936,""en"",""pl"")"),"Ardżuna")</f>
        <v>Ardżuna</v>
      </c>
    </row>
    <row r="2937">
      <c r="C2937" s="1" t="s">
        <v>2932</v>
      </c>
      <c r="D2937" s="3" t="str">
        <f>IFERROR(__xludf.DUMMYFUNCTION("GOOGLETRANSLATE(C2937,""en"",""pl"")"),"kwarantanna")</f>
        <v>kwarantanna</v>
      </c>
    </row>
    <row r="2938">
      <c r="C2938" s="1" t="s">
        <v>2933</v>
      </c>
      <c r="D2938" s="3" t="str">
        <f>IFERROR(__xludf.DUMMYFUNCTION("GOOGLETRANSLATE(C2938,""en"",""pl"")"),"cicho")</f>
        <v>cicho</v>
      </c>
    </row>
    <row r="2939">
      <c r="C2939" s="1" t="s">
        <v>2934</v>
      </c>
      <c r="D2939" s="3" t="str">
        <f>IFERROR(__xludf.DUMMYFUNCTION("GOOGLETRANSLATE(C2939,""en"",""pl"")"),"oskarżenia")</f>
        <v>oskarżenia</v>
      </c>
    </row>
    <row r="2940">
      <c r="C2940" s="1" t="s">
        <v>2935</v>
      </c>
      <c r="D2940" s="3" t="str">
        <f>IFERROR(__xludf.DUMMYFUNCTION("GOOGLETRANSLATE(C2940,""en"",""pl"")"),"Tytus")</f>
        <v>Tytus</v>
      </c>
    </row>
    <row r="2941">
      <c r="C2941" s="1" t="s">
        <v>2936</v>
      </c>
      <c r="D2941" s="3" t="str">
        <f>IFERROR(__xludf.DUMMYFUNCTION("GOOGLETRANSLATE(C2941,""en"",""pl"")"),"piaski")</f>
        <v>piaski</v>
      </c>
    </row>
    <row r="2942">
      <c r="C2942" s="1" t="s">
        <v>2937</v>
      </c>
      <c r="D2942" s="3" t="str">
        <f>IFERROR(__xludf.DUMMYFUNCTION("GOOGLETRANSLATE(C2942,""en"",""pl"")"),"pisownia")</f>
        <v>pisownia</v>
      </c>
    </row>
    <row r="2943">
      <c r="C2943" s="1" t="s">
        <v>2938</v>
      </c>
      <c r="D2943" s="3" t="str">
        <f>IFERROR(__xludf.DUMMYFUNCTION("GOOGLETRANSLATE(C2943,""en"",""pl"")"),"czy")</f>
        <v>czy</v>
      </c>
    </row>
    <row r="2944">
      <c r="C2944" s="1" t="s">
        <v>2939</v>
      </c>
      <c r="D2944" s="3" t="str">
        <f>IFERROR(__xludf.DUMMYFUNCTION("GOOGLETRANSLATE(C2944,""en"",""pl"")"),"nagłówek")</f>
        <v>nagłówek</v>
      </c>
    </row>
    <row r="2945">
      <c r="C2945" s="1" t="s">
        <v>2940</v>
      </c>
      <c r="D2945" s="3" t="str">
        <f>IFERROR(__xludf.DUMMYFUNCTION("GOOGLETRANSLATE(C2945,""en"",""pl"")"),"Talibowie")</f>
        <v>Talibowie</v>
      </c>
    </row>
    <row r="2946">
      <c r="C2946" s="1" t="s">
        <v>2941</v>
      </c>
      <c r="D2946" s="3" t="str">
        <f>IFERROR(__xludf.DUMMYFUNCTION("GOOGLETRANSLATE(C2946,""en"",""pl"")"),"tabletka")</f>
        <v>tabletka</v>
      </c>
    </row>
    <row r="2947">
      <c r="C2947" s="1" t="s">
        <v>2942</v>
      </c>
      <c r="D2947" s="3" t="str">
        <f>IFERROR(__xludf.DUMMYFUNCTION("GOOGLETRANSLATE(C2947,""en"",""pl"")"),"założyciel")</f>
        <v>założyciel</v>
      </c>
    </row>
    <row r="2948">
      <c r="C2948" s="1" t="s">
        <v>2943</v>
      </c>
      <c r="D2948" s="3" t="str">
        <f>IFERROR(__xludf.DUMMYFUNCTION("GOOGLETRANSLATE(C2948,""en"",""pl"")"),"Gandhi")</f>
        <v>Gandhi</v>
      </c>
    </row>
    <row r="2949">
      <c r="C2949" s="1" t="s">
        <v>2944</v>
      </c>
      <c r="D2949" s="3" t="str">
        <f>IFERROR(__xludf.DUMMYFUNCTION("GOOGLETRANSLATE(C2949,""en"",""pl"")"),"zdusić")</f>
        <v>zdusić</v>
      </c>
    </row>
    <row r="2950">
      <c r="C2950" s="1" t="s">
        <v>2945</v>
      </c>
      <c r="D2950" s="3" t="str">
        <f>IFERROR(__xludf.DUMMYFUNCTION("GOOGLETRANSLATE(C2950,""en"",""pl"")"),"Josie")</f>
        <v>Josie</v>
      </c>
    </row>
    <row r="2951">
      <c r="C2951" s="1" t="s">
        <v>2946</v>
      </c>
      <c r="D2951" s="3" t="str">
        <f>IFERROR(__xludf.DUMMYFUNCTION("GOOGLETRANSLATE(C2951,""en"",""pl"")"),"odrzutowce")</f>
        <v>odrzutowce</v>
      </c>
    </row>
    <row r="2952">
      <c r="C2952" s="1" t="s">
        <v>2947</v>
      </c>
      <c r="D2952" s="3" t="str">
        <f>IFERROR(__xludf.DUMMYFUNCTION("GOOGLETRANSLATE(C2952,""en"",""pl"")"),"salon")</f>
        <v>salon</v>
      </c>
    </row>
    <row r="2953">
      <c r="C2953" s="1" t="s">
        <v>2948</v>
      </c>
      <c r="D2953" s="3" t="str">
        <f>IFERROR(__xludf.DUMMYFUNCTION("GOOGLETRANSLATE(C2953,""en"",""pl"")"),"czesne")</f>
        <v>czesne</v>
      </c>
    </row>
    <row r="2954">
      <c r="C2954" s="1" t="s">
        <v>2949</v>
      </c>
      <c r="D2954" s="3" t="str">
        <f>IFERROR(__xludf.DUMMYFUNCTION("GOOGLETRANSLATE(C2954,""en"",""pl"")"),"oswojony")</f>
        <v>oswojony</v>
      </c>
    </row>
    <row r="2955">
      <c r="C2955" s="1" t="s">
        <v>2950</v>
      </c>
      <c r="D2955" s="3" t="str">
        <f>IFERROR(__xludf.DUMMYFUNCTION("GOOGLETRANSLATE(C2955,""en"",""pl"")"),"okolicznościowy")</f>
        <v>okolicznościowy</v>
      </c>
    </row>
    <row r="2956">
      <c r="C2956" s="1" t="s">
        <v>2951</v>
      </c>
      <c r="D2956" s="3" t="str">
        <f>IFERROR(__xludf.DUMMYFUNCTION("GOOGLETRANSLATE(C2956,""en"",""pl"")"),"przeprosił")</f>
        <v>przeprosił</v>
      </c>
    </row>
    <row r="2957">
      <c r="C2957" s="1" t="s">
        <v>2952</v>
      </c>
      <c r="D2957" s="3" t="str">
        <f>IFERROR(__xludf.DUMMYFUNCTION("GOOGLETRANSLATE(C2957,""en"",""pl"")"),"kliniczny")</f>
        <v>kliniczny</v>
      </c>
    </row>
    <row r="2958">
      <c r="C2958" s="1" t="s">
        <v>2953</v>
      </c>
      <c r="D2958" s="3" t="str">
        <f>IFERROR(__xludf.DUMMYFUNCTION("GOOGLETRANSLATE(C2958,""en"",""pl"")"),"wąż")</f>
        <v>wąż</v>
      </c>
    </row>
    <row r="2959">
      <c r="C2959" s="1" t="s">
        <v>2954</v>
      </c>
      <c r="D2959" s="3" t="str">
        <f>IFERROR(__xludf.DUMMYFUNCTION("GOOGLETRANSLATE(C2959,""en"",""pl"")"),"krytyka")</f>
        <v>krytyka</v>
      </c>
    </row>
    <row r="2960">
      <c r="C2960" s="1" t="s">
        <v>2955</v>
      </c>
      <c r="D2960" s="3" t="str">
        <f>IFERROR(__xludf.DUMMYFUNCTION("GOOGLETRANSLATE(C2960,""en"",""pl"")"),"tracz")</f>
        <v>tracz</v>
      </c>
    </row>
    <row r="2961">
      <c r="C2961" s="1" t="s">
        <v>2956</v>
      </c>
      <c r="D2961" s="3" t="str">
        <f>IFERROR(__xludf.DUMMYFUNCTION("GOOGLETRANSLATE(C2961,""en"",""pl"")"),"zblakły")</f>
        <v>zblakły</v>
      </c>
    </row>
    <row r="2962">
      <c r="C2962" s="1" t="s">
        <v>2957</v>
      </c>
      <c r="D2962" s="3" t="str">
        <f>IFERROR(__xludf.DUMMYFUNCTION("GOOGLETRANSLATE(C2962,""en"",""pl"")"),"Wiktor")</f>
        <v>Wiktor</v>
      </c>
    </row>
    <row r="2963">
      <c r="C2963" s="1" t="s">
        <v>2958</v>
      </c>
      <c r="D2963" s="3" t="str">
        <f>IFERROR(__xludf.DUMMYFUNCTION("GOOGLETRANSLATE(C2963,""en"",""pl"")"),"rekwizyt")</f>
        <v>rekwizyt</v>
      </c>
    </row>
    <row r="2964">
      <c r="C2964" s="1" t="s">
        <v>2959</v>
      </c>
      <c r="D2964" s="3" t="str">
        <f>IFERROR(__xludf.DUMMYFUNCTION("GOOGLETRANSLATE(C2964,""en"",""pl"")"),"wepchnięty")</f>
        <v>wepchnięty</v>
      </c>
    </row>
    <row r="2965">
      <c r="C2965" s="1" t="s">
        <v>2960</v>
      </c>
      <c r="D2965" s="3" t="str">
        <f>IFERROR(__xludf.DUMMYFUNCTION("GOOGLETRANSLATE(C2965,""en"",""pl"")"),"zaszyć")</f>
        <v>zaszyć</v>
      </c>
    </row>
    <row r="2966">
      <c r="C2966" s="1" t="s">
        <v>2961</v>
      </c>
      <c r="D2966" s="3" t="str">
        <f>IFERROR(__xludf.DUMMYFUNCTION("GOOGLETRANSLATE(C2966,""en"",""pl"")"),"samotny")</f>
        <v>samotny</v>
      </c>
    </row>
    <row r="2967">
      <c r="C2967" s="1" t="s">
        <v>2962</v>
      </c>
      <c r="D2967" s="3" t="str">
        <f>IFERROR(__xludf.DUMMYFUNCTION("GOOGLETRANSLATE(C2967,""en"",""pl"")"),"osobno")</f>
        <v>osobno</v>
      </c>
    </row>
    <row r="2968">
      <c r="C2968" s="1" t="s">
        <v>2963</v>
      </c>
      <c r="D2968" s="3" t="str">
        <f>IFERROR(__xludf.DUMMYFUNCTION("GOOGLETRANSLATE(C2968,""en"",""pl"")"),"rejestracja")</f>
        <v>rejestracja</v>
      </c>
    </row>
    <row r="2969">
      <c r="C2969" s="1" t="s">
        <v>2964</v>
      </c>
      <c r="D2969" s="3" t="str">
        <f>IFERROR(__xludf.DUMMYFUNCTION("GOOGLETRANSLATE(C2969,""en"",""pl"")"),"owieczko")</f>
        <v>owieczko</v>
      </c>
    </row>
    <row r="2970">
      <c r="C2970" s="1" t="s">
        <v>2965</v>
      </c>
      <c r="D2970" s="3" t="str">
        <f>IFERROR(__xludf.DUMMYFUNCTION("GOOGLETRANSLATE(C2970,""en"",""pl"")"),"czekanie")</f>
        <v>czekanie</v>
      </c>
    </row>
    <row r="2971">
      <c r="C2971" s="4" t="s">
        <v>2966</v>
      </c>
      <c r="D2971" s="3" t="str">
        <f>IFERROR(__xludf.DUMMYFUNCTION("GOOGLETRANSLATE(C2971,""en"",""pl"")"),"N")</f>
        <v>N</v>
      </c>
    </row>
    <row r="2972">
      <c r="C2972" s="1" t="s">
        <v>2967</v>
      </c>
      <c r="D2972" s="3" t="str">
        <f>IFERROR(__xludf.DUMMYFUNCTION("GOOGLETRANSLATE(C2972,""en"",""pl"")"),"legion")</f>
        <v>legion</v>
      </c>
    </row>
    <row r="2973">
      <c r="C2973" s="1" t="s">
        <v>2968</v>
      </c>
      <c r="D2973" s="3" t="str">
        <f>IFERROR(__xludf.DUMMYFUNCTION("GOOGLETRANSLATE(C2973,""en"",""pl"")"),"tsk")</f>
        <v>tsk</v>
      </c>
    </row>
    <row r="2974">
      <c r="C2974" s="1" t="s">
        <v>2969</v>
      </c>
      <c r="D2974" s="3" t="str">
        <f>IFERROR(__xludf.DUMMYFUNCTION("GOOGLETRANSLATE(C2974,""en"",""pl"")"),"Arabowie")</f>
        <v>Arabowie</v>
      </c>
    </row>
    <row r="2975">
      <c r="C2975" s="1" t="s">
        <v>2970</v>
      </c>
      <c r="D2975" s="3" t="str">
        <f>IFERROR(__xludf.DUMMYFUNCTION("GOOGLETRANSLATE(C2975,""en"",""pl"")"),"towarzyszył")</f>
        <v>towarzyszył</v>
      </c>
    </row>
    <row r="2976">
      <c r="C2976" s="1" t="s">
        <v>2971</v>
      </c>
      <c r="D2976" s="3" t="str">
        <f>IFERROR(__xludf.DUMMYFUNCTION("GOOGLETRANSLATE(C2976,""en"",""pl"")"),"nadepnąć")</f>
        <v>nadepnąć</v>
      </c>
    </row>
    <row r="2977">
      <c r="C2977" s="1" t="s">
        <v>2972</v>
      </c>
      <c r="D2977" s="3" t="str">
        <f>IFERROR(__xludf.DUMMYFUNCTION("GOOGLETRANSLATE(C2977,""en"",""pl"")"),"ustalenia")</f>
        <v>ustalenia</v>
      </c>
    </row>
    <row r="2978">
      <c r="C2978" s="1" t="s">
        <v>2973</v>
      </c>
      <c r="D2978" s="3" t="str">
        <f>IFERROR(__xludf.DUMMYFUNCTION("GOOGLETRANSLATE(C2978,""en"",""pl"")"),"Toronto")</f>
        <v>Toronto</v>
      </c>
    </row>
    <row r="2979">
      <c r="C2979" s="1" t="s">
        <v>2974</v>
      </c>
      <c r="D2979" s="3" t="str">
        <f>IFERROR(__xludf.DUMMYFUNCTION("GOOGLETRANSLATE(C2979,""en"",""pl"")"),"wykorzystać")</f>
        <v>wykorzystać</v>
      </c>
    </row>
    <row r="2980">
      <c r="C2980" s="1" t="s">
        <v>2975</v>
      </c>
      <c r="D2980" s="3" t="str">
        <f>IFERROR(__xludf.DUMMYFUNCTION("GOOGLETRANSLATE(C2980,""en"",""pl"")"),"proponowanie")</f>
        <v>proponowanie</v>
      </c>
    </row>
    <row r="2981">
      <c r="C2981" s="1" t="s">
        <v>2976</v>
      </c>
      <c r="D2981" s="3" t="str">
        <f>IFERROR(__xludf.DUMMYFUNCTION("GOOGLETRANSLATE(C2981,""en"",""pl"")"),"shi")</f>
        <v>shi</v>
      </c>
    </row>
    <row r="2982">
      <c r="C2982" s="1" t="s">
        <v>2977</v>
      </c>
      <c r="D2982" s="3" t="str">
        <f>IFERROR(__xludf.DUMMYFUNCTION("GOOGLETRANSLATE(C2982,""en"",""pl"")"),"Skorpion")</f>
        <v>Skorpion</v>
      </c>
    </row>
    <row r="2983">
      <c r="C2983" s="1" t="s">
        <v>2978</v>
      </c>
      <c r="D2983" s="3" t="str">
        <f>IFERROR(__xludf.DUMMYFUNCTION("GOOGLETRANSLATE(C2983,""en"",""pl"")"),"z-")</f>
        <v>z-</v>
      </c>
    </row>
    <row r="2984">
      <c r="C2984" s="1" t="s">
        <v>2979</v>
      </c>
      <c r="D2984" s="3" t="str">
        <f>IFERROR(__xludf.DUMMYFUNCTION("GOOGLETRANSLATE(C2984,""en"",""pl"")"),"Zoey")</f>
        <v>Zoey</v>
      </c>
    </row>
    <row r="2985">
      <c r="C2985" s="1" t="s">
        <v>2980</v>
      </c>
      <c r="D2985" s="3" t="str">
        <f>IFERROR(__xludf.DUMMYFUNCTION("GOOGLETRANSLATE(C2985,""en"",""pl"")"),"krawężnik")</f>
        <v>krawężnik</v>
      </c>
    </row>
    <row r="2986">
      <c r="C2986" s="1" t="s">
        <v>2981</v>
      </c>
      <c r="D2986" s="3" t="str">
        <f>IFERROR(__xludf.DUMMYFUNCTION("GOOGLETRANSLATE(C2986,""en"",""pl"")"),"opium")</f>
        <v>opium</v>
      </c>
    </row>
    <row r="2987">
      <c r="C2987" s="1" t="s">
        <v>2982</v>
      </c>
      <c r="D2987" s="3" t="str">
        <f>IFERROR(__xludf.DUMMYFUNCTION("GOOGLETRANSLATE(C2987,""en"",""pl"")"),"atletyczny")</f>
        <v>atletyczny</v>
      </c>
    </row>
    <row r="2988">
      <c r="C2988" s="1" t="s">
        <v>2983</v>
      </c>
      <c r="D2988" s="3" t="str">
        <f>IFERROR(__xludf.DUMMYFUNCTION("GOOGLETRANSLATE(C2988,""en"",""pl"")"),"zbombardowany")</f>
        <v>zbombardowany</v>
      </c>
    </row>
    <row r="2989">
      <c r="C2989" s="1" t="s">
        <v>2984</v>
      </c>
      <c r="D2989" s="3" t="str">
        <f>IFERROR(__xludf.DUMMYFUNCTION("GOOGLETRANSLATE(C2989,""en"",""pl"")"),"sweter")</f>
        <v>sweter</v>
      </c>
    </row>
    <row r="2990">
      <c r="C2990" s="1" t="s">
        <v>2985</v>
      </c>
      <c r="D2990" s="3" t="str">
        <f>IFERROR(__xludf.DUMMYFUNCTION("GOOGLETRANSLATE(C2990,""en"",""pl"")"),"słabszy")</f>
        <v>słabszy</v>
      </c>
    </row>
    <row r="2991">
      <c r="C2991" s="1" t="s">
        <v>2986</v>
      </c>
      <c r="D2991" s="3" t="str">
        <f>IFERROR(__xludf.DUMMYFUNCTION("GOOGLETRANSLATE(C2991,""en"",""pl"")"),"pozwać")</f>
        <v>pozwać</v>
      </c>
    </row>
    <row r="2992">
      <c r="C2992" s="1" t="s">
        <v>2987</v>
      </c>
      <c r="D2992" s="3" t="str">
        <f>IFERROR(__xludf.DUMMYFUNCTION("GOOGLETRANSLATE(C2992,""en"",""pl"")"),"Bianka")</f>
        <v>Bianka</v>
      </c>
    </row>
    <row r="2993">
      <c r="C2993" s="1" t="s">
        <v>2988</v>
      </c>
      <c r="D2993" s="3" t="str">
        <f>IFERROR(__xludf.DUMMYFUNCTION("GOOGLETRANSLATE(C2993,""en"",""pl"")"),"seminarium")</f>
        <v>seminarium</v>
      </c>
    </row>
    <row r="2994">
      <c r="C2994" s="1" t="s">
        <v>2989</v>
      </c>
      <c r="D2994" s="3" t="str">
        <f>IFERROR(__xludf.DUMMYFUNCTION("GOOGLETRANSLATE(C2994,""en"",""pl"")"),"potwierdza")</f>
        <v>potwierdza</v>
      </c>
    </row>
    <row r="2995">
      <c r="C2995" s="1" t="s">
        <v>2990</v>
      </c>
      <c r="D2995" s="3" t="str">
        <f>IFERROR(__xludf.DUMMYFUNCTION("GOOGLETRANSLATE(C2995,""en"",""pl"")"),"rozpocząć")</f>
        <v>rozpocząć</v>
      </c>
    </row>
    <row r="2996">
      <c r="C2996" s="1" t="s">
        <v>2991</v>
      </c>
      <c r="D2996" s="3" t="str">
        <f>IFERROR(__xludf.DUMMYFUNCTION("GOOGLETRANSLATE(C2996,""en"",""pl"")"),"równiny")</f>
        <v>równiny</v>
      </c>
    </row>
    <row r="2997">
      <c r="C2997" s="1" t="s">
        <v>2992</v>
      </c>
      <c r="D2997" s="3" t="str">
        <f>IFERROR(__xludf.DUMMYFUNCTION("GOOGLETRANSLATE(C2997,""en"",""pl"")"),"Debora")</f>
        <v>Debora</v>
      </c>
    </row>
    <row r="2998">
      <c r="C2998" s="1" t="s">
        <v>2993</v>
      </c>
      <c r="D2998" s="3" t="str">
        <f>IFERROR(__xludf.DUMMYFUNCTION("GOOGLETRANSLATE(C2998,""en"",""pl"")"),"czytelnicy")</f>
        <v>czytelnicy</v>
      </c>
    </row>
    <row r="2999">
      <c r="C2999" s="1" t="s">
        <v>2994</v>
      </c>
      <c r="D2999" s="3" t="str">
        <f>IFERROR(__xludf.DUMMYFUNCTION("GOOGLETRANSLATE(C2999,""en"",""pl"")"),"zaniedbany")</f>
        <v>zaniedbany</v>
      </c>
    </row>
    <row r="3000">
      <c r="C3000" s="1" t="s">
        <v>2995</v>
      </c>
      <c r="D3000" s="3" t="str">
        <f>IFERROR(__xludf.DUMMYFUNCTION("GOOGLETRANSLATE(C3000,""en"",""pl"")"),"tawerna")</f>
        <v>tawerna</v>
      </c>
    </row>
    <row r="3001">
      <c r="C3001" s="1" t="s">
        <v>2996</v>
      </c>
      <c r="D3001" s="3" t="str">
        <f>IFERROR(__xludf.DUMMYFUNCTION("GOOGLETRANSLATE(C3001,""en"",""pl"")"),"wart")</f>
        <v>wart</v>
      </c>
    </row>
    <row r="3002">
      <c r="C3002" s="1" t="s">
        <v>2997</v>
      </c>
      <c r="D3002" s="3" t="str">
        <f>IFERROR(__xludf.DUMMYFUNCTION("GOOGLETRANSLATE(C3002,""en"",""pl"")"),"morale")</f>
        <v>morale</v>
      </c>
    </row>
    <row r="3003">
      <c r="C3003" s="1" t="s">
        <v>2998</v>
      </c>
      <c r="D3003" s="3" t="str">
        <f>IFERROR(__xludf.DUMMYFUNCTION("GOOGLETRANSLATE(C3003,""en"",""pl"")"),"sprzątacze")</f>
        <v>sprzątacze</v>
      </c>
    </row>
    <row r="3004">
      <c r="C3004" s="1" t="s">
        <v>2999</v>
      </c>
      <c r="D3004" s="3" t="str">
        <f>IFERROR(__xludf.DUMMYFUNCTION("GOOGLETRANSLATE(C3004,""en"",""pl"")"),"kawior")</f>
        <v>kawior</v>
      </c>
    </row>
    <row r="3005">
      <c r="C3005" s="1" t="s">
        <v>3000</v>
      </c>
      <c r="D3005" s="3" t="str">
        <f>IFERROR(__xludf.DUMMYFUNCTION("GOOGLETRANSLATE(C3005,""en"",""pl"")"),"witający")</f>
        <v>witający</v>
      </c>
    </row>
    <row r="3006">
      <c r="C3006" s="1" t="s">
        <v>3001</v>
      </c>
      <c r="D3006" s="3" t="str">
        <f>IFERROR(__xludf.DUMMYFUNCTION("GOOGLETRANSLATE(C3006,""en"",""pl"")"),"Kimberley")</f>
        <v>Kimberley</v>
      </c>
    </row>
    <row r="3007">
      <c r="C3007" s="1" t="s">
        <v>3002</v>
      </c>
      <c r="D3007" s="3" t="str">
        <f>IFERROR(__xludf.DUMMYFUNCTION("GOOGLETRANSLATE(C3007,""en"",""pl"")"),"ocena")</f>
        <v>ocena</v>
      </c>
    </row>
    <row r="3008">
      <c r="C3008" s="1" t="s">
        <v>3003</v>
      </c>
      <c r="D3008" s="3" t="str">
        <f>IFERROR(__xludf.DUMMYFUNCTION("GOOGLETRANSLATE(C3008,""en"",""pl"")"),"F.")</f>
        <v>F.</v>
      </c>
    </row>
    <row r="3009">
      <c r="C3009" s="1" t="s">
        <v>3004</v>
      </c>
      <c r="D3009" s="3" t="str">
        <f>IFERROR(__xludf.DUMMYFUNCTION("GOOGLETRANSLATE(C3009,""en"",""pl"")"),"występuje")</f>
        <v>występuje</v>
      </c>
    </row>
    <row r="3010">
      <c r="C3010" s="1" t="s">
        <v>3005</v>
      </c>
      <c r="D3010" s="3" t="str">
        <f>IFERROR(__xludf.DUMMYFUNCTION("GOOGLETRANSLATE(C3010,""en"",""pl"")"),"rytuały")</f>
        <v>rytuały</v>
      </c>
    </row>
    <row r="3011">
      <c r="C3011" s="1" t="s">
        <v>3006</v>
      </c>
      <c r="D3011" s="3" t="str">
        <f>IFERROR(__xludf.DUMMYFUNCTION("GOOGLETRANSLATE(C3011,""en"",""pl"")"),"Morton")</f>
        <v>Morton</v>
      </c>
    </row>
    <row r="3012">
      <c r="C3012" s="1" t="s">
        <v>3007</v>
      </c>
      <c r="D3012" s="3" t="str">
        <f>IFERROR(__xludf.DUMMYFUNCTION("GOOGLETRANSLATE(C3012,""en"",""pl"")"),"zamaskowany")</f>
        <v>zamaskowany</v>
      </c>
    </row>
    <row r="3013">
      <c r="C3013" s="1" t="s">
        <v>3008</v>
      </c>
      <c r="D3013" s="3" t="str">
        <f>IFERROR(__xludf.DUMMYFUNCTION("GOOGLETRANSLATE(C3013,""en"",""pl"")"),"precyzja")</f>
        <v>precyzja</v>
      </c>
    </row>
    <row r="3014">
      <c r="C3014" s="1" t="s">
        <v>3009</v>
      </c>
      <c r="D3014" s="3" t="str">
        <f>IFERROR(__xludf.DUMMYFUNCTION("GOOGLETRANSLATE(C3014,""en"",""pl"")"),"sześcian")</f>
        <v>sześcian</v>
      </c>
    </row>
    <row r="3015">
      <c r="C3015" s="1" t="s">
        <v>3010</v>
      </c>
      <c r="D3015" s="3" t="str">
        <f>IFERROR(__xludf.DUMMYFUNCTION("GOOGLETRANSLATE(C3015,""en"",""pl"")"),"objawienie")</f>
        <v>objawienie</v>
      </c>
    </row>
    <row r="3016">
      <c r="C3016" s="1" t="s">
        <v>3011</v>
      </c>
      <c r="D3016" s="3" t="str">
        <f>IFERROR(__xludf.DUMMYFUNCTION("GOOGLETRANSLATE(C3016,""en"",""pl"")"),"tytaniczny")</f>
        <v>tytaniczny</v>
      </c>
    </row>
    <row r="3017">
      <c r="C3017" s="1" t="s">
        <v>3012</v>
      </c>
      <c r="D3017" s="3" t="str">
        <f>IFERROR(__xludf.DUMMYFUNCTION("GOOGLETRANSLATE(C3017,""en"",""pl"")"),"zrealizowanie")</f>
        <v>zrealizowanie</v>
      </c>
    </row>
    <row r="3018">
      <c r="C3018" s="1" t="s">
        <v>3013</v>
      </c>
      <c r="D3018" s="3" t="str">
        <f>IFERROR(__xludf.DUMMYFUNCTION("GOOGLETRANSLATE(C3018,""en"",""pl"")"),"psi")</f>
        <v>psi</v>
      </c>
    </row>
    <row r="3019">
      <c r="C3019" s="1" t="s">
        <v>3014</v>
      </c>
      <c r="D3019" s="3" t="str">
        <f>IFERROR(__xludf.DUMMYFUNCTION("GOOGLETRANSLATE(C3019,""en"",""pl"")"),"bełkot")</f>
        <v>bełkot</v>
      </c>
    </row>
    <row r="3020">
      <c r="C3020" s="1" t="s">
        <v>3015</v>
      </c>
      <c r="D3020" s="3" t="str">
        <f>IFERROR(__xludf.DUMMYFUNCTION("GOOGLETRANSLATE(C3020,""en"",""pl"")"),"czaj")</f>
        <v>czaj</v>
      </c>
    </row>
    <row r="3021">
      <c r="C3021" s="1" t="s">
        <v>3016</v>
      </c>
      <c r="D3021" s="3" t="str">
        <f>IFERROR(__xludf.DUMMYFUNCTION("GOOGLETRANSLATE(C3021,""en"",""pl"")"),"Dora")</f>
        <v>Dora</v>
      </c>
    </row>
    <row r="3022">
      <c r="C3022" s="1" t="s">
        <v>3017</v>
      </c>
      <c r="D3022" s="3" t="str">
        <f>IFERROR(__xludf.DUMMYFUNCTION("GOOGLETRANSLATE(C3022,""en"",""pl"")"),"najemca")</f>
        <v>najemca</v>
      </c>
    </row>
    <row r="3023">
      <c r="C3023" s="1" t="s">
        <v>3018</v>
      </c>
      <c r="D3023" s="3" t="str">
        <f>IFERROR(__xludf.DUMMYFUNCTION("GOOGLETRANSLATE(C3023,""en"",""pl"")"),"bogactwa")</f>
        <v>bogactwa</v>
      </c>
    </row>
    <row r="3024">
      <c r="C3024" s="1" t="s">
        <v>3019</v>
      </c>
      <c r="D3024" s="3" t="str">
        <f>IFERROR(__xludf.DUMMYFUNCTION("GOOGLETRANSLATE(C3024,""en"",""pl"")"),"cukrzyca")</f>
        <v>cukrzyca</v>
      </c>
    </row>
    <row r="3025">
      <c r="C3025" s="1" t="s">
        <v>3020</v>
      </c>
      <c r="D3025" s="3" t="str">
        <f>IFERROR(__xludf.DUMMYFUNCTION("GOOGLETRANSLATE(C3025,""en"",""pl"")"),"alternatywny")</f>
        <v>alternatywny</v>
      </c>
    </row>
    <row r="3026">
      <c r="C3026" s="1" t="s">
        <v>3021</v>
      </c>
      <c r="D3026" s="3" t="str">
        <f>IFERROR(__xludf.DUMMYFUNCTION("GOOGLETRANSLATE(C3026,""en"",""pl"")"),"dywersja")</f>
        <v>dywersja</v>
      </c>
    </row>
    <row r="3027">
      <c r="C3027" s="1" t="s">
        <v>3022</v>
      </c>
      <c r="D3027" s="3" t="str">
        <f>IFERROR(__xludf.DUMMYFUNCTION("GOOGLETRANSLATE(C3027,""en"",""pl"")"),"faktycznie")</f>
        <v>faktycznie</v>
      </c>
    </row>
    <row r="3028">
      <c r="C3028" s="1" t="s">
        <v>3023</v>
      </c>
      <c r="D3028" s="3" t="str">
        <f>IFERROR(__xludf.DUMMYFUNCTION("GOOGLETRANSLATE(C3028,""en"",""pl"")"),"poświęcenie")</f>
        <v>poświęcenie</v>
      </c>
    </row>
    <row r="3029">
      <c r="C3029" s="1" t="s">
        <v>3024</v>
      </c>
      <c r="D3029" s="3" t="str">
        <f>IFERROR(__xludf.DUMMYFUNCTION("GOOGLETRANSLATE(C3029,""en"",""pl"")"),"zakład")</f>
        <v>zakład</v>
      </c>
    </row>
    <row r="3030">
      <c r="C3030" s="1" t="s">
        <v>3025</v>
      </c>
      <c r="D3030" s="3" t="str">
        <f>IFERROR(__xludf.DUMMYFUNCTION("GOOGLETRANSLATE(C3030,""en"",""pl"")"),"towarzysze")</f>
        <v>towarzysze</v>
      </c>
    </row>
    <row r="3031">
      <c r="C3031" s="1" t="s">
        <v>3026</v>
      </c>
      <c r="D3031" s="3" t="str">
        <f>IFERROR(__xludf.DUMMYFUNCTION("GOOGLETRANSLATE(C3031,""en"",""pl"")"),"Sinclair")</f>
        <v>Sinclair</v>
      </c>
    </row>
    <row r="3032">
      <c r="C3032" s="1" t="s">
        <v>3027</v>
      </c>
      <c r="D3032" s="3" t="str">
        <f>IFERROR(__xludf.DUMMYFUNCTION("GOOGLETRANSLATE(C3032,""en"",""pl"")"),"wypuszczony")</f>
        <v>wypuszczony</v>
      </c>
    </row>
    <row r="3033">
      <c r="C3033" s="1" t="s">
        <v>3028</v>
      </c>
      <c r="D3033" s="3" t="str">
        <f>IFERROR(__xludf.DUMMYFUNCTION("GOOGLETRANSLATE(C3033,""en"",""pl"")"),"śmierdzący")</f>
        <v>śmierdzący</v>
      </c>
    </row>
    <row r="3034">
      <c r="C3034" s="1" t="s">
        <v>3029</v>
      </c>
      <c r="D3034" s="3" t="str">
        <f>IFERROR(__xludf.DUMMYFUNCTION("GOOGLETRANSLATE(C3034,""en"",""pl"")"),"oceny")</f>
        <v>oceny</v>
      </c>
    </row>
    <row r="3035">
      <c r="C3035" s="1" t="s">
        <v>3030</v>
      </c>
      <c r="D3035" s="3" t="str">
        <f>IFERROR(__xludf.DUMMYFUNCTION("GOOGLETRANSLATE(C3035,""en"",""pl"")"),"rów")</f>
        <v>rów</v>
      </c>
    </row>
    <row r="3036">
      <c r="C3036" s="1" t="s">
        <v>3031</v>
      </c>
      <c r="D3036" s="3" t="str">
        <f>IFERROR(__xludf.DUMMYFUNCTION("GOOGLETRANSLATE(C3036,""en"",""pl"")"),"operator")</f>
        <v>operator</v>
      </c>
    </row>
    <row r="3037">
      <c r="C3037" s="1" t="s">
        <v>3032</v>
      </c>
      <c r="D3037" s="3" t="str">
        <f>IFERROR(__xludf.DUMMYFUNCTION("GOOGLETRANSLATE(C3037,""en"",""pl"")"),"koperek")</f>
        <v>koperek</v>
      </c>
    </row>
    <row r="3038">
      <c r="C3038" s="1" t="s">
        <v>3033</v>
      </c>
      <c r="D3038" s="3" t="str">
        <f>IFERROR(__xludf.DUMMYFUNCTION("GOOGLETRANSLATE(C3038,""en"",""pl"")"),"hawkins")</f>
        <v>hawkins</v>
      </c>
    </row>
    <row r="3039">
      <c r="C3039" s="1" t="s">
        <v>3034</v>
      </c>
      <c r="D3039" s="3" t="str">
        <f>IFERROR(__xludf.DUMMYFUNCTION("GOOGLETRANSLATE(C3039,""en"",""pl"")"),"stanton")</f>
        <v>stanton</v>
      </c>
    </row>
    <row r="3040">
      <c r="C3040" s="1" t="s">
        <v>3035</v>
      </c>
      <c r="D3040" s="3" t="str">
        <f>IFERROR(__xludf.DUMMYFUNCTION("GOOGLETRANSLATE(C3040,""en"",""pl"")"),"ajaj")</f>
        <v>ajaj</v>
      </c>
    </row>
    <row r="3041">
      <c r="C3041" s="1" t="s">
        <v>3036</v>
      </c>
      <c r="D3041" s="3" t="str">
        <f>IFERROR(__xludf.DUMMYFUNCTION("GOOGLETRANSLATE(C3041,""en"",""pl"")"),"Edison")</f>
        <v>Edison</v>
      </c>
    </row>
    <row r="3042">
      <c r="C3042" s="1" t="s">
        <v>3037</v>
      </c>
      <c r="D3042" s="3" t="str">
        <f>IFERROR(__xludf.DUMMYFUNCTION("GOOGLETRANSLATE(C3042,""en"",""pl"")"),"rzadkie ciasto")</f>
        <v>rzadkie ciasto</v>
      </c>
    </row>
    <row r="3043">
      <c r="C3043" s="1" t="s">
        <v>3038</v>
      </c>
      <c r="D3043" s="3" t="str">
        <f>IFERROR(__xludf.DUMMYFUNCTION("GOOGLETRANSLATE(C3043,""en"",""pl"")"),"barwnik")</f>
        <v>barwnik</v>
      </c>
    </row>
    <row r="3044">
      <c r="C3044" s="1" t="s">
        <v>3039</v>
      </c>
      <c r="D3044" s="3" t="str">
        <f>IFERROR(__xludf.DUMMYFUNCTION("GOOGLETRANSLATE(C3044,""en"",""pl"")"),"uprowadzenie")</f>
        <v>uprowadzenie</v>
      </c>
    </row>
    <row r="3045">
      <c r="C3045" s="1" t="s">
        <v>3040</v>
      </c>
      <c r="D3045" s="3" t="str">
        <f>IFERROR(__xludf.DUMMYFUNCTION("GOOGLETRANSLATE(C3045,""en"",""pl"")"),"perspektywa")</f>
        <v>perspektywa</v>
      </c>
    </row>
    <row r="3046">
      <c r="C3046" s="1" t="s">
        <v>3041</v>
      </c>
      <c r="D3046" s="3" t="str">
        <f>IFERROR(__xludf.DUMMYFUNCTION("GOOGLETRANSLATE(C3046,""en"",""pl"")"),"Morrison")</f>
        <v>Morrison</v>
      </c>
    </row>
    <row r="3047">
      <c r="C3047" s="1" t="s">
        <v>3042</v>
      </c>
      <c r="D3047" s="3" t="str">
        <f>IFERROR(__xludf.DUMMYFUNCTION("GOOGLETRANSLATE(C3047,""en"",""pl"")"),"jaśniejszy")</f>
        <v>jaśniejszy</v>
      </c>
    </row>
    <row r="3048">
      <c r="C3048" s="1" t="s">
        <v>3043</v>
      </c>
      <c r="D3048" s="3" t="str">
        <f>IFERROR(__xludf.DUMMYFUNCTION("GOOGLETRANSLATE(C3048,""en"",""pl"")"),"szerszy")</f>
        <v>szerszy</v>
      </c>
    </row>
    <row r="3049">
      <c r="C3049" s="1" t="s">
        <v>3044</v>
      </c>
      <c r="D3049" s="3" t="str">
        <f>IFERROR(__xludf.DUMMYFUNCTION("GOOGLETRANSLATE(C3049,""en"",""pl"")"),"alma")</f>
        <v>alma</v>
      </c>
    </row>
    <row r="3050">
      <c r="C3050" s="1" t="s">
        <v>3045</v>
      </c>
      <c r="D3050" s="3" t="str">
        <f>IFERROR(__xludf.DUMMYFUNCTION("GOOGLETRANSLATE(C3050,""en"",""pl"")"),"zabójstwo")</f>
        <v>zabójstwo</v>
      </c>
    </row>
    <row r="3051">
      <c r="C3051" s="1" t="s">
        <v>3046</v>
      </c>
      <c r="D3051" s="3" t="str">
        <f>IFERROR(__xludf.DUMMYFUNCTION("GOOGLETRANSLATE(C3051,""en"",""pl"")"),"zaradzić")</f>
        <v>zaradzić</v>
      </c>
    </row>
    <row r="3052">
      <c r="C3052" s="1" t="s">
        <v>3047</v>
      </c>
      <c r="D3052" s="3" t="str">
        <f>IFERROR(__xludf.DUMMYFUNCTION("GOOGLETRANSLATE(C3052,""en"",""pl"")"),"wilgoć")</f>
        <v>wilgoć</v>
      </c>
    </row>
    <row r="3053">
      <c r="C3053" s="1" t="s">
        <v>3048</v>
      </c>
      <c r="D3053" s="3" t="str">
        <f>IFERROR(__xludf.DUMMYFUNCTION("GOOGLETRANSLATE(C3053,""en"",""pl"")"),"udo")</f>
        <v>udo</v>
      </c>
    </row>
    <row r="3054">
      <c r="C3054" s="1" t="s">
        <v>3049</v>
      </c>
      <c r="D3054" s="3" t="str">
        <f>IFERROR(__xludf.DUMMYFUNCTION("GOOGLETRANSLATE(C3054,""en"",""pl"")"),"Kolonia")</f>
        <v>Kolonia</v>
      </c>
    </row>
    <row r="3055">
      <c r="C3055" s="1" t="s">
        <v>3050</v>
      </c>
      <c r="D3055" s="3" t="str">
        <f>IFERROR(__xludf.DUMMYFUNCTION("GOOGLETRANSLATE(C3055,""en"",""pl"")"),"oskarżenie")</f>
        <v>oskarżenie</v>
      </c>
    </row>
    <row r="3056">
      <c r="C3056" s="1" t="s">
        <v>3051</v>
      </c>
      <c r="D3056" s="3" t="str">
        <f>IFERROR(__xludf.DUMMYFUNCTION("GOOGLETRANSLATE(C3056,""en"",""pl"")"),"outsider")</f>
        <v>outsider</v>
      </c>
    </row>
    <row r="3057">
      <c r="C3057" s="1" t="s">
        <v>3052</v>
      </c>
      <c r="D3057" s="3" t="str">
        <f>IFERROR(__xludf.DUMMYFUNCTION("GOOGLETRANSLATE(C3057,""en"",""pl"")"),"serum")</f>
        <v>serum</v>
      </c>
    </row>
    <row r="3058">
      <c r="C3058" s="1" t="s">
        <v>3053</v>
      </c>
      <c r="D3058" s="3" t="str">
        <f>IFERROR(__xludf.DUMMYFUNCTION("GOOGLETRANSLATE(C3058,""en"",""pl"")"),"co jest")</f>
        <v>co jest</v>
      </c>
    </row>
    <row r="3059">
      <c r="C3059" s="1" t="s">
        <v>3054</v>
      </c>
      <c r="D3059" s="3" t="str">
        <f>IFERROR(__xludf.DUMMYFUNCTION("GOOGLETRANSLATE(C3059,""en"",""pl"")"),"przestrzenie")</f>
        <v>przestrzenie</v>
      </c>
    </row>
    <row r="3060">
      <c r="C3060" s="1" t="s">
        <v>3055</v>
      </c>
      <c r="D3060" s="3" t="str">
        <f>IFERROR(__xludf.DUMMYFUNCTION("GOOGLETRANSLATE(C3060,""en"",""pl"")"),"doustny")</f>
        <v>doustny</v>
      </c>
    </row>
    <row r="3061">
      <c r="C3061" s="1" t="s">
        <v>3056</v>
      </c>
      <c r="D3061" s="3" t="str">
        <f>IFERROR(__xludf.DUMMYFUNCTION("GOOGLETRANSLATE(C3061,""en"",""pl"")"),"odcienie")</f>
        <v>odcienie</v>
      </c>
    </row>
    <row r="3062">
      <c r="C3062" s="1" t="s">
        <v>3057</v>
      </c>
      <c r="D3062" s="3" t="str">
        <f>IFERROR(__xludf.DUMMYFUNCTION("GOOGLETRANSLATE(C3062,""en"",""pl"")"),"Biada")</f>
        <v>Biada</v>
      </c>
    </row>
    <row r="3063">
      <c r="C3063" s="1" t="s">
        <v>3058</v>
      </c>
      <c r="D3063" s="3" t="str">
        <f>IFERROR(__xludf.DUMMYFUNCTION("GOOGLETRANSLATE(C3063,""en"",""pl"")"),"Eliza")</f>
        <v>Eliza</v>
      </c>
    </row>
    <row r="3064">
      <c r="C3064" s="1" t="s">
        <v>3059</v>
      </c>
      <c r="D3064" s="3" t="str">
        <f>IFERROR(__xludf.DUMMYFUNCTION("GOOGLETRANSLATE(C3064,""en"",""pl"")"),"wpływy kasowe")</f>
        <v>wpływy kasowe</v>
      </c>
    </row>
    <row r="3065">
      <c r="C3065" s="1" t="s">
        <v>3060</v>
      </c>
      <c r="D3065" s="3" t="str">
        <f>IFERROR(__xludf.DUMMYFUNCTION("GOOGLETRANSLATE(C3065,""en"",""pl"")"),"alias")</f>
        <v>alias</v>
      </c>
    </row>
    <row r="3066">
      <c r="C3066" s="1" t="s">
        <v>3061</v>
      </c>
      <c r="D3066" s="3" t="str">
        <f>IFERROR(__xludf.DUMMYFUNCTION("GOOGLETRANSLATE(C3066,""en"",""pl"")"),"powiadomiony")</f>
        <v>powiadomiony</v>
      </c>
    </row>
    <row r="3067">
      <c r="C3067" s="1" t="s">
        <v>3062</v>
      </c>
      <c r="D3067" s="3" t="str">
        <f>IFERROR(__xludf.DUMMYFUNCTION("GOOGLETRANSLATE(C3067,""en"",""pl"")"),"fartuch")</f>
        <v>fartuch</v>
      </c>
    </row>
    <row r="3068">
      <c r="C3068" s="1" t="s">
        <v>3063</v>
      </c>
      <c r="D3068" s="3" t="str">
        <f>IFERROR(__xludf.DUMMYFUNCTION("GOOGLETRANSLATE(C3068,""en"",""pl"")"),"Kentucky")</f>
        <v>Kentucky</v>
      </c>
    </row>
    <row r="3069">
      <c r="C3069" s="1" t="s">
        <v>3064</v>
      </c>
      <c r="D3069" s="3" t="str">
        <f>IFERROR(__xludf.DUMMYFUNCTION("GOOGLETRANSLATE(C3069,""en"",""pl"")"),"żyła")</f>
        <v>żyła</v>
      </c>
    </row>
    <row r="3070">
      <c r="C3070" s="1" t="s">
        <v>3065</v>
      </c>
      <c r="D3070" s="3" t="str">
        <f>IFERROR(__xludf.DUMMYFUNCTION("GOOGLETRANSLATE(C3070,""en"",""pl"")"),"tonik")</f>
        <v>tonik</v>
      </c>
    </row>
    <row r="3071">
      <c r="C3071" s="1" t="s">
        <v>3066</v>
      </c>
      <c r="D3071" s="3" t="str">
        <f>IFERROR(__xludf.DUMMYFUNCTION("GOOGLETRANSLATE(C3071,""en"",""pl"")"),"skrzypi")</f>
        <v>skrzypi</v>
      </c>
    </row>
    <row r="3072">
      <c r="C3072" s="1" t="s">
        <v>3067</v>
      </c>
      <c r="D3072" s="3" t="str">
        <f>IFERROR(__xludf.DUMMYFUNCTION("GOOGLETRANSLATE(C3072,""en"",""pl"")"),"ciemny")</f>
        <v>ciemny</v>
      </c>
    </row>
    <row r="3073">
      <c r="C3073" s="1" t="s">
        <v>3068</v>
      </c>
      <c r="D3073" s="3" t="str">
        <f>IFERROR(__xludf.DUMMYFUNCTION("GOOGLETRANSLATE(C3073,""en"",""pl"")"),"stromy")</f>
        <v>stromy</v>
      </c>
    </row>
    <row r="3074">
      <c r="C3074" s="1" t="s">
        <v>3069</v>
      </c>
      <c r="D3074" s="3" t="str">
        <f>IFERROR(__xludf.DUMMYFUNCTION("GOOGLETRANSLATE(C3074,""en"",""pl"")"),"darń")</f>
        <v>darń</v>
      </c>
    </row>
    <row r="3075">
      <c r="C3075" s="1" t="s">
        <v>3070</v>
      </c>
      <c r="D3075" s="3" t="str">
        <f>IFERROR(__xludf.DUMMYFUNCTION("GOOGLETRANSLATE(C3075,""en"",""pl"")"),"przedstawianie")</f>
        <v>przedstawianie</v>
      </c>
    </row>
    <row r="3076">
      <c r="C3076" s="1" t="s">
        <v>3071</v>
      </c>
      <c r="D3076" s="3" t="str">
        <f>IFERROR(__xludf.DUMMYFUNCTION("GOOGLETRANSLATE(C3076,""en"",""pl"")"),"Kopciuszek")</f>
        <v>Kopciuszek</v>
      </c>
    </row>
    <row r="3077">
      <c r="C3077" s="1" t="s">
        <v>3072</v>
      </c>
      <c r="D3077" s="3" t="str">
        <f>IFERROR(__xludf.DUMMYFUNCTION("GOOGLETRANSLATE(C3077,""en"",""pl"")"),"młode")</f>
        <v>młode</v>
      </c>
    </row>
    <row r="3078">
      <c r="C3078" s="1" t="s">
        <v>3073</v>
      </c>
      <c r="D3078" s="3" t="str">
        <f>IFERROR(__xludf.DUMMYFUNCTION("GOOGLETRANSLATE(C3078,""en"",""pl"")"),"Czung")</f>
        <v>Czung</v>
      </c>
    </row>
    <row r="3079">
      <c r="C3079" s="1" t="s">
        <v>3074</v>
      </c>
      <c r="D3079" s="3" t="str">
        <f>IFERROR(__xludf.DUMMYFUNCTION("GOOGLETRANSLATE(C3079,""en"",""pl"")"),"naoczny świadek")</f>
        <v>naoczny świadek</v>
      </c>
    </row>
    <row r="3080">
      <c r="C3080" s="1" t="s">
        <v>3075</v>
      </c>
      <c r="D3080" s="3" t="str">
        <f>IFERROR(__xludf.DUMMYFUNCTION("GOOGLETRANSLATE(C3080,""en"",""pl"")"),"pochlebny")</f>
        <v>pochlebny</v>
      </c>
    </row>
    <row r="3081">
      <c r="C3081" s="1" t="s">
        <v>3076</v>
      </c>
      <c r="D3081" s="3" t="str">
        <f>IFERROR(__xludf.DUMMYFUNCTION("GOOGLETRANSLATE(C3081,""en"",""pl"")"),"przedawkować")</f>
        <v>przedawkować</v>
      </c>
    </row>
    <row r="3082">
      <c r="C3082" s="1" t="s">
        <v>3077</v>
      </c>
      <c r="D3082" s="3" t="str">
        <f>IFERROR(__xludf.DUMMYFUNCTION("GOOGLETRANSLATE(C3082,""en"",""pl"")"),"Kathleen")</f>
        <v>Kathleen</v>
      </c>
    </row>
    <row r="3083">
      <c r="C3083" s="1" t="s">
        <v>3078</v>
      </c>
      <c r="D3083" s="3" t="str">
        <f>IFERROR(__xludf.DUMMYFUNCTION("GOOGLETRANSLATE(C3083,""en"",""pl"")"),"podwoił się")</f>
        <v>podwoił się</v>
      </c>
    </row>
    <row r="3084">
      <c r="C3084" s="1" t="s">
        <v>3079</v>
      </c>
      <c r="D3084" s="3" t="str">
        <f>IFERROR(__xludf.DUMMYFUNCTION("GOOGLETRANSLATE(C3084,""en"",""pl"")"),"della")</f>
        <v>della</v>
      </c>
    </row>
    <row r="3085">
      <c r="C3085" s="1" t="s">
        <v>3080</v>
      </c>
      <c r="D3085" s="3" t="str">
        <f>IFERROR(__xludf.DUMMYFUNCTION("GOOGLETRANSLATE(C3085,""en"",""pl"")"),"frajerzy")</f>
        <v>frajerzy</v>
      </c>
    </row>
    <row r="3086">
      <c r="C3086" s="1" t="s">
        <v>3081</v>
      </c>
      <c r="D3086" s="3" t="str">
        <f>IFERROR(__xludf.DUMMYFUNCTION("GOOGLETRANSLATE(C3086,""en"",""pl"")"),"samochód")</f>
        <v>samochód</v>
      </c>
    </row>
    <row r="3087">
      <c r="C3087" s="1" t="s">
        <v>3082</v>
      </c>
      <c r="D3087" s="3" t="str">
        <f>IFERROR(__xludf.DUMMYFUNCTION("GOOGLETRANSLATE(C3087,""en"",""pl"")"),"Kain")</f>
        <v>Kain</v>
      </c>
    </row>
    <row r="3088">
      <c r="C3088" s="1" t="s">
        <v>3083</v>
      </c>
      <c r="D3088" s="3" t="str">
        <f>IFERROR(__xludf.DUMMYFUNCTION("GOOGLETRANSLATE(C3088,""en"",""pl"")"),"toaleta")</f>
        <v>toaleta</v>
      </c>
    </row>
    <row r="3089">
      <c r="C3089" s="1" t="s">
        <v>3084</v>
      </c>
      <c r="D3089" s="3" t="str">
        <f>IFERROR(__xludf.DUMMYFUNCTION("GOOGLETRANSLATE(C3089,""en"",""pl"")"),"Bretania")</f>
        <v>Bretania</v>
      </c>
    </row>
    <row r="3090">
      <c r="C3090" s="1" t="s">
        <v>3085</v>
      </c>
      <c r="D3090" s="3" t="str">
        <f>IFERROR(__xludf.DUMMYFUNCTION("GOOGLETRANSLATE(C3090,""en"",""pl"")"),"zastraszany")</f>
        <v>zastraszany</v>
      </c>
    </row>
    <row r="3091">
      <c r="C3091" s="1" t="s">
        <v>3086</v>
      </c>
      <c r="D3091" s="3" t="str">
        <f>IFERROR(__xludf.DUMMYFUNCTION("GOOGLETRANSLATE(C3091,""en"",""pl"")"),"Człowiek Pająk")</f>
        <v>Człowiek Pająk</v>
      </c>
    </row>
    <row r="3092">
      <c r="C3092" s="1" t="s">
        <v>3087</v>
      </c>
      <c r="D3092" s="3" t="str">
        <f>IFERROR(__xludf.DUMMYFUNCTION("GOOGLETRANSLATE(C3092,""en"",""pl"")"),"Humphrey")</f>
        <v>Humphrey</v>
      </c>
    </row>
    <row r="3093">
      <c r="C3093" s="1" t="s">
        <v>3088</v>
      </c>
      <c r="D3093" s="3" t="str">
        <f>IFERROR(__xludf.DUMMYFUNCTION("GOOGLETRANSLATE(C3093,""en"",""pl"")"),"tyson")</f>
        <v>tyson</v>
      </c>
    </row>
    <row r="3094">
      <c r="C3094" s="1" t="s">
        <v>3089</v>
      </c>
      <c r="D3094" s="3" t="str">
        <f>IFERROR(__xludf.DUMMYFUNCTION("GOOGLETRANSLATE(C3094,""en"",""pl"")"),"porywacz")</f>
        <v>porywacz</v>
      </c>
    </row>
    <row r="3095">
      <c r="C3095" s="1" t="s">
        <v>3090</v>
      </c>
      <c r="D3095" s="3" t="str">
        <f>IFERROR(__xludf.DUMMYFUNCTION("GOOGLETRANSLATE(C3095,""en"",""pl"")"),"dysponować")</f>
        <v>dysponować</v>
      </c>
    </row>
    <row r="3096">
      <c r="C3096" s="1" t="s">
        <v>3091</v>
      </c>
      <c r="D3096" s="3" t="str">
        <f>IFERROR(__xludf.DUMMYFUNCTION("GOOGLETRANSLATE(C3096,""en"",""pl"")"),"margarita")</f>
        <v>margarita</v>
      </c>
    </row>
    <row r="3097">
      <c r="C3097" s="1" t="s">
        <v>3092</v>
      </c>
      <c r="D3097" s="3" t="str">
        <f>IFERROR(__xludf.DUMMYFUNCTION("GOOGLETRANSLATE(C3097,""en"",""pl"")"),"haszysz")</f>
        <v>haszysz</v>
      </c>
    </row>
    <row r="3098">
      <c r="C3098" s="1" t="s">
        <v>3093</v>
      </c>
      <c r="D3098" s="3" t="str">
        <f>IFERROR(__xludf.DUMMYFUNCTION("GOOGLETRANSLATE(C3098,""en"",""pl"")"),"opłakiwać")</f>
        <v>opłakiwać</v>
      </c>
    </row>
    <row r="3099">
      <c r="C3099" s="1" t="s">
        <v>3094</v>
      </c>
      <c r="D3099" s="3" t="str">
        <f>IFERROR(__xludf.DUMMYFUNCTION("GOOGLETRANSLATE(C3099,""en"",""pl"")"),"inicjały")</f>
        <v>inicjały</v>
      </c>
    </row>
    <row r="3100">
      <c r="C3100" s="1" t="s">
        <v>3095</v>
      </c>
      <c r="D3100" s="3" t="str">
        <f>IFERROR(__xludf.DUMMYFUNCTION("GOOGLETRANSLATE(C3100,""en"",""pl"")"),"ogar")</f>
        <v>ogar</v>
      </c>
    </row>
    <row r="3101">
      <c r="C3101" s="1" t="s">
        <v>3096</v>
      </c>
      <c r="D3101" s="3" t="str">
        <f>IFERROR(__xludf.DUMMYFUNCTION("GOOGLETRANSLATE(C3101,""en"",""pl"")"),"taniec")</f>
        <v>taniec</v>
      </c>
    </row>
    <row r="3102">
      <c r="C3102" s="1" t="s">
        <v>3097</v>
      </c>
      <c r="D3102" s="3" t="str">
        <f>IFERROR(__xludf.DUMMYFUNCTION("GOOGLETRANSLATE(C3102,""en"",""pl"")"),"piesek")</f>
        <v>piesek</v>
      </c>
    </row>
    <row r="3103">
      <c r="C3103" s="1" t="s">
        <v>3098</v>
      </c>
      <c r="D3103" s="3" t="str">
        <f>IFERROR(__xludf.DUMMYFUNCTION("GOOGLETRANSLATE(C3103,""en"",""pl"")"),"zboczeniec")</f>
        <v>zboczeniec</v>
      </c>
    </row>
    <row r="3104">
      <c r="C3104" s="1" t="s">
        <v>3099</v>
      </c>
      <c r="D3104" s="3" t="str">
        <f>IFERROR(__xludf.DUMMYFUNCTION("GOOGLETRANSLATE(C3104,""en"",""pl"")"),"płaszcz")</f>
        <v>płaszcz</v>
      </c>
    </row>
    <row r="3105">
      <c r="C3105" s="1" t="s">
        <v>3100</v>
      </c>
      <c r="D3105" s="3" t="str">
        <f>IFERROR(__xludf.DUMMYFUNCTION("GOOGLETRANSLATE(C3105,""en"",""pl"")"),"kraby")</f>
        <v>kraby</v>
      </c>
    </row>
    <row r="3106">
      <c r="C3106" s="1" t="s">
        <v>3101</v>
      </c>
      <c r="D3106" s="3" t="str">
        <f>IFERROR(__xludf.DUMMYFUNCTION("GOOGLETRANSLATE(C3106,""en"",""pl"")"),"ciasto")</f>
        <v>ciasto</v>
      </c>
    </row>
    <row r="3107">
      <c r="C3107" s="1" t="s">
        <v>3102</v>
      </c>
      <c r="D3107" s="3" t="str">
        <f>IFERROR(__xludf.DUMMYFUNCTION("GOOGLETRANSLATE(C3107,""en"",""pl"")"),"następca")</f>
        <v>następca</v>
      </c>
    </row>
    <row r="3108">
      <c r="C3108" s="1" t="s">
        <v>3103</v>
      </c>
      <c r="D3108" s="3" t="str">
        <f>IFERROR(__xludf.DUMMYFUNCTION("GOOGLETRANSLATE(C3108,""en"",""pl"")"),"cześć")</f>
        <v>cześć</v>
      </c>
    </row>
    <row r="3109">
      <c r="C3109" s="1" t="s">
        <v>3104</v>
      </c>
      <c r="D3109" s="3" t="str">
        <f>IFERROR(__xludf.DUMMYFUNCTION("GOOGLETRANSLATE(C3109,""en"",""pl"")"),"michał")</f>
        <v>michał</v>
      </c>
    </row>
    <row r="3110">
      <c r="C3110" s="1" t="s">
        <v>3105</v>
      </c>
      <c r="D3110" s="3" t="str">
        <f>IFERROR(__xludf.DUMMYFUNCTION("GOOGLETRANSLATE(C3110,""en"",""pl"")"),"cheerleader")</f>
        <v>cheerleader</v>
      </c>
    </row>
    <row r="3111">
      <c r="C3111" s="1" t="s">
        <v>3106</v>
      </c>
      <c r="D3111" s="3" t="str">
        <f>IFERROR(__xludf.DUMMYFUNCTION("GOOGLETRANSLATE(C3111,""en"",""pl"")"),"kąpielówki")</f>
        <v>kąpielówki</v>
      </c>
    </row>
    <row r="3112">
      <c r="C3112" s="1" t="s">
        <v>3107</v>
      </c>
      <c r="D3112" s="3" t="str">
        <f>IFERROR(__xludf.DUMMYFUNCTION("GOOGLETRANSLATE(C3112,""en"",""pl"")"),"krytycy")</f>
        <v>krytycy</v>
      </c>
    </row>
    <row r="3113">
      <c r="C3113" s="1" t="s">
        <v>3108</v>
      </c>
      <c r="D3113" s="3" t="str">
        <f>IFERROR(__xludf.DUMMYFUNCTION("GOOGLETRANSLATE(C3113,""en"",""pl"")"),"zrekrutowany")</f>
        <v>zrekrutowany</v>
      </c>
    </row>
    <row r="3114">
      <c r="C3114" s="1" t="s">
        <v>3109</v>
      </c>
      <c r="D3114" s="3" t="str">
        <f>IFERROR(__xludf.DUMMYFUNCTION("GOOGLETRANSLATE(C3114,""en"",""pl"")"),"męski")</f>
        <v>męski</v>
      </c>
    </row>
    <row r="3115">
      <c r="C3115" s="1" t="s">
        <v>3110</v>
      </c>
      <c r="D3115" s="3" t="str">
        <f>IFERROR(__xludf.DUMMYFUNCTION("GOOGLETRANSLATE(C3115,""en"",""pl"")"),"oszołomiony")</f>
        <v>oszołomiony</v>
      </c>
    </row>
    <row r="3116">
      <c r="C3116" s="1" t="s">
        <v>3111</v>
      </c>
      <c r="D3116" s="3" t="str">
        <f>IFERROR(__xludf.DUMMYFUNCTION("GOOGLETRANSLATE(C3116,""en"",""pl"")"),"folarz")</f>
        <v>folarz</v>
      </c>
    </row>
    <row r="3117">
      <c r="C3117" s="1" t="s">
        <v>3112</v>
      </c>
      <c r="D3117" s="3" t="str">
        <f>IFERROR(__xludf.DUMMYFUNCTION("GOOGLETRANSLATE(C3117,""en"",""pl"")"),"poranki")</f>
        <v>poranki</v>
      </c>
    </row>
    <row r="3118">
      <c r="C3118" s="1" t="s">
        <v>3113</v>
      </c>
      <c r="D3118" s="3" t="str">
        <f>IFERROR(__xludf.DUMMYFUNCTION("GOOGLETRANSLATE(C3118,""en"",""pl"")"),"przypadkowy")</f>
        <v>przypadkowy</v>
      </c>
    </row>
    <row r="3119">
      <c r="C3119" s="1" t="s">
        <v>3114</v>
      </c>
      <c r="D3119" s="3" t="str">
        <f>IFERROR(__xludf.DUMMYFUNCTION("GOOGLETRANSLATE(C3119,""en"",""pl"")"),"lara")</f>
        <v>lara</v>
      </c>
    </row>
    <row r="3120">
      <c r="C3120" s="1" t="s">
        <v>3115</v>
      </c>
      <c r="D3120" s="3" t="str">
        <f>IFERROR(__xludf.DUMMYFUNCTION("GOOGLETRANSLATE(C3120,""en"",""pl"")"),"przekazywać")</f>
        <v>przekazywać</v>
      </c>
    </row>
    <row r="3121">
      <c r="C3121" s="1" t="s">
        <v>3116</v>
      </c>
      <c r="D3121" s="3" t="str">
        <f>IFERROR(__xludf.DUMMYFUNCTION("GOOGLETRANSLATE(C3121,""en"",""pl"")"),"prototyp")</f>
        <v>prototyp</v>
      </c>
    </row>
    <row r="3122">
      <c r="C3122" s="1" t="s">
        <v>3117</v>
      </c>
      <c r="D3122" s="3" t="str">
        <f>IFERROR(__xludf.DUMMYFUNCTION("GOOGLETRANSLATE(C3122,""en"",""pl"")"),"przełożeni")</f>
        <v>przełożeni</v>
      </c>
    </row>
    <row r="3123">
      <c r="C3123" s="1" t="s">
        <v>3118</v>
      </c>
      <c r="D3123" s="3" t="str">
        <f>IFERROR(__xludf.DUMMYFUNCTION("GOOGLETRANSLATE(C3123,""en"",""pl"")"),"Barcelona")</f>
        <v>Barcelona</v>
      </c>
    </row>
    <row r="3124">
      <c r="C3124" s="1" t="s">
        <v>3119</v>
      </c>
      <c r="D3124" s="3" t="str">
        <f>IFERROR(__xludf.DUMMYFUNCTION("GOOGLETRANSLATE(C3124,""en"",""pl"")"),"rzucać")</f>
        <v>rzucać</v>
      </c>
    </row>
    <row r="3125">
      <c r="C3125" s="1" t="s">
        <v>3120</v>
      </c>
      <c r="D3125" s="3" t="str">
        <f>IFERROR(__xludf.DUMMYFUNCTION("GOOGLETRANSLATE(C3125,""en"",""pl"")"),"zamroził")</f>
        <v>zamroził</v>
      </c>
    </row>
    <row r="3126">
      <c r="C3126" s="1" t="s">
        <v>3121</v>
      </c>
      <c r="D3126" s="3" t="str">
        <f>IFERROR(__xludf.DUMMYFUNCTION("GOOGLETRANSLATE(C3126,""en"",""pl"")"),"atomy")</f>
        <v>atomy</v>
      </c>
    </row>
    <row r="3127">
      <c r="C3127" s="1" t="s">
        <v>3122</v>
      </c>
      <c r="D3127" s="3" t="str">
        <f>IFERROR(__xludf.DUMMYFUNCTION("GOOGLETRANSLATE(C3127,""en"",""pl"")"),"porywacze")</f>
        <v>porywacze</v>
      </c>
    </row>
    <row r="3128">
      <c r="C3128" s="1" t="s">
        <v>3123</v>
      </c>
      <c r="D3128" s="3" t="str">
        <f>IFERROR(__xludf.DUMMYFUNCTION("GOOGLETRANSLATE(C3128,""en"",""pl"")"),"babeczka")</f>
        <v>babeczka</v>
      </c>
    </row>
    <row r="3129">
      <c r="C3129" s="1" t="s">
        <v>3124</v>
      </c>
      <c r="D3129" s="3" t="str">
        <f>IFERROR(__xludf.DUMMYFUNCTION("GOOGLETRANSLATE(C3129,""en"",""pl"")"),"sportowcy")</f>
        <v>sportowcy</v>
      </c>
    </row>
    <row r="3130">
      <c r="C3130" s="1" t="s">
        <v>3125</v>
      </c>
      <c r="D3130" s="3" t="str">
        <f>IFERROR(__xludf.DUMMYFUNCTION("GOOGLETRANSLATE(C3130,""en"",""pl"")"),"Warszawa")</f>
        <v>Warszawa</v>
      </c>
    </row>
    <row r="3131">
      <c r="C3131" s="1" t="s">
        <v>3126</v>
      </c>
      <c r="D3131" s="3" t="str">
        <f>IFERROR(__xludf.DUMMYFUNCTION("GOOGLETRANSLATE(C3131,""en"",""pl"")"),"przyjemności")</f>
        <v>przyjemności</v>
      </c>
    </row>
    <row r="3132">
      <c r="C3132" s="1" t="s">
        <v>3127</v>
      </c>
      <c r="D3132" s="3" t="str">
        <f>IFERROR(__xludf.DUMMYFUNCTION("GOOGLETRANSLATE(C3132,""en"",""pl"")"),"topór")</f>
        <v>topór</v>
      </c>
    </row>
    <row r="3133">
      <c r="C3133" s="1" t="s">
        <v>3128</v>
      </c>
      <c r="D3133" s="3" t="str">
        <f>IFERROR(__xludf.DUMMYFUNCTION("GOOGLETRANSLATE(C3133,""en"",""pl"")"),"kumar")</f>
        <v>kumar</v>
      </c>
    </row>
    <row r="3134">
      <c r="C3134" s="1" t="s">
        <v>3129</v>
      </c>
      <c r="D3134" s="3" t="str">
        <f>IFERROR(__xludf.DUMMYFUNCTION("GOOGLETRANSLATE(C3134,""en"",""pl"")"),"spięty")</f>
        <v>spięty</v>
      </c>
    </row>
    <row r="3135">
      <c r="C3135" s="1" t="s">
        <v>3130</v>
      </c>
      <c r="D3135" s="3" t="str">
        <f>IFERROR(__xludf.DUMMYFUNCTION("GOOGLETRANSLATE(C3135,""en"",""pl"")"),"skłonny")</f>
        <v>skłonny</v>
      </c>
    </row>
    <row r="3136">
      <c r="C3136" s="1" t="s">
        <v>3131</v>
      </c>
      <c r="D3136" s="3" t="str">
        <f>IFERROR(__xludf.DUMMYFUNCTION("GOOGLETRANSLATE(C3136,""en"",""pl"")"),"pończochy")</f>
        <v>pończochy</v>
      </c>
    </row>
    <row r="3137">
      <c r="C3137" s="1" t="s">
        <v>3132</v>
      </c>
      <c r="D3137" s="3" t="str">
        <f>IFERROR(__xludf.DUMMYFUNCTION("GOOGLETRANSLATE(C3137,""en"",""pl"")"),"skąpiec")</f>
        <v>skąpiec</v>
      </c>
    </row>
    <row r="3138">
      <c r="C3138" s="1" t="s">
        <v>3133</v>
      </c>
      <c r="D3138" s="3" t="str">
        <f>IFERROR(__xludf.DUMMYFUNCTION("GOOGLETRANSLATE(C3138,""en"",""pl"")"),"odcisk palca")</f>
        <v>odcisk palca</v>
      </c>
    </row>
    <row r="3139">
      <c r="C3139" s="1" t="s">
        <v>3134</v>
      </c>
      <c r="D3139" s="3" t="str">
        <f>IFERROR(__xludf.DUMMYFUNCTION("GOOGLETRANSLATE(C3139,""en"",""pl"")"),"skrzywdzony")</f>
        <v>skrzywdzony</v>
      </c>
    </row>
    <row r="3140">
      <c r="C3140" s="1" t="s">
        <v>3135</v>
      </c>
      <c r="D3140" s="3" t="str">
        <f>IFERROR(__xludf.DUMMYFUNCTION("GOOGLETRANSLATE(C3140,""en"",""pl"")"),"rewelacyjny")</f>
        <v>rewelacyjny</v>
      </c>
    </row>
    <row r="3141">
      <c r="C3141" s="1" t="s">
        <v>3136</v>
      </c>
      <c r="D3141" s="3" t="str">
        <f>IFERROR(__xludf.DUMMYFUNCTION("GOOGLETRANSLATE(C3141,""en"",""pl"")"),"jockey")</f>
        <v>jockey</v>
      </c>
    </row>
    <row r="3142">
      <c r="C3142" s="1" t="s">
        <v>3137</v>
      </c>
      <c r="D3142" s="3" t="str">
        <f>IFERROR(__xludf.DUMMYFUNCTION("GOOGLETRANSLATE(C3142,""en"",""pl"")"),"opłakiwać")</f>
        <v>opłakiwać</v>
      </c>
    </row>
    <row r="3143">
      <c r="C3143" s="1" t="s">
        <v>3138</v>
      </c>
      <c r="D3143" s="3" t="str">
        <f>IFERROR(__xludf.DUMMYFUNCTION("GOOGLETRANSLATE(C3143,""en"",""pl"")"),"awiofon")</f>
        <v>awiofon</v>
      </c>
    </row>
    <row r="3144">
      <c r="C3144" s="1" t="s">
        <v>3139</v>
      </c>
      <c r="D3144" s="3" t="str">
        <f>IFERROR(__xludf.DUMMYFUNCTION("GOOGLETRANSLATE(C3144,""en"",""pl"")"),"torys")</f>
        <v>torys</v>
      </c>
    </row>
    <row r="3145">
      <c r="C3145" s="1" t="s">
        <v>3140</v>
      </c>
      <c r="D3145" s="3" t="str">
        <f>IFERROR(__xludf.DUMMYFUNCTION("GOOGLETRANSLATE(C3145,""en"",""pl"")"),"daszek")</f>
        <v>daszek</v>
      </c>
    </row>
    <row r="3146">
      <c r="C3146" s="1" t="s">
        <v>3141</v>
      </c>
      <c r="D3146" s="3" t="str">
        <f>IFERROR(__xludf.DUMMYFUNCTION("GOOGLETRANSLATE(C3146,""en"",""pl"")"),"dla")</f>
        <v>dla</v>
      </c>
    </row>
    <row r="3147">
      <c r="C3147" s="1" t="s">
        <v>3142</v>
      </c>
      <c r="D3147" s="3" t="str">
        <f>IFERROR(__xludf.DUMMYFUNCTION("GOOGLETRANSLATE(C3147,""en"",""pl"")"),"Eileen")</f>
        <v>Eileen</v>
      </c>
    </row>
    <row r="3148">
      <c r="C3148" s="1" t="s">
        <v>3143</v>
      </c>
      <c r="D3148" s="3" t="str">
        <f>IFERROR(__xludf.DUMMYFUNCTION("GOOGLETRANSLATE(C3148,""en"",""pl"")"),"dżinka")</f>
        <v>dżinka</v>
      </c>
    </row>
    <row r="3149">
      <c r="C3149" s="1" t="s">
        <v>3144</v>
      </c>
      <c r="D3149" s="3" t="str">
        <f>IFERROR(__xludf.DUMMYFUNCTION("GOOGLETRANSLATE(C3149,""en"",""pl"")"),"kwak")</f>
        <v>kwak</v>
      </c>
    </row>
    <row r="3150">
      <c r="C3150" s="1" t="s">
        <v>3145</v>
      </c>
      <c r="D3150" s="3" t="str">
        <f>IFERROR(__xludf.DUMMYFUNCTION("GOOGLETRANSLATE(C3150,""en"",""pl"")"),"dziobać")</f>
        <v>dziobać</v>
      </c>
    </row>
    <row r="3151">
      <c r="C3151" s="1" t="s">
        <v>3146</v>
      </c>
      <c r="D3151" s="3" t="str">
        <f>IFERROR(__xludf.DUMMYFUNCTION("GOOGLETRANSLATE(C3151,""en"",""pl"")"),"ewangelia")</f>
        <v>ewangelia</v>
      </c>
    </row>
    <row r="3152">
      <c r="C3152" s="4" t="s">
        <v>3147</v>
      </c>
      <c r="D3152" s="3" t="str">
        <f>IFERROR(__xludf.DUMMYFUNCTION("GOOGLETRANSLATE(C3152,""en"",""pl"")"),"Co")</f>
        <v>Co</v>
      </c>
    </row>
    <row r="3153">
      <c r="C3153" s="1" t="s">
        <v>3148</v>
      </c>
      <c r="D3153" s="3" t="str">
        <f>IFERROR(__xludf.DUMMYFUNCTION("GOOGLETRANSLATE(C3153,""en"",""pl"")"),"prawdopodobnie")</f>
        <v>prawdopodobnie</v>
      </c>
    </row>
    <row r="3154">
      <c r="C3154" s="1" t="s">
        <v>3149</v>
      </c>
      <c r="D3154" s="3" t="str">
        <f>IFERROR(__xludf.DUMMYFUNCTION("GOOGLETRANSLATE(C3154,""en"",""pl"")"),"podpisy")</f>
        <v>podpisy</v>
      </c>
    </row>
    <row r="3155">
      <c r="C3155" s="1" t="s">
        <v>3150</v>
      </c>
      <c r="D3155" s="3" t="str">
        <f>IFERROR(__xludf.DUMMYFUNCTION("GOOGLETRANSLATE(C3155,""en"",""pl"")"),"hyung")</f>
        <v>hyung</v>
      </c>
    </row>
    <row r="3156">
      <c r="C3156" s="1" t="s">
        <v>3151</v>
      </c>
      <c r="D3156" s="3" t="str">
        <f>IFERROR(__xludf.DUMMYFUNCTION("GOOGLETRANSLATE(C3156,""en"",""pl"")"),"Aspekty")</f>
        <v>Aspekty</v>
      </c>
    </row>
    <row r="3157">
      <c r="C3157" s="1" t="s">
        <v>3152</v>
      </c>
      <c r="D3157" s="3" t="str">
        <f>IFERROR(__xludf.DUMMYFUNCTION("GOOGLETRANSLATE(C3157,""en"",""pl"")"),"założenie")</f>
        <v>założenie</v>
      </c>
    </row>
    <row r="3158">
      <c r="C3158" s="1" t="s">
        <v>3153</v>
      </c>
      <c r="D3158" s="3" t="str">
        <f>IFERROR(__xludf.DUMMYFUNCTION("GOOGLETRANSLATE(C3158,""en"",""pl"")"),"dudnienie")</f>
        <v>dudnienie</v>
      </c>
    </row>
    <row r="3159">
      <c r="C3159" s="1" t="s">
        <v>3154</v>
      </c>
      <c r="D3159" s="3" t="str">
        <f>IFERROR(__xludf.DUMMYFUNCTION("GOOGLETRANSLATE(C3159,""en"",""pl"")"),"tulenie")</f>
        <v>tulenie</v>
      </c>
    </row>
    <row r="3160">
      <c r="C3160" s="1" t="s">
        <v>3155</v>
      </c>
      <c r="D3160" s="3" t="str">
        <f>IFERROR(__xludf.DUMMYFUNCTION("GOOGLETRANSLATE(C3160,""en"",""pl"")"),"bokiem")</f>
        <v>bokiem</v>
      </c>
    </row>
    <row r="3161">
      <c r="C3161" s="1" t="s">
        <v>3156</v>
      </c>
      <c r="D3161" s="3" t="str">
        <f>IFERROR(__xludf.DUMMYFUNCTION("GOOGLETRANSLATE(C3161,""en"",""pl"")"),"Teodor")</f>
        <v>Teodor</v>
      </c>
    </row>
    <row r="3162">
      <c r="C3162" s="1" t="s">
        <v>3157</v>
      </c>
      <c r="D3162" s="3" t="str">
        <f>IFERROR(__xludf.DUMMYFUNCTION("GOOGLETRANSLATE(C3162,""en"",""pl"")"),"organizacja")</f>
        <v>organizacja</v>
      </c>
    </row>
    <row r="3163">
      <c r="C3163" s="1" t="s">
        <v>3158</v>
      </c>
      <c r="D3163" s="3" t="str">
        <f>IFERROR(__xludf.DUMMYFUNCTION("GOOGLETRANSLATE(C3163,""en"",""pl"")"),"obniżony")</f>
        <v>obniżony</v>
      </c>
    </row>
    <row r="3164">
      <c r="C3164" s="1" t="s">
        <v>3159</v>
      </c>
      <c r="D3164" s="3" t="str">
        <f>IFERROR(__xludf.DUMMYFUNCTION("GOOGLETRANSLATE(C3164,""en"",""pl"")"),"youtube")</f>
        <v>youtube</v>
      </c>
    </row>
    <row r="3165">
      <c r="C3165" s="1" t="s">
        <v>3160</v>
      </c>
      <c r="D3165" s="3" t="str">
        <f>IFERROR(__xludf.DUMMYFUNCTION("GOOGLETRANSLATE(C3165,""en"",""pl"")"),"ct")</f>
        <v>ct</v>
      </c>
    </row>
    <row r="3166">
      <c r="C3166" s="1" t="s">
        <v>3161</v>
      </c>
      <c r="D3166" s="3" t="str">
        <f>IFERROR(__xludf.DUMMYFUNCTION("GOOGLETRANSLATE(C3166,""en"",""pl"")"),"szczęki")</f>
        <v>szczęki</v>
      </c>
    </row>
    <row r="3167">
      <c r="C3167" s="1" t="s">
        <v>3162</v>
      </c>
      <c r="D3167" s="3" t="str">
        <f>IFERROR(__xludf.DUMMYFUNCTION("GOOGLETRANSLATE(C3167,""en"",""pl"")"),"błyszczka")</f>
        <v>błyszczka</v>
      </c>
    </row>
    <row r="3168">
      <c r="C3168" s="1" t="s">
        <v>3163</v>
      </c>
      <c r="D3168" s="3" t="str">
        <f>IFERROR(__xludf.DUMMYFUNCTION("GOOGLETRANSLATE(C3168,""en"",""pl"")"),"kałamarnica")</f>
        <v>kałamarnica</v>
      </c>
    </row>
    <row r="3169">
      <c r="C3169" s="1" t="s">
        <v>3164</v>
      </c>
      <c r="D3169" s="3" t="str">
        <f>IFERROR(__xludf.DUMMYFUNCTION("GOOGLETRANSLATE(C3169,""en"",""pl"")"),"projektanci")</f>
        <v>projektanci</v>
      </c>
    </row>
    <row r="3170">
      <c r="C3170" s="1" t="s">
        <v>3165</v>
      </c>
      <c r="D3170" s="3" t="str">
        <f>IFERROR(__xludf.DUMMYFUNCTION("GOOGLETRANSLATE(C3170,""en"",""pl"")"),"grzyb")</f>
        <v>grzyb</v>
      </c>
    </row>
    <row r="3171">
      <c r="C3171" s="1" t="s">
        <v>3166</v>
      </c>
      <c r="D3171" s="3" t="str">
        <f>IFERROR(__xludf.DUMMYFUNCTION("GOOGLETRANSLATE(C3171,""en"",""pl"")"),"autostrada")</f>
        <v>autostrada</v>
      </c>
    </row>
    <row r="3172">
      <c r="C3172" s="1" t="s">
        <v>3167</v>
      </c>
      <c r="D3172" s="3" t="str">
        <f>IFERROR(__xludf.DUMMYFUNCTION("GOOGLETRANSLATE(C3172,""en"",""pl"")"),"wierny")</f>
        <v>wierny</v>
      </c>
    </row>
    <row r="3173">
      <c r="C3173" s="1" t="s">
        <v>3168</v>
      </c>
      <c r="D3173" s="3" t="str">
        <f>IFERROR(__xludf.DUMMYFUNCTION("GOOGLETRANSLATE(C3173,""en"",""pl"")"),"dobytek")</f>
        <v>dobytek</v>
      </c>
    </row>
    <row r="3174">
      <c r="C3174" s="1" t="s">
        <v>3169</v>
      </c>
      <c r="D3174" s="3" t="str">
        <f>IFERROR(__xludf.DUMMYFUNCTION("GOOGLETRANSLATE(C3174,""en"",""pl"")"),"melodie")</f>
        <v>melodie</v>
      </c>
    </row>
    <row r="3175">
      <c r="C3175" s="1" t="s">
        <v>3170</v>
      </c>
      <c r="D3175" s="3" t="str">
        <f>IFERROR(__xludf.DUMMYFUNCTION("GOOGLETRANSLATE(C3175,""en"",""pl"")"),"tornado")</f>
        <v>tornado</v>
      </c>
    </row>
    <row r="3176">
      <c r="C3176" s="1" t="s">
        <v>3171</v>
      </c>
      <c r="D3176" s="3" t="str">
        <f>IFERROR(__xludf.DUMMYFUNCTION("GOOGLETRANSLATE(C3176,""en"",""pl"")"),"tchórzliwy")</f>
        <v>tchórzliwy</v>
      </c>
    </row>
    <row r="3177">
      <c r="C3177" s="1" t="s">
        <v>3172</v>
      </c>
      <c r="D3177" s="3" t="str">
        <f>IFERROR(__xludf.DUMMYFUNCTION("GOOGLETRANSLATE(C3177,""en"",""pl"")"),"karb")</f>
        <v>karb</v>
      </c>
    </row>
    <row r="3178">
      <c r="C3178" s="1" t="s">
        <v>3173</v>
      </c>
      <c r="D3178" s="3" t="str">
        <f>IFERROR(__xludf.DUMMYFUNCTION("GOOGLETRANSLATE(C3178,""en"",""pl"")"),"trasy")</f>
        <v>trasy</v>
      </c>
    </row>
    <row r="3179">
      <c r="C3179" s="1" t="s">
        <v>3174</v>
      </c>
      <c r="D3179" s="3" t="str">
        <f>IFERROR(__xludf.DUMMYFUNCTION("GOOGLETRANSLATE(C3179,""en"",""pl"")"),"zimy")</f>
        <v>zimy</v>
      </c>
    </row>
    <row r="3180">
      <c r="C3180" s="1" t="s">
        <v>3175</v>
      </c>
      <c r="D3180" s="3" t="str">
        <f>IFERROR(__xludf.DUMMYFUNCTION("GOOGLETRANSLATE(C3180,""en"",""pl"")"),"Eliasz")</f>
        <v>Eliasz</v>
      </c>
    </row>
    <row r="3181">
      <c r="C3181" s="1" t="s">
        <v>3176</v>
      </c>
      <c r="D3181" s="3" t="str">
        <f>IFERROR(__xludf.DUMMYFUNCTION("GOOGLETRANSLATE(C3181,""en"",""pl"")"),"drażnić")</f>
        <v>drażnić</v>
      </c>
    </row>
    <row r="3182">
      <c r="C3182" s="1" t="s">
        <v>3177</v>
      </c>
      <c r="D3182" s="3" t="str">
        <f>IFERROR(__xludf.DUMMYFUNCTION("GOOGLETRANSLATE(C3182,""en"",""pl"")"),"bochenek")</f>
        <v>bochenek</v>
      </c>
    </row>
    <row r="3183">
      <c r="C3183" s="1" t="s">
        <v>3178</v>
      </c>
      <c r="D3183" s="3" t="str">
        <f>IFERROR(__xludf.DUMMYFUNCTION("GOOGLETRANSLATE(C3183,""en"",""pl"")"),"reklamy")</f>
        <v>reklamy</v>
      </c>
    </row>
    <row r="3184">
      <c r="C3184" s="1" t="s">
        <v>3179</v>
      </c>
      <c r="D3184" s="3" t="str">
        <f>IFERROR(__xludf.DUMMYFUNCTION("GOOGLETRANSLATE(C3184,""en"",""pl"")"),"idiotyczny")</f>
        <v>idiotyczny</v>
      </c>
    </row>
    <row r="3185">
      <c r="C3185" s="1" t="s">
        <v>3180</v>
      </c>
      <c r="D3185" s="3" t="str">
        <f>IFERROR(__xludf.DUMMYFUNCTION("GOOGLETRANSLATE(C3185,""en"",""pl"")"),"niedogodność")</f>
        <v>niedogodność</v>
      </c>
    </row>
    <row r="3186">
      <c r="C3186" s="1" t="s">
        <v>3181</v>
      </c>
      <c r="D3186" s="3" t="str">
        <f>IFERROR(__xludf.DUMMYFUNCTION("GOOGLETRANSLATE(C3186,""en"",""pl"")"),"śliwka")</f>
        <v>śliwka</v>
      </c>
    </row>
    <row r="3187">
      <c r="C3187" s="1" t="s">
        <v>3182</v>
      </c>
      <c r="D3187" s="3" t="str">
        <f>IFERROR(__xludf.DUMMYFUNCTION("GOOGLETRANSLATE(C3187,""en"",""pl"")"),"adwokat")</f>
        <v>adwokat</v>
      </c>
    </row>
    <row r="3188">
      <c r="C3188" s="1" t="s">
        <v>3183</v>
      </c>
      <c r="D3188" s="3" t="str">
        <f>IFERROR(__xludf.DUMMYFUNCTION("GOOGLETRANSLATE(C3188,""en"",""pl"")"),"amnezja")</f>
        <v>amnezja</v>
      </c>
    </row>
    <row r="3189">
      <c r="C3189" s="1" t="s">
        <v>3184</v>
      </c>
      <c r="D3189" s="3" t="str">
        <f>IFERROR(__xludf.DUMMYFUNCTION("GOOGLETRANSLATE(C3189,""en"",""pl"")"),"Debora")</f>
        <v>Debora</v>
      </c>
    </row>
    <row r="3190">
      <c r="C3190" s="1" t="s">
        <v>3185</v>
      </c>
      <c r="D3190" s="3" t="str">
        <f>IFERROR(__xludf.DUMMYFUNCTION("GOOGLETRANSLATE(C3190,""en"",""pl"")"),"odrębny")</f>
        <v>odrębny</v>
      </c>
    </row>
    <row r="3191">
      <c r="C3191" s="1" t="s">
        <v>3186</v>
      </c>
      <c r="D3191" s="3" t="str">
        <f>IFERROR(__xludf.DUMMYFUNCTION("GOOGLETRANSLATE(C3191,""en"",""pl"")"),"zamaszysty")</f>
        <v>zamaszysty</v>
      </c>
    </row>
    <row r="3192">
      <c r="C3192" s="1" t="s">
        <v>3187</v>
      </c>
      <c r="D3192" s="3" t="str">
        <f>IFERROR(__xludf.DUMMYFUNCTION("GOOGLETRANSLATE(C3192,""en"",""pl"")"),"podpalenie")</f>
        <v>podpalenie</v>
      </c>
    </row>
    <row r="3193">
      <c r="C3193" s="1" t="s">
        <v>3188</v>
      </c>
      <c r="D3193" s="3" t="str">
        <f>IFERROR(__xludf.DUMMYFUNCTION("GOOGLETRANSLATE(C3193,""en"",""pl"")"),"wątpić")</f>
        <v>wątpić</v>
      </c>
    </row>
    <row r="3194">
      <c r="C3194" s="1" t="s">
        <v>3189</v>
      </c>
      <c r="D3194" s="3" t="str">
        <f>IFERROR(__xludf.DUMMYFUNCTION("GOOGLETRANSLATE(C3194,""en"",""pl"")"),"ponadto")</f>
        <v>ponadto</v>
      </c>
    </row>
    <row r="3195">
      <c r="C3195" s="1" t="s">
        <v>3190</v>
      </c>
      <c r="D3195" s="3" t="str">
        <f>IFERROR(__xludf.DUMMYFUNCTION("GOOGLETRANSLATE(C3195,""en"",""pl"")"),"kamieniołom")</f>
        <v>kamieniołom</v>
      </c>
    </row>
    <row r="3196">
      <c r="C3196" s="1" t="s">
        <v>3191</v>
      </c>
      <c r="D3196" s="3" t="str">
        <f>IFERROR(__xludf.DUMMYFUNCTION("GOOGLETRANSLATE(C3196,""en"",""pl"")"),"Lata 50.")</f>
        <v>Lata 50.</v>
      </c>
    </row>
    <row r="3197">
      <c r="C3197" s="1" t="s">
        <v>3192</v>
      </c>
      <c r="D3197" s="3" t="str">
        <f>IFERROR(__xludf.DUMMYFUNCTION("GOOGLETRANSLATE(C3197,""en"",""pl"")"),"kot")</f>
        <v>kot</v>
      </c>
    </row>
    <row r="3198">
      <c r="C3198" s="1" t="s">
        <v>3193</v>
      </c>
      <c r="D3198" s="3" t="str">
        <f>IFERROR(__xludf.DUMMYFUNCTION("GOOGLETRANSLATE(C3198,""en"",""pl"")"),"pierdnięcie")</f>
        <v>pierdnięcie</v>
      </c>
    </row>
    <row r="3199">
      <c r="C3199" s="1" t="s">
        <v>3194</v>
      </c>
      <c r="D3199" s="3" t="str">
        <f>IFERROR(__xludf.DUMMYFUNCTION("GOOGLETRANSLATE(C3199,""en"",""pl"")"),"Guo-")</f>
        <v>Guo-</v>
      </c>
    </row>
    <row r="3200">
      <c r="C3200" s="1" t="s">
        <v>3195</v>
      </c>
      <c r="D3200" s="3" t="str">
        <f>IFERROR(__xludf.DUMMYFUNCTION("GOOGLETRANSLATE(C3200,""en"",""pl"")"),"magazyn")</f>
        <v>magazyn</v>
      </c>
    </row>
    <row r="3201">
      <c r="C3201" s="1" t="s">
        <v>3196</v>
      </c>
      <c r="D3201" s="3" t="str">
        <f>IFERROR(__xludf.DUMMYFUNCTION("GOOGLETRANSLATE(C3201,""en"",""pl"")"),"wieczory")</f>
        <v>wieczory</v>
      </c>
    </row>
    <row r="3202">
      <c r="C3202" s="1" t="s">
        <v>3197</v>
      </c>
      <c r="D3202" s="3" t="str">
        <f>IFERROR(__xludf.DUMMYFUNCTION("GOOGLETRANSLATE(C3202,""en"",""pl"")"),"stary")</f>
        <v>stary</v>
      </c>
    </row>
    <row r="3203">
      <c r="C3203" s="1" t="s">
        <v>3198</v>
      </c>
      <c r="D3203" s="3" t="str">
        <f>IFERROR(__xludf.DUMMYFUNCTION("GOOGLETRANSLATE(C3203,""en"",""pl"")"),"krążenie")</f>
        <v>krążenie</v>
      </c>
    </row>
    <row r="3204">
      <c r="C3204" s="1" t="s">
        <v>3199</v>
      </c>
      <c r="D3204" s="3" t="str">
        <f>IFERROR(__xludf.DUMMYFUNCTION("GOOGLETRANSLATE(C3204,""en"",""pl"")"),"socjalista")</f>
        <v>socjalista</v>
      </c>
    </row>
    <row r="3205">
      <c r="C3205" s="1" t="s">
        <v>3200</v>
      </c>
      <c r="D3205" s="3" t="str">
        <f>IFERROR(__xludf.DUMMYFUNCTION("GOOGLETRANSLATE(C3205,""en"",""pl"")"),"Melinda")</f>
        <v>Melinda</v>
      </c>
    </row>
    <row r="3206">
      <c r="C3206" s="1" t="s">
        <v>3201</v>
      </c>
      <c r="D3206" s="3" t="str">
        <f>IFERROR(__xludf.DUMMYFUNCTION("GOOGLETRANSLATE(C3206,""en"",""pl"")"),"suszarka")</f>
        <v>suszarka</v>
      </c>
    </row>
    <row r="3207">
      <c r="C3207" s="1" t="s">
        <v>3202</v>
      </c>
      <c r="D3207" s="3" t="str">
        <f>IFERROR(__xludf.DUMMYFUNCTION("GOOGLETRANSLATE(C3207,""en"",""pl"")"),"mruczy")</f>
        <v>mruczy</v>
      </c>
    </row>
    <row r="3208">
      <c r="C3208" s="1" t="s">
        <v>3203</v>
      </c>
      <c r="D3208" s="3" t="str">
        <f>IFERROR(__xludf.DUMMYFUNCTION("GOOGLETRANSLATE(C3208,""en"",""pl"")"),"wymioty")</f>
        <v>wymioty</v>
      </c>
    </row>
    <row r="3209">
      <c r="C3209" s="1" t="s">
        <v>3204</v>
      </c>
      <c r="D3209" s="3" t="str">
        <f>IFERROR(__xludf.DUMMYFUNCTION("GOOGLETRANSLATE(C3209,""en"",""pl"")"),"borsuk")</f>
        <v>borsuk</v>
      </c>
    </row>
    <row r="3210">
      <c r="C3210" s="1" t="s">
        <v>3205</v>
      </c>
      <c r="D3210" s="3" t="str">
        <f>IFERROR(__xludf.DUMMYFUNCTION("GOOGLETRANSLATE(C3210,""en"",""pl"")"),"fei")</f>
        <v>fei</v>
      </c>
    </row>
    <row r="3211">
      <c r="C3211" s="1" t="s">
        <v>3206</v>
      </c>
      <c r="D3211" s="3" t="str">
        <f>IFERROR(__xludf.DUMMYFUNCTION("GOOGLETRANSLATE(C3211,""en"",""pl"")"),"kandyzować")</f>
        <v>kandyzować</v>
      </c>
    </row>
    <row r="3212">
      <c r="C3212" s="1" t="s">
        <v>3207</v>
      </c>
      <c r="D3212" s="3" t="str">
        <f>IFERROR(__xludf.DUMMYFUNCTION("GOOGLETRANSLATE(C3212,""en"",""pl"")"),"kapryśny")</f>
        <v>kapryśny</v>
      </c>
    </row>
    <row r="3213">
      <c r="C3213" s="1" t="s">
        <v>3208</v>
      </c>
      <c r="D3213" s="3" t="str">
        <f>IFERROR(__xludf.DUMMYFUNCTION("GOOGLETRANSLATE(C3213,""en"",""pl"")"),"podarowany")</f>
        <v>podarowany</v>
      </c>
    </row>
    <row r="3214">
      <c r="C3214" s="1" t="s">
        <v>3209</v>
      </c>
      <c r="D3214" s="3" t="str">
        <f>IFERROR(__xludf.DUMMYFUNCTION("GOOGLETRANSLATE(C3214,""en"",""pl"")"),"rzesza")</f>
        <v>rzesza</v>
      </c>
    </row>
    <row r="3215">
      <c r="C3215" s="1" t="s">
        <v>3210</v>
      </c>
      <c r="D3215" s="3" t="str">
        <f>IFERROR(__xludf.DUMMYFUNCTION("GOOGLETRANSLATE(C3215,""en"",""pl"")"),"odbiornik")</f>
        <v>odbiornik</v>
      </c>
    </row>
    <row r="3216">
      <c r="C3216" s="1" t="s">
        <v>3211</v>
      </c>
      <c r="D3216" s="3" t="str">
        <f>IFERROR(__xludf.DUMMYFUNCTION("GOOGLETRANSLATE(C3216,""en"",""pl"")"),"sperma")</f>
        <v>sperma</v>
      </c>
    </row>
    <row r="3217">
      <c r="C3217" s="1" t="s">
        <v>3212</v>
      </c>
      <c r="D3217" s="3" t="str">
        <f>IFERROR(__xludf.DUMMYFUNCTION("GOOGLETRANSLATE(C3217,""en"",""pl"")"),"przekonwertowany")</f>
        <v>przekonwertowany</v>
      </c>
    </row>
    <row r="3218">
      <c r="C3218" s="1" t="s">
        <v>3213</v>
      </c>
      <c r="D3218" s="3" t="str">
        <f>IFERROR(__xludf.DUMMYFUNCTION("GOOGLETRANSLATE(C3218,""en"",""pl"")"),"łachmany")</f>
        <v>łachmany</v>
      </c>
    </row>
    <row r="3219">
      <c r="C3219" s="1" t="s">
        <v>3214</v>
      </c>
      <c r="D3219" s="3" t="str">
        <f>IFERROR(__xludf.DUMMYFUNCTION("GOOGLETRANSLATE(C3219,""en"",""pl"")"),"uprząż")</f>
        <v>uprząż</v>
      </c>
    </row>
    <row r="3220">
      <c r="C3220" s="1" t="s">
        <v>3215</v>
      </c>
      <c r="D3220" s="3" t="str">
        <f>IFERROR(__xludf.DUMMYFUNCTION("GOOGLETRANSLATE(C3220,""en"",""pl"")"),"łupek")</f>
        <v>łupek</v>
      </c>
    </row>
    <row r="3221">
      <c r="C3221" s="1" t="s">
        <v>3216</v>
      </c>
      <c r="D3221" s="3" t="str">
        <f>IFERROR(__xludf.DUMMYFUNCTION("GOOGLETRANSLATE(C3221,""en"",""pl"")"),"ojciec")</f>
        <v>ojciec</v>
      </c>
    </row>
    <row r="3222">
      <c r="C3222" s="1" t="s">
        <v>3217</v>
      </c>
      <c r="D3222" s="3" t="str">
        <f>IFERROR(__xludf.DUMMYFUNCTION("GOOGLETRANSLATE(C3222,""en"",""pl"")"),"Sonia")</f>
        <v>Sonia</v>
      </c>
    </row>
    <row r="3223">
      <c r="C3223" s="1" t="s">
        <v>3218</v>
      </c>
      <c r="D3223" s="3" t="str">
        <f>IFERROR(__xludf.DUMMYFUNCTION("GOOGLETRANSLATE(C3223,""en"",""pl"")"),"konieczność")</f>
        <v>konieczność</v>
      </c>
    </row>
    <row r="3224">
      <c r="C3224" s="1" t="s">
        <v>3219</v>
      </c>
      <c r="D3224" s="3" t="str">
        <f>IFERROR(__xludf.DUMMYFUNCTION("GOOGLETRANSLATE(C3224,""en"",""pl"")"),"e-maile")</f>
        <v>e-maile</v>
      </c>
    </row>
    <row r="3225">
      <c r="C3225" s="1" t="s">
        <v>3220</v>
      </c>
      <c r="D3225" s="3" t="str">
        <f>IFERROR(__xludf.DUMMYFUNCTION("GOOGLETRANSLATE(C3225,""en"",""pl"")"),"słup rumowy")</f>
        <v>słup rumowy</v>
      </c>
    </row>
    <row r="3226">
      <c r="C3226" s="1" t="s">
        <v>3221</v>
      </c>
      <c r="D3226" s="3" t="str">
        <f>IFERROR(__xludf.DUMMYFUNCTION("GOOGLETRANSLATE(C3226,""en"",""pl"")"),"uporządkowany")</f>
        <v>uporządkowany</v>
      </c>
    </row>
    <row r="3227">
      <c r="C3227" s="1" t="s">
        <v>3222</v>
      </c>
      <c r="D3227" s="3" t="str">
        <f>IFERROR(__xludf.DUMMYFUNCTION("GOOGLETRANSLATE(C3227,""en"",""pl"")"),"obiady")</f>
        <v>obiady</v>
      </c>
    </row>
    <row r="3228">
      <c r="C3228" s="1" t="s">
        <v>3223</v>
      </c>
      <c r="D3228" s="3" t="str">
        <f>IFERROR(__xludf.DUMMYFUNCTION("GOOGLETRANSLATE(C3228,""en"",""pl"")"),"zabójcy")</f>
        <v>zabójcy</v>
      </c>
    </row>
    <row r="3229">
      <c r="C3229" s="1" t="s">
        <v>3224</v>
      </c>
      <c r="D3229" s="3" t="str">
        <f>IFERROR(__xludf.DUMMYFUNCTION("GOOGLETRANSLATE(C3229,""en"",""pl"")"),"nakrzyczeć")</f>
        <v>nakrzyczeć</v>
      </c>
    </row>
    <row r="3230">
      <c r="C3230" s="1" t="s">
        <v>3225</v>
      </c>
      <c r="D3230" s="3" t="str">
        <f>IFERROR(__xludf.DUMMYFUNCTION("GOOGLETRANSLATE(C3230,""en"",""pl"")"),"pewność")</f>
        <v>pewność</v>
      </c>
    </row>
    <row r="3231">
      <c r="C3231" s="1" t="s">
        <v>3226</v>
      </c>
      <c r="D3231" s="3" t="str">
        <f>IFERROR(__xludf.DUMMYFUNCTION("GOOGLETRANSLATE(C3231,""en"",""pl"")"),"marian")</f>
        <v>marian</v>
      </c>
    </row>
    <row r="3232">
      <c r="C3232" s="1" t="s">
        <v>3227</v>
      </c>
      <c r="D3232" s="3" t="str">
        <f>IFERROR(__xludf.DUMMYFUNCTION("GOOGLETRANSLATE(C3232,""en"",""pl"")"),"Knox")</f>
        <v>Knox</v>
      </c>
    </row>
    <row r="3233">
      <c r="C3233" s="1" t="s">
        <v>3228</v>
      </c>
      <c r="D3233" s="3" t="str">
        <f>IFERROR(__xludf.DUMMYFUNCTION("GOOGLETRANSLATE(C3233,""en"",""pl"")"),"pionowo")</f>
        <v>pionowo</v>
      </c>
    </row>
    <row r="3234">
      <c r="C3234" s="1" t="s">
        <v>3229</v>
      </c>
      <c r="D3234" s="3" t="str">
        <f>IFERROR(__xludf.DUMMYFUNCTION("GOOGLETRANSLATE(C3234,""en"",""pl"")"),"długa wędrówka")</f>
        <v>długa wędrówka</v>
      </c>
    </row>
    <row r="3235">
      <c r="C3235" s="1" t="s">
        <v>3230</v>
      </c>
      <c r="D3235" s="3" t="str">
        <f>IFERROR(__xludf.DUMMYFUNCTION("GOOGLETRANSLATE(C3235,""en"",""pl"")"),"patron")</f>
        <v>patron</v>
      </c>
    </row>
    <row r="3236">
      <c r="C3236" s="1" t="s">
        <v>3231</v>
      </c>
      <c r="D3236" s="3" t="str">
        <f>IFERROR(__xludf.DUMMYFUNCTION("GOOGLETRANSLATE(C3236,""en"",""pl"")"),"odrodzony")</f>
        <v>odrodzony</v>
      </c>
    </row>
    <row r="3237">
      <c r="C3237" s="1" t="s">
        <v>3232</v>
      </c>
      <c r="D3237" s="3" t="str">
        <f>IFERROR(__xludf.DUMMYFUNCTION("GOOGLETRANSLATE(C3237,""en"",""pl"")"),"rolka")</f>
        <v>rolka</v>
      </c>
    </row>
    <row r="3238">
      <c r="C3238" s="1" t="s">
        <v>3233</v>
      </c>
      <c r="D3238" s="3" t="str">
        <f>IFERROR(__xludf.DUMMYFUNCTION("GOOGLETRANSLATE(C3238,""en"",""pl"")"),"maszyna do pisania")</f>
        <v>maszyna do pisania</v>
      </c>
    </row>
    <row r="3239">
      <c r="C3239" s="1" t="s">
        <v>3234</v>
      </c>
      <c r="D3239" s="3" t="str">
        <f>IFERROR(__xludf.DUMMYFUNCTION("GOOGLETRANSLATE(C3239,""en"",""pl"")"),"laski")</f>
        <v>laski</v>
      </c>
    </row>
    <row r="3240">
      <c r="C3240" s="1" t="s">
        <v>3235</v>
      </c>
      <c r="D3240" s="3" t="str">
        <f>IFERROR(__xludf.DUMMYFUNCTION("GOOGLETRANSLATE(C3240,""en"",""pl"")"),"smutki")</f>
        <v>smutki</v>
      </c>
    </row>
    <row r="3241">
      <c r="C3241" s="1" t="s">
        <v>3236</v>
      </c>
      <c r="D3241" s="3" t="str">
        <f>IFERROR(__xludf.DUMMYFUNCTION("GOOGLETRANSLATE(C3241,""en"",""pl"")"),"najwyższy")</f>
        <v>najwyższy</v>
      </c>
    </row>
    <row r="3242">
      <c r="C3242" s="1" t="s">
        <v>3237</v>
      </c>
      <c r="D3242" s="3" t="str">
        <f>IFERROR(__xludf.DUMMYFUNCTION("GOOGLETRANSLATE(C3242,""en"",""pl"")"),"mieć")</f>
        <v>mieć</v>
      </c>
    </row>
    <row r="3243">
      <c r="C3243" s="1" t="s">
        <v>3238</v>
      </c>
      <c r="D3243" s="3" t="str">
        <f>IFERROR(__xludf.DUMMYFUNCTION("GOOGLETRANSLATE(C3243,""en"",""pl"")"),"frajer")</f>
        <v>frajer</v>
      </c>
    </row>
    <row r="3244">
      <c r="C3244" s="1" t="s">
        <v>3239</v>
      </c>
      <c r="D3244" s="3" t="str">
        <f>IFERROR(__xludf.DUMMYFUNCTION("GOOGLETRANSLATE(C3244,""en"",""pl"")"),"rządy")</f>
        <v>rządy</v>
      </c>
    </row>
    <row r="3245">
      <c r="C3245" s="1" t="s">
        <v>3240</v>
      </c>
      <c r="D3245" s="3" t="str">
        <f>IFERROR(__xludf.DUMMYFUNCTION("GOOGLETRANSLATE(C3245,""en"",""pl"")"),"Bhai-bai")</f>
        <v>Bhai-bai</v>
      </c>
    </row>
    <row r="3246">
      <c r="C3246" s="1" t="s">
        <v>3241</v>
      </c>
      <c r="D3246" s="3" t="str">
        <f>IFERROR(__xludf.DUMMYFUNCTION("GOOGLETRANSLATE(C3246,""en"",""pl"")"),"przywileje")</f>
        <v>przywileje</v>
      </c>
    </row>
    <row r="3247">
      <c r="C3247" s="1" t="s">
        <v>3242</v>
      </c>
      <c r="D3247" s="3" t="str">
        <f>IFERROR(__xludf.DUMMYFUNCTION("GOOGLETRANSLATE(C3247,""en"",""pl"")"),"gardła")</f>
        <v>gardła</v>
      </c>
    </row>
    <row r="3248">
      <c r="C3248" s="1" t="s">
        <v>3243</v>
      </c>
      <c r="D3248" s="3" t="str">
        <f>IFERROR(__xludf.DUMMYFUNCTION("GOOGLETRANSLATE(C3248,""en"",""pl"")"),"zdalnie")</f>
        <v>zdalnie</v>
      </c>
    </row>
    <row r="3249">
      <c r="C3249" s="1" t="s">
        <v>3244</v>
      </c>
      <c r="D3249" s="3" t="str">
        <f>IFERROR(__xludf.DUMMYFUNCTION("GOOGLETRANSLATE(C3249,""en"",""pl"")"),"radość")</f>
        <v>radość</v>
      </c>
    </row>
    <row r="3250">
      <c r="C3250" s="1" t="s">
        <v>3245</v>
      </c>
      <c r="D3250" s="3" t="str">
        <f>IFERROR(__xludf.DUMMYFUNCTION("GOOGLETRANSLATE(C3250,""en"",""pl"")"),"rewolwer")</f>
        <v>rewolwer</v>
      </c>
    </row>
    <row r="3251">
      <c r="C3251" s="1" t="s">
        <v>3246</v>
      </c>
      <c r="D3251" s="3" t="str">
        <f>IFERROR(__xludf.DUMMYFUNCTION("GOOGLETRANSLATE(C3251,""en"",""pl"")"),"izolacja")</f>
        <v>izolacja</v>
      </c>
    </row>
    <row r="3252">
      <c r="C3252" s="1" t="s">
        <v>3247</v>
      </c>
      <c r="D3252" s="3" t="str">
        <f>IFERROR(__xludf.DUMMYFUNCTION("GOOGLETRANSLATE(C3252,""en"",""pl"")"),"wątek")</f>
        <v>wątek</v>
      </c>
    </row>
    <row r="3253">
      <c r="C3253" s="1" t="s">
        <v>3248</v>
      </c>
      <c r="D3253" s="3" t="str">
        <f>IFERROR(__xludf.DUMMYFUNCTION("GOOGLETRANSLATE(C3253,""en"",""pl"")"),"przekąska")</f>
        <v>przekąska</v>
      </c>
    </row>
    <row r="3254">
      <c r="C3254" s="1" t="s">
        <v>3249</v>
      </c>
      <c r="D3254" s="3" t="str">
        <f>IFERROR(__xludf.DUMMYFUNCTION("GOOGLETRANSLATE(C3254,""en"",""pl"")"),"mieszkać")</f>
        <v>mieszkać</v>
      </c>
    </row>
    <row r="3255">
      <c r="C3255" s="1" t="s">
        <v>3250</v>
      </c>
      <c r="D3255" s="3" t="str">
        <f>IFERROR(__xludf.DUMMYFUNCTION("GOOGLETRANSLATE(C3255,""en"",""pl"")"),"kojot")</f>
        <v>kojot</v>
      </c>
    </row>
    <row r="3256">
      <c r="C3256" s="1" t="s">
        <v>3251</v>
      </c>
      <c r="D3256" s="3" t="str">
        <f>IFERROR(__xludf.DUMMYFUNCTION("GOOGLETRANSLATE(C3256,""en"",""pl"")"),"kucać")</f>
        <v>kucać</v>
      </c>
    </row>
    <row r="3257">
      <c r="C3257" s="1" t="s">
        <v>3252</v>
      </c>
      <c r="D3257" s="3" t="str">
        <f>IFERROR(__xludf.DUMMYFUNCTION("GOOGLETRANSLATE(C3257,""en"",""pl"")"),"maniakalny")</f>
        <v>maniakalny</v>
      </c>
    </row>
    <row r="3258">
      <c r="C3258" s="1" t="s">
        <v>3253</v>
      </c>
      <c r="D3258" s="3" t="str">
        <f>IFERROR(__xludf.DUMMYFUNCTION("GOOGLETRANSLATE(C3258,""en"",""pl"")"),"rowek")</f>
        <v>rowek</v>
      </c>
    </row>
    <row r="3259">
      <c r="C3259" s="1" t="s">
        <v>3254</v>
      </c>
      <c r="D3259" s="3" t="str">
        <f>IFERROR(__xludf.DUMMYFUNCTION("GOOGLETRANSLATE(C3259,""en"",""pl"")"),"Bangkok")</f>
        <v>Bangkok</v>
      </c>
    </row>
    <row r="3260">
      <c r="C3260" s="1" t="s">
        <v>3255</v>
      </c>
      <c r="D3260" s="3" t="str">
        <f>IFERROR(__xludf.DUMMYFUNCTION("GOOGLETRANSLATE(C3260,""en"",""pl"")"),"nieosłonięty")</f>
        <v>nieosłonięty</v>
      </c>
    </row>
    <row r="3261">
      <c r="C3261" s="1" t="s">
        <v>3256</v>
      </c>
      <c r="D3261" s="3" t="str">
        <f>IFERROR(__xludf.DUMMYFUNCTION("GOOGLETRANSLATE(C3261,""en"",""pl"")"),"skrzynka pocztowa")</f>
        <v>skrzynka pocztowa</v>
      </c>
    </row>
    <row r="3262">
      <c r="C3262" s="1" t="s">
        <v>3257</v>
      </c>
      <c r="D3262" s="3" t="str">
        <f>IFERROR(__xludf.DUMMYFUNCTION("GOOGLETRANSLATE(C3262,""en"",""pl"")"),"sprzeciwy")</f>
        <v>sprzeciwy</v>
      </c>
    </row>
    <row r="3263">
      <c r="C3263" s="1" t="s">
        <v>3258</v>
      </c>
      <c r="D3263" s="3" t="str">
        <f>IFERROR(__xludf.DUMMYFUNCTION("GOOGLETRANSLATE(C3263,""en"",""pl"")"),"zlinczować")</f>
        <v>zlinczować</v>
      </c>
    </row>
    <row r="3264">
      <c r="C3264" s="1" t="s">
        <v>3259</v>
      </c>
      <c r="D3264" s="3" t="str">
        <f>IFERROR(__xludf.DUMMYFUNCTION("GOOGLETRANSLATE(C3264,""en"",""pl"")"),"zeskrobać")</f>
        <v>zeskrobać</v>
      </c>
    </row>
    <row r="3265">
      <c r="C3265" s="1" t="s">
        <v>3260</v>
      </c>
      <c r="D3265" s="3" t="str">
        <f>IFERROR(__xludf.DUMMYFUNCTION("GOOGLETRANSLATE(C3265,""en"",""pl"")"),"dowódca")</f>
        <v>dowódca</v>
      </c>
    </row>
    <row r="3266">
      <c r="C3266" s="1" t="s">
        <v>3261</v>
      </c>
      <c r="D3266" s="3" t="str">
        <f>IFERROR(__xludf.DUMMYFUNCTION("GOOGLETRANSLATE(C3266,""en"",""pl"")"),"huśtawki")</f>
        <v>huśtawki</v>
      </c>
    </row>
    <row r="3267">
      <c r="C3267" s="1" t="s">
        <v>3262</v>
      </c>
      <c r="D3267" s="3" t="str">
        <f>IFERROR(__xludf.DUMMYFUNCTION("GOOGLETRANSLATE(C3267,""en"",""pl"")"),"standardowy")</f>
        <v>standardowy</v>
      </c>
    </row>
    <row r="3268">
      <c r="C3268" s="1" t="s">
        <v>3263</v>
      </c>
      <c r="D3268" s="3" t="str">
        <f>IFERROR(__xludf.DUMMYFUNCTION("GOOGLETRANSLATE(C3268,""en"",""pl"")"),"Sztokholm")</f>
        <v>Sztokholm</v>
      </c>
    </row>
    <row r="3269">
      <c r="C3269" s="1" t="s">
        <v>3264</v>
      </c>
      <c r="D3269" s="3" t="str">
        <f>IFERROR(__xludf.DUMMYFUNCTION("GOOGLETRANSLATE(C3269,""en"",""pl"")"),"podnosi")</f>
        <v>podnosi</v>
      </c>
    </row>
    <row r="3270">
      <c r="C3270" s="1" t="s">
        <v>3265</v>
      </c>
      <c r="D3270" s="3" t="str">
        <f>IFERROR(__xludf.DUMMYFUNCTION("GOOGLETRANSLATE(C3270,""en"",""pl"")"),"transakcja")</f>
        <v>transakcja</v>
      </c>
    </row>
    <row r="3271">
      <c r="C3271" s="1" t="s">
        <v>3266</v>
      </c>
      <c r="D3271" s="3" t="str">
        <f>IFERROR(__xludf.DUMMYFUNCTION("GOOGLETRANSLATE(C3271,""en"",""pl"")"),"mrożony")</f>
        <v>mrożony</v>
      </c>
    </row>
    <row r="3272">
      <c r="C3272" s="1" t="s">
        <v>3267</v>
      </c>
      <c r="D3272" s="3" t="str">
        <f>IFERROR(__xludf.DUMMYFUNCTION("GOOGLETRANSLATE(C3272,""en"",""pl"")"),"ojej")</f>
        <v>ojej</v>
      </c>
    </row>
    <row r="3273">
      <c r="C3273" s="1" t="s">
        <v>3268</v>
      </c>
      <c r="D3273" s="3" t="str">
        <f>IFERROR(__xludf.DUMMYFUNCTION("GOOGLETRANSLATE(C3273,""en"",""pl"")"),"Paweł")</f>
        <v>Paweł</v>
      </c>
    </row>
    <row r="3274">
      <c r="C3274" s="1" t="s">
        <v>3269</v>
      </c>
      <c r="D3274" s="3" t="str">
        <f>IFERROR(__xludf.DUMMYFUNCTION("GOOGLETRANSLATE(C3274,""en"",""pl"")"),"zapłon")</f>
        <v>zapłon</v>
      </c>
    </row>
    <row r="3275">
      <c r="C3275" s="1" t="s">
        <v>3270</v>
      </c>
      <c r="D3275" s="3" t="str">
        <f>IFERROR(__xludf.DUMMYFUNCTION("GOOGLETRANSLATE(C3275,""en"",""pl"")"),"plaże")</f>
        <v>plaże</v>
      </c>
    </row>
    <row r="3276">
      <c r="C3276" s="1" t="s">
        <v>3271</v>
      </c>
      <c r="D3276" s="3" t="str">
        <f>IFERROR(__xludf.DUMMYFUNCTION("GOOGLETRANSLATE(C3276,""en"",""pl"")"),"Interpol")</f>
        <v>Interpol</v>
      </c>
    </row>
    <row r="3277">
      <c r="C3277" s="1" t="s">
        <v>3272</v>
      </c>
      <c r="D3277" s="3" t="str">
        <f>IFERROR(__xludf.DUMMYFUNCTION("GOOGLETRANSLATE(C3277,""en"",""pl"")"),"epidemia")</f>
        <v>epidemia</v>
      </c>
    </row>
    <row r="3278">
      <c r="C3278" s="1" t="s">
        <v>3273</v>
      </c>
      <c r="D3278" s="3" t="str">
        <f>IFERROR(__xludf.DUMMYFUNCTION("GOOGLETRANSLATE(C3278,""en"",""pl"")"),"zaszczycony")</f>
        <v>zaszczycony</v>
      </c>
    </row>
    <row r="3279">
      <c r="C3279" s="1" t="s">
        <v>3274</v>
      </c>
      <c r="D3279" s="3" t="str">
        <f>IFERROR(__xludf.DUMMYFUNCTION("GOOGLETRANSLATE(C3279,""en"",""pl"")"),"kudłaty")</f>
        <v>kudłaty</v>
      </c>
    </row>
    <row r="3280">
      <c r="C3280" s="1" t="s">
        <v>3275</v>
      </c>
      <c r="D3280" s="3" t="str">
        <f>IFERROR(__xludf.DUMMYFUNCTION("GOOGLETRANSLATE(C3280,""en"",""pl"")"),"cholera")</f>
        <v>cholera</v>
      </c>
    </row>
    <row r="3281">
      <c r="C3281" s="1" t="s">
        <v>3276</v>
      </c>
      <c r="D3281" s="3" t="str">
        <f>IFERROR(__xludf.DUMMYFUNCTION("GOOGLETRANSLATE(C3281,""en"",""pl"")"),"zasady")</f>
        <v>zasady</v>
      </c>
    </row>
    <row r="3282">
      <c r="C3282" s="1" t="s">
        <v>3277</v>
      </c>
      <c r="D3282" s="3" t="str">
        <f>IFERROR(__xludf.DUMMYFUNCTION("GOOGLETRANSLATE(C3282,""en"",""pl"")"),"statystyka")</f>
        <v>statystyka</v>
      </c>
    </row>
    <row r="3283">
      <c r="C3283" s="1" t="s">
        <v>3278</v>
      </c>
      <c r="D3283" s="3" t="str">
        <f>IFERROR(__xludf.DUMMYFUNCTION("GOOGLETRANSLATE(C3283,""en"",""pl"")"),"przygniatający")</f>
        <v>przygniatający</v>
      </c>
    </row>
    <row r="3284">
      <c r="C3284" s="1" t="s">
        <v>3279</v>
      </c>
      <c r="D3284" s="3" t="str">
        <f>IFERROR(__xludf.DUMMYFUNCTION("GOOGLETRANSLATE(C3284,""en"",""pl"")"),"bah")</f>
        <v>bah</v>
      </c>
    </row>
    <row r="3285">
      <c r="C3285" s="1" t="s">
        <v>3280</v>
      </c>
      <c r="D3285" s="3" t="str">
        <f>IFERROR(__xludf.DUMMYFUNCTION("GOOGLETRANSLATE(C3285,""en"",""pl"")"),"stosunek płciowy")</f>
        <v>stosunek płciowy</v>
      </c>
    </row>
    <row r="3286">
      <c r="C3286" s="1" t="s">
        <v>3281</v>
      </c>
      <c r="D3286" s="3" t="str">
        <f>IFERROR(__xludf.DUMMYFUNCTION("GOOGLETRANSLATE(C3286,""en"",""pl"")"),"uroki")</f>
        <v>uroki</v>
      </c>
    </row>
    <row r="3287">
      <c r="C3287" s="1" t="s">
        <v>3282</v>
      </c>
      <c r="D3287" s="3" t="str">
        <f>IFERROR(__xludf.DUMMYFUNCTION("GOOGLETRANSLATE(C3287,""en"",""pl"")"),"błyskowy")</f>
        <v>błyskowy</v>
      </c>
    </row>
    <row r="3288">
      <c r="C3288" s="1" t="s">
        <v>3283</v>
      </c>
      <c r="D3288" s="3" t="str">
        <f>IFERROR(__xludf.DUMMYFUNCTION("GOOGLETRANSLATE(C3288,""en"",""pl"")"),"destrukcyjny")</f>
        <v>destrukcyjny</v>
      </c>
    </row>
    <row r="3289">
      <c r="C3289" s="1" t="s">
        <v>3284</v>
      </c>
      <c r="D3289" s="3" t="str">
        <f>IFERROR(__xludf.DUMMYFUNCTION("GOOGLETRANSLATE(C3289,""en"",""pl"")"),"grillowany")</f>
        <v>grillowany</v>
      </c>
    </row>
    <row r="3290">
      <c r="C3290" s="1" t="s">
        <v>3285</v>
      </c>
      <c r="D3290" s="3" t="str">
        <f>IFERROR(__xludf.DUMMYFUNCTION("GOOGLETRANSLATE(C3290,""en"",""pl"")"),"Oregon")</f>
        <v>Oregon</v>
      </c>
    </row>
    <row r="3291">
      <c r="C3291" s="1" t="s">
        <v>3286</v>
      </c>
      <c r="D3291" s="3" t="str">
        <f>IFERROR(__xludf.DUMMYFUNCTION("GOOGLETRANSLATE(C3291,""en"",""pl"")"),"skopiowano")</f>
        <v>skopiowano</v>
      </c>
    </row>
    <row r="3292">
      <c r="C3292" s="1" t="s">
        <v>3287</v>
      </c>
      <c r="D3292" s="3" t="str">
        <f>IFERROR(__xludf.DUMMYFUNCTION("GOOGLETRANSLATE(C3292,""en"",""pl"")"),"prostytutki")</f>
        <v>prostytutki</v>
      </c>
    </row>
    <row r="3293">
      <c r="C3293" s="1" t="s">
        <v>3288</v>
      </c>
      <c r="D3293" s="3" t="str">
        <f>IFERROR(__xludf.DUMMYFUNCTION("GOOGLETRANSLATE(C3293,""en"",""pl"")"),"wypłata")</f>
        <v>wypłata</v>
      </c>
    </row>
    <row r="3294">
      <c r="C3294" s="1" t="s">
        <v>3289</v>
      </c>
      <c r="D3294" s="3" t="str">
        <f>IFERROR(__xludf.DUMMYFUNCTION("GOOGLETRANSLATE(C3294,""en"",""pl"")"),"samotność")</f>
        <v>samotność</v>
      </c>
    </row>
    <row r="3295">
      <c r="C3295" s="1" t="s">
        <v>3290</v>
      </c>
      <c r="D3295" s="3" t="str">
        <f>IFERROR(__xludf.DUMMYFUNCTION("GOOGLETRANSLATE(C3295,""en"",""pl"")"),"pantera")</f>
        <v>pantera</v>
      </c>
    </row>
    <row r="3296">
      <c r="C3296" s="1" t="s">
        <v>3291</v>
      </c>
      <c r="D3296" s="3" t="str">
        <f>IFERROR(__xludf.DUMMYFUNCTION("GOOGLETRANSLATE(C3296,""en"",""pl"")"),"występy")</f>
        <v>występy</v>
      </c>
    </row>
    <row r="3297">
      <c r="C3297" s="1" t="s">
        <v>3292</v>
      </c>
      <c r="D3297" s="3" t="str">
        <f>IFERROR(__xludf.DUMMYFUNCTION("GOOGLETRANSLATE(C3297,""en"",""pl"")"),"pokojówki")</f>
        <v>pokojówki</v>
      </c>
    </row>
    <row r="3298">
      <c r="C3298" s="1" t="s">
        <v>3293</v>
      </c>
      <c r="D3298" s="3" t="str">
        <f>IFERROR(__xludf.DUMMYFUNCTION("GOOGLETRANSLATE(C3298,""en"",""pl"")"),"wyczerpujący")</f>
        <v>wyczerpujący</v>
      </c>
    </row>
    <row r="3299">
      <c r="C3299" s="1" t="s">
        <v>3294</v>
      </c>
      <c r="D3299" s="3" t="str">
        <f>IFERROR(__xludf.DUMMYFUNCTION("GOOGLETRANSLATE(C3299,""en"",""pl"")"),"Lambert")</f>
        <v>Lambert</v>
      </c>
    </row>
    <row r="3300">
      <c r="C3300" s="1" t="s">
        <v>3295</v>
      </c>
      <c r="D3300" s="3" t="str">
        <f>IFERROR(__xludf.DUMMYFUNCTION("GOOGLETRANSLATE(C3300,""en"",""pl"")"),"omega")</f>
        <v>omega</v>
      </c>
    </row>
    <row r="3301">
      <c r="C3301" s="1" t="s">
        <v>3296</v>
      </c>
      <c r="D3301" s="3" t="str">
        <f>IFERROR(__xludf.DUMMYFUNCTION("GOOGLETRANSLATE(C3301,""en"",""pl"")"),"Belgia")</f>
        <v>Belgia</v>
      </c>
    </row>
    <row r="3302">
      <c r="C3302" s="1" t="s">
        <v>3297</v>
      </c>
      <c r="D3302" s="3" t="str">
        <f>IFERROR(__xludf.DUMMYFUNCTION("GOOGLETRANSLATE(C3302,""en"",""pl"")"),"stacjonował")</f>
        <v>stacjonował</v>
      </c>
    </row>
    <row r="3303">
      <c r="C3303" s="1" t="s">
        <v>3298</v>
      </c>
      <c r="D3303" s="3" t="str">
        <f>IFERROR(__xludf.DUMMYFUNCTION("GOOGLETRANSLATE(C3303,""en"",""pl"")"),"Jankesi")</f>
        <v>Jankesi</v>
      </c>
    </row>
    <row r="3304">
      <c r="C3304" s="1" t="s">
        <v>3299</v>
      </c>
      <c r="D3304" s="3" t="str">
        <f>IFERROR(__xludf.DUMMYFUNCTION("GOOGLETRANSLATE(C3304,""en"",""pl"")"),"obciążenie")</f>
        <v>obciążenie</v>
      </c>
    </row>
    <row r="3305">
      <c r="C3305" s="1" t="s">
        <v>3300</v>
      </c>
      <c r="D3305" s="3" t="str">
        <f>IFERROR(__xludf.DUMMYFUNCTION("GOOGLETRANSLATE(C3305,""en"",""pl"")"),"promienie rentgenowskie")</f>
        <v>promienie rentgenowskie</v>
      </c>
    </row>
    <row r="3306">
      <c r="C3306" s="1" t="s">
        <v>3301</v>
      </c>
      <c r="D3306" s="3" t="str">
        <f>IFERROR(__xludf.DUMMYFUNCTION("GOOGLETRANSLATE(C3306,""en"",""pl"")"),"którykolwiek")</f>
        <v>którykolwiek</v>
      </c>
    </row>
    <row r="3307">
      <c r="C3307" s="1" t="s">
        <v>3302</v>
      </c>
      <c r="D3307" s="3" t="str">
        <f>IFERROR(__xludf.DUMMYFUNCTION("GOOGLETRANSLATE(C3307,""en"",""pl"")"),"przystojniak")</f>
        <v>przystojniak</v>
      </c>
    </row>
    <row r="3308">
      <c r="C3308" s="1" t="s">
        <v>3303</v>
      </c>
      <c r="D3308" s="3" t="str">
        <f>IFERROR(__xludf.DUMMYFUNCTION("GOOGLETRANSLATE(C3308,""en"",""pl"")"),"pstrąg")</f>
        <v>pstrąg</v>
      </c>
    </row>
    <row r="3309">
      <c r="C3309" s="1" t="s">
        <v>3304</v>
      </c>
      <c r="D3309" s="3" t="str">
        <f>IFERROR(__xludf.DUMMYFUNCTION("GOOGLETRANSLATE(C3309,""en"",""pl"")"),"kryształy")</f>
        <v>kryształy</v>
      </c>
    </row>
    <row r="3310">
      <c r="C3310" s="1" t="s">
        <v>3305</v>
      </c>
      <c r="D3310" s="3" t="str">
        <f>IFERROR(__xludf.DUMMYFUNCTION("GOOGLETRANSLATE(C3310,""en"",""pl"")"),"uczy się")</f>
        <v>uczy się</v>
      </c>
    </row>
    <row r="3311">
      <c r="C3311" s="1" t="s">
        <v>3306</v>
      </c>
      <c r="D3311" s="3" t="str">
        <f>IFERROR(__xludf.DUMMYFUNCTION("GOOGLETRANSLATE(C3311,""en"",""pl"")"),"żałować")</f>
        <v>żałować</v>
      </c>
    </row>
    <row r="3312">
      <c r="C3312" s="1" t="s">
        <v>3307</v>
      </c>
      <c r="D3312" s="3" t="str">
        <f>IFERROR(__xludf.DUMMYFUNCTION("GOOGLETRANSLATE(C3312,""en"",""pl"")"),"dobrobyt")</f>
        <v>dobrobyt</v>
      </c>
    </row>
    <row r="3313">
      <c r="C3313" s="1" t="s">
        <v>3308</v>
      </c>
      <c r="D3313" s="3" t="str">
        <f>IFERROR(__xludf.DUMMYFUNCTION("GOOGLETRANSLATE(C3313,""en"",""pl"")"),"literacki")</f>
        <v>literacki</v>
      </c>
    </row>
    <row r="3314">
      <c r="C3314" s="1" t="s">
        <v>3309</v>
      </c>
      <c r="D3314" s="3" t="str">
        <f>IFERROR(__xludf.DUMMYFUNCTION("GOOGLETRANSLATE(C3314,""en"",""pl"")"),"zmontowany")</f>
        <v>zmontowany</v>
      </c>
    </row>
    <row r="3315">
      <c r="C3315" s="1" t="s">
        <v>3310</v>
      </c>
      <c r="D3315" s="3" t="str">
        <f>IFERROR(__xludf.DUMMYFUNCTION("GOOGLETRANSLATE(C3315,""en"",""pl"")"),"uncje")</f>
        <v>uncje</v>
      </c>
    </row>
    <row r="3316">
      <c r="C3316" s="1" t="s">
        <v>3311</v>
      </c>
      <c r="D3316" s="3" t="str">
        <f>IFERROR(__xludf.DUMMYFUNCTION("GOOGLETRANSLATE(C3316,""en"",""pl"")"),"męczennik")</f>
        <v>męczennik</v>
      </c>
    </row>
    <row r="3317">
      <c r="C3317" s="1" t="s">
        <v>3312</v>
      </c>
      <c r="D3317" s="3" t="str">
        <f>IFERROR(__xludf.DUMMYFUNCTION("GOOGLETRANSLATE(C3317,""en"",""pl"")"),"północny zachód")</f>
        <v>północny zachód</v>
      </c>
    </row>
    <row r="3318">
      <c r="C3318" s="1" t="s">
        <v>3313</v>
      </c>
      <c r="D3318" s="3" t="str">
        <f>IFERROR(__xludf.DUMMYFUNCTION("GOOGLETRANSLATE(C3318,""en"",""pl"")"),"Connecticut")</f>
        <v>Connecticut</v>
      </c>
    </row>
    <row r="3319">
      <c r="C3319" s="1" t="s">
        <v>3314</v>
      </c>
      <c r="D3319" s="3" t="str">
        <f>IFERROR(__xludf.DUMMYFUNCTION("GOOGLETRANSLATE(C3319,""en"",""pl"")"),"uprzywilejowany")</f>
        <v>uprzywilejowany</v>
      </c>
    </row>
    <row r="3320">
      <c r="C3320" s="1" t="s">
        <v>3315</v>
      </c>
      <c r="D3320" s="3" t="str">
        <f>IFERROR(__xludf.DUMMYFUNCTION("GOOGLETRANSLATE(C3320,""en"",""pl"")"),"webster")</f>
        <v>webster</v>
      </c>
    </row>
    <row r="3321">
      <c r="C3321" s="1" t="s">
        <v>3316</v>
      </c>
      <c r="D3321" s="3" t="str">
        <f>IFERROR(__xludf.DUMMYFUNCTION("GOOGLETRANSLATE(C3321,""en"",""pl"")"),"nadmiar")</f>
        <v>nadmiar</v>
      </c>
    </row>
    <row r="3322">
      <c r="C3322" s="1" t="s">
        <v>3317</v>
      </c>
      <c r="D3322" s="3" t="str">
        <f>IFERROR(__xludf.DUMMYFUNCTION("GOOGLETRANSLATE(C3322,""en"",""pl"")"),"bezrobocie")</f>
        <v>bezrobocie</v>
      </c>
    </row>
    <row r="3323">
      <c r="C3323" s="1" t="s">
        <v>3318</v>
      </c>
      <c r="D3323" s="3" t="str">
        <f>IFERROR(__xludf.DUMMYFUNCTION("GOOGLETRANSLATE(C3323,""en"",""pl"")"),"wiking")</f>
        <v>wiking</v>
      </c>
    </row>
    <row r="3324">
      <c r="C3324" s="1" t="s">
        <v>3319</v>
      </c>
      <c r="D3324" s="3" t="str">
        <f>IFERROR(__xludf.DUMMYFUNCTION("GOOGLETRANSLATE(C3324,""en"",""pl"")"),"szantażowanie")</f>
        <v>szantażowanie</v>
      </c>
    </row>
    <row r="3325">
      <c r="C3325" s="1" t="s">
        <v>3320</v>
      </c>
      <c r="D3325" s="3" t="str">
        <f>IFERROR(__xludf.DUMMYFUNCTION("GOOGLETRANSLATE(C3325,""en"",""pl"")"),"Monachium")</f>
        <v>Monachium</v>
      </c>
    </row>
    <row r="3326">
      <c r="C3326" s="1" t="s">
        <v>3321</v>
      </c>
      <c r="D3326" s="3" t="str">
        <f>IFERROR(__xludf.DUMMYFUNCTION("GOOGLETRANSLATE(C3326,""en"",""pl"")"),"zainstalować")</f>
        <v>zainstalować</v>
      </c>
    </row>
    <row r="3327">
      <c r="C3327" s="1" t="s">
        <v>3322</v>
      </c>
      <c r="D3327" s="3" t="str">
        <f>IFERROR(__xludf.DUMMYFUNCTION("GOOGLETRANSLATE(C3327,""en"",""pl"")"),"arogancja")</f>
        <v>arogancja</v>
      </c>
    </row>
    <row r="3328">
      <c r="C3328" s="1" t="s">
        <v>3323</v>
      </c>
      <c r="D3328" s="3" t="str">
        <f>IFERROR(__xludf.DUMMYFUNCTION("GOOGLETRANSLATE(C3328,""en"",""pl"")"),"niebezpieczeństwo")</f>
        <v>niebezpieczeństwo</v>
      </c>
    </row>
    <row r="3329">
      <c r="C3329" s="1" t="s">
        <v>3324</v>
      </c>
      <c r="D3329" s="3" t="str">
        <f>IFERROR(__xludf.DUMMYFUNCTION("GOOGLETRANSLATE(C3329,""en"",""pl"")"),"haker")</f>
        <v>haker</v>
      </c>
    </row>
    <row r="3330">
      <c r="C3330" s="1" t="s">
        <v>3325</v>
      </c>
      <c r="D3330" s="3" t="str">
        <f>IFERROR(__xludf.DUMMYFUNCTION("GOOGLETRANSLATE(C3330,""en"",""pl"")"),"języki")</f>
        <v>języki</v>
      </c>
    </row>
    <row r="3331">
      <c r="C3331" s="1" t="s">
        <v>3326</v>
      </c>
      <c r="D3331" s="3" t="str">
        <f>IFERROR(__xludf.DUMMYFUNCTION("GOOGLETRANSLATE(C3331,""en"",""pl"")"),"podoba się")</f>
        <v>podoba się</v>
      </c>
    </row>
    <row r="3332">
      <c r="C3332" s="1" t="s">
        <v>3327</v>
      </c>
      <c r="D3332" s="3" t="str">
        <f>IFERROR(__xludf.DUMMYFUNCTION("GOOGLETRANSLATE(C3332,""en"",""pl"")"),"nastawić")</f>
        <v>nastawić</v>
      </c>
    </row>
    <row r="3333">
      <c r="C3333" s="1" t="s">
        <v>3328</v>
      </c>
      <c r="D3333" s="3" t="str">
        <f>IFERROR(__xludf.DUMMYFUNCTION("GOOGLETRANSLATE(C3333,""en"",""pl"")"),"zmartwychwstały")</f>
        <v>zmartwychwstały</v>
      </c>
    </row>
    <row r="3334">
      <c r="C3334" s="1" t="s">
        <v>3329</v>
      </c>
      <c r="D3334" s="3" t="str">
        <f>IFERROR(__xludf.DUMMYFUNCTION("GOOGLETRANSLATE(C3334,""en"",""pl"")"),"zależny")</f>
        <v>zależny</v>
      </c>
    </row>
    <row r="3335">
      <c r="C3335" s="1" t="s">
        <v>3330</v>
      </c>
      <c r="D3335" s="3" t="str">
        <f>IFERROR(__xludf.DUMMYFUNCTION("GOOGLETRANSLATE(C3335,""en"",""pl"")"),"pozwany")</f>
        <v>pozwany</v>
      </c>
    </row>
    <row r="3336">
      <c r="C3336" s="1" t="s">
        <v>3331</v>
      </c>
      <c r="D3336" s="3" t="str">
        <f>IFERROR(__xludf.DUMMYFUNCTION("GOOGLETRANSLATE(C3336,""en"",""pl"")"),"Perkins")</f>
        <v>Perkins</v>
      </c>
    </row>
    <row r="3337">
      <c r="C3337" s="1" t="s">
        <v>3332</v>
      </c>
      <c r="D3337" s="3" t="str">
        <f>IFERROR(__xludf.DUMMYFUNCTION("GOOGLETRANSLATE(C3337,""en"",""pl"")"),"bandyci")</f>
        <v>bandyci</v>
      </c>
    </row>
    <row r="3338">
      <c r="C3338" s="1" t="s">
        <v>3333</v>
      </c>
      <c r="D3338" s="3" t="str">
        <f>IFERROR(__xludf.DUMMYFUNCTION("GOOGLETRANSLATE(C3338,""en"",""pl"")"),"macleod")</f>
        <v>macleod</v>
      </c>
    </row>
    <row r="3339">
      <c r="C3339" s="1" t="s">
        <v>3334</v>
      </c>
      <c r="D3339" s="3" t="str">
        <f>IFERROR(__xludf.DUMMYFUNCTION("GOOGLETRANSLATE(C3339,""en"",""pl"")"),"milady")</f>
        <v>milady</v>
      </c>
    </row>
    <row r="3340">
      <c r="C3340" s="1" t="s">
        <v>3335</v>
      </c>
      <c r="D3340" s="3" t="str">
        <f>IFERROR(__xludf.DUMMYFUNCTION("GOOGLETRANSLATE(C3340,""en"",""pl"")"),"wilk")</f>
        <v>wilk</v>
      </c>
    </row>
    <row r="3341">
      <c r="C3341" s="1" t="s">
        <v>3336</v>
      </c>
      <c r="D3341" s="3" t="str">
        <f>IFERROR(__xludf.DUMMYFUNCTION("GOOGLETRANSLATE(C3341,""en"",""pl"")"),"nieprawidłowy")</f>
        <v>nieprawidłowy</v>
      </c>
    </row>
    <row r="3342">
      <c r="C3342" s="1" t="s">
        <v>3337</v>
      </c>
      <c r="D3342" s="3" t="str">
        <f>IFERROR(__xludf.DUMMYFUNCTION("GOOGLETRANSLATE(C3342,""en"",""pl"")"),"bandaż")</f>
        <v>bandaż</v>
      </c>
    </row>
    <row r="3343">
      <c r="C3343" s="1" t="s">
        <v>3338</v>
      </c>
      <c r="D3343" s="3" t="str">
        <f>IFERROR(__xludf.DUMMYFUNCTION("GOOGLETRANSLATE(C3343,""en"",""pl"")"),"uwaga")</f>
        <v>uwaga</v>
      </c>
    </row>
    <row r="3344">
      <c r="C3344" s="1" t="s">
        <v>3339</v>
      </c>
      <c r="D3344" s="3" t="str">
        <f>IFERROR(__xludf.DUMMYFUNCTION("GOOGLETRANSLATE(C3344,""en"",""pl"")"),"Mabel")</f>
        <v>Mabel</v>
      </c>
    </row>
    <row r="3345">
      <c r="C3345" s="1" t="s">
        <v>3340</v>
      </c>
      <c r="D3345" s="3" t="str">
        <f>IFERROR(__xludf.DUMMYFUNCTION("GOOGLETRANSLATE(C3345,""en"",""pl"")"),"wyraźny")</f>
        <v>wyraźny</v>
      </c>
    </row>
    <row r="3346">
      <c r="C3346" s="1" t="s">
        <v>3341</v>
      </c>
      <c r="D3346" s="3" t="str">
        <f>IFERROR(__xludf.DUMMYFUNCTION("GOOGLETRANSLATE(C3346,""en"",""pl"")"),"zastraszanie")</f>
        <v>zastraszanie</v>
      </c>
    </row>
    <row r="3347">
      <c r="C3347" s="1" t="s">
        <v>3342</v>
      </c>
      <c r="D3347" s="3" t="str">
        <f>IFERROR(__xludf.DUMMYFUNCTION("GOOGLETRANSLATE(C3347,""en"",""pl"")"),"czarter")</f>
        <v>czarter</v>
      </c>
    </row>
    <row r="3348">
      <c r="C3348" s="1" t="s">
        <v>3343</v>
      </c>
      <c r="D3348" s="3" t="str">
        <f>IFERROR(__xludf.DUMMYFUNCTION("GOOGLETRANSLATE(C3348,""en"",""pl"")"),"skorupka")</f>
        <v>skorupka</v>
      </c>
    </row>
    <row r="3349">
      <c r="C3349" s="1" t="s">
        <v>3344</v>
      </c>
      <c r="D3349" s="3" t="str">
        <f>IFERROR(__xludf.DUMMYFUNCTION("GOOGLETRANSLATE(C3349,""en"",""pl"")"),"Turcy")</f>
        <v>Turcy</v>
      </c>
    </row>
    <row r="3350">
      <c r="C3350" s="1" t="s">
        <v>3345</v>
      </c>
      <c r="D3350" s="3" t="str">
        <f>IFERROR(__xludf.DUMMYFUNCTION("GOOGLETRANSLATE(C3350,""en"",""pl"")"),"śmieci")</f>
        <v>śmieci</v>
      </c>
    </row>
    <row r="3351">
      <c r="C3351" s="1" t="s">
        <v>3346</v>
      </c>
      <c r="D3351" s="3" t="str">
        <f>IFERROR(__xludf.DUMMYFUNCTION("GOOGLETRANSLATE(C3351,""en"",""pl"")"),"czuwać")</f>
        <v>czuwać</v>
      </c>
    </row>
    <row r="3352">
      <c r="C3352" s="1" t="s">
        <v>3347</v>
      </c>
      <c r="D3352" s="3" t="str">
        <f>IFERROR(__xludf.DUMMYFUNCTION("GOOGLETRANSLATE(C3352,""en"",""pl"")"),"oszołomiony")</f>
        <v>oszołomiony</v>
      </c>
    </row>
    <row r="3353">
      <c r="C3353" s="1" t="s">
        <v>3348</v>
      </c>
      <c r="D3353" s="3" t="str">
        <f>IFERROR(__xludf.DUMMYFUNCTION("GOOGLETRANSLATE(C3353,""en"",""pl"")"),"Sp. z o.o.")</f>
        <v>Sp. z o.o.</v>
      </c>
    </row>
    <row r="3354">
      <c r="C3354" s="1" t="s">
        <v>3349</v>
      </c>
      <c r="D3354" s="3" t="str">
        <f>IFERROR(__xludf.DUMMYFUNCTION("GOOGLETRANSLATE(C3354,""en"",""pl"")"),"brzoskwinie")</f>
        <v>brzoskwinie</v>
      </c>
    </row>
    <row r="3355">
      <c r="C3355" s="1" t="s">
        <v>3350</v>
      </c>
      <c r="D3355" s="3" t="str">
        <f>IFERROR(__xludf.DUMMYFUNCTION("GOOGLETRANSLATE(C3355,""en"",""pl"")"),"kąty")</f>
        <v>kąty</v>
      </c>
    </row>
    <row r="3356">
      <c r="C3356" s="1" t="s">
        <v>3351</v>
      </c>
      <c r="D3356" s="3" t="str">
        <f>IFERROR(__xludf.DUMMYFUNCTION("GOOGLETRANSLATE(C3356,""en"",""pl"")"),"kerry")</f>
        <v>kerry</v>
      </c>
    </row>
    <row r="3357">
      <c r="C3357" s="1" t="s">
        <v>3352</v>
      </c>
      <c r="D3357" s="3" t="str">
        <f>IFERROR(__xludf.DUMMYFUNCTION("GOOGLETRANSLATE(C3357,""en"",""pl"")"),"Tutaj-")</f>
        <v>Tutaj-</v>
      </c>
    </row>
    <row r="3358">
      <c r="C3358" s="1" t="s">
        <v>3353</v>
      </c>
      <c r="D3358" s="3" t="str">
        <f>IFERROR(__xludf.DUMMYFUNCTION("GOOGLETRANSLATE(C3358,""en"",""pl"")"),"łaźnia")</f>
        <v>łaźnia</v>
      </c>
    </row>
    <row r="3359">
      <c r="C3359" s="1" t="s">
        <v>3354</v>
      </c>
      <c r="D3359" s="3" t="str">
        <f>IFERROR(__xludf.DUMMYFUNCTION("GOOGLETRANSLATE(C3359,""en"",""pl"")"),"spowodować")</f>
        <v>spowodować</v>
      </c>
    </row>
    <row r="3360">
      <c r="C3360" s="1" t="s">
        <v>3355</v>
      </c>
      <c r="D3360" s="3" t="str">
        <f>IFERROR(__xludf.DUMMYFUNCTION("GOOGLETRANSLATE(C3360,""en"",""pl"")"),"Kobyłka")</f>
        <v>Kobyłka</v>
      </c>
    </row>
    <row r="3361">
      <c r="C3361" s="1" t="s">
        <v>3356</v>
      </c>
      <c r="D3361" s="3" t="str">
        <f>IFERROR(__xludf.DUMMYFUNCTION("GOOGLETRANSLATE(C3361,""en"",""pl"")"),"pozostałość")</f>
        <v>pozostałość</v>
      </c>
    </row>
    <row r="3362">
      <c r="C3362" s="1" t="s">
        <v>3357</v>
      </c>
      <c r="D3362" s="3" t="str">
        <f>IFERROR(__xludf.DUMMYFUNCTION("GOOGLETRANSLATE(C3362,""en"",""pl"")"),"opanowany")</f>
        <v>opanowany</v>
      </c>
    </row>
    <row r="3363">
      <c r="C3363" s="1" t="s">
        <v>3358</v>
      </c>
      <c r="D3363" s="3" t="str">
        <f>IFERROR(__xludf.DUMMYFUNCTION("GOOGLETRANSLATE(C3363,""en"",""pl"")"),"Paco")</f>
        <v>Paco</v>
      </c>
    </row>
    <row r="3364">
      <c r="C3364" s="1" t="s">
        <v>3359</v>
      </c>
      <c r="D3364" s="3" t="str">
        <f>IFERROR(__xludf.DUMMYFUNCTION("GOOGLETRANSLATE(C3364,""en"",""pl"")"),"kilogram")</f>
        <v>kilogram</v>
      </c>
    </row>
    <row r="3365">
      <c r="C3365" s="1" t="s">
        <v>3360</v>
      </c>
      <c r="D3365" s="3" t="str">
        <f>IFERROR(__xludf.DUMMYFUNCTION("GOOGLETRANSLATE(C3365,""en"",""pl"")"),"imigranci")</f>
        <v>imigranci</v>
      </c>
    </row>
    <row r="3366">
      <c r="C3366" s="1" t="s">
        <v>3361</v>
      </c>
      <c r="D3366" s="3" t="str">
        <f>IFERROR(__xludf.DUMMYFUNCTION("GOOGLETRANSLATE(C3366,""en"",""pl"")"),"prawdopodobny")</f>
        <v>prawdopodobny</v>
      </c>
    </row>
    <row r="3367">
      <c r="C3367" s="1" t="s">
        <v>3362</v>
      </c>
      <c r="D3367" s="3" t="str">
        <f>IFERROR(__xludf.DUMMYFUNCTION("GOOGLETRANSLATE(C3367,""en"",""pl"")"),"X.")</f>
        <v>X.</v>
      </c>
    </row>
    <row r="3368">
      <c r="C3368" s="1" t="s">
        <v>3363</v>
      </c>
      <c r="D3368" s="3" t="str">
        <f>IFERROR(__xludf.DUMMYFUNCTION("GOOGLETRANSLATE(C3368,""en"",""pl"")"),"cieszy się")</f>
        <v>cieszy się</v>
      </c>
    </row>
    <row r="3369">
      <c r="C3369" s="1" t="s">
        <v>3364</v>
      </c>
      <c r="D3369" s="3" t="str">
        <f>IFERROR(__xludf.DUMMYFUNCTION("GOOGLETRANSLATE(C3369,""en"",""pl"")"),"szuka")</f>
        <v>szuka</v>
      </c>
    </row>
    <row r="3370">
      <c r="C3370" s="1" t="s">
        <v>3365</v>
      </c>
      <c r="D3370" s="3" t="str">
        <f>IFERROR(__xludf.DUMMYFUNCTION("GOOGLETRANSLATE(C3370,""en"",""pl"")"),"Nowak")</f>
        <v>Nowak</v>
      </c>
    </row>
    <row r="3371">
      <c r="C3371" s="1" t="s">
        <v>3366</v>
      </c>
      <c r="D3371" s="3" t="str">
        <f>IFERROR(__xludf.DUMMYFUNCTION("GOOGLETRANSLATE(C3371,""en"",""pl"")"),"sąsiedztwo")</f>
        <v>sąsiedztwo</v>
      </c>
    </row>
    <row r="3372">
      <c r="C3372" s="1" t="s">
        <v>3367</v>
      </c>
      <c r="D3372" s="3" t="str">
        <f>IFERROR(__xludf.DUMMYFUNCTION("GOOGLETRANSLATE(C3372,""en"",""pl"")"),"skrzydło")</f>
        <v>skrzydło</v>
      </c>
    </row>
    <row r="3373">
      <c r="C3373" s="1" t="s">
        <v>3368</v>
      </c>
      <c r="D3373" s="3" t="str">
        <f>IFERROR(__xludf.DUMMYFUNCTION("GOOGLETRANSLATE(C3373,""en"",""pl"")"),"der")</f>
        <v>der</v>
      </c>
    </row>
    <row r="3374">
      <c r="C3374" s="1" t="s">
        <v>3369</v>
      </c>
      <c r="D3374" s="3" t="str">
        <f>IFERROR(__xludf.DUMMYFUNCTION("GOOGLETRANSLATE(C3374,""en"",""pl"")"),"Klin")</f>
        <v>Klin</v>
      </c>
    </row>
    <row r="3375">
      <c r="C3375" s="1" t="s">
        <v>3370</v>
      </c>
      <c r="D3375" s="3" t="str">
        <f>IFERROR(__xludf.DUMMYFUNCTION("GOOGLETRANSLATE(C3375,""en"",""pl"")"),"funkcjonowanie")</f>
        <v>funkcjonowanie</v>
      </c>
    </row>
    <row r="3376">
      <c r="C3376" s="1" t="s">
        <v>3371</v>
      </c>
      <c r="D3376" s="3" t="str">
        <f>IFERROR(__xludf.DUMMYFUNCTION("GOOGLETRANSLATE(C3376,""en"",""pl"")"),"Horacy")</f>
        <v>Horacy</v>
      </c>
    </row>
    <row r="3377">
      <c r="C3377" s="1" t="s">
        <v>3372</v>
      </c>
      <c r="D3377" s="3" t="str">
        <f>IFERROR(__xludf.DUMMYFUNCTION("GOOGLETRANSLATE(C3377,""en"",""pl"")"),"możliwy do przewidzenia")</f>
        <v>możliwy do przewidzenia</v>
      </c>
    </row>
    <row r="3378">
      <c r="C3378" s="1" t="s">
        <v>3373</v>
      </c>
      <c r="D3378" s="3" t="str">
        <f>IFERROR(__xludf.DUMMYFUNCTION("GOOGLETRANSLATE(C3378,""en"",""pl"")"),"Jedi")</f>
        <v>Jedi</v>
      </c>
    </row>
    <row r="3379">
      <c r="C3379" s="1" t="s">
        <v>3374</v>
      </c>
      <c r="D3379" s="3" t="str">
        <f>IFERROR(__xludf.DUMMYFUNCTION("GOOGLETRANSLATE(C3379,""en"",""pl"")"),"pomieszany")</f>
        <v>pomieszany</v>
      </c>
    </row>
    <row r="3380">
      <c r="C3380" s="1" t="s">
        <v>3375</v>
      </c>
      <c r="D3380" s="3" t="str">
        <f>IFERROR(__xludf.DUMMYFUNCTION("GOOGLETRANSLATE(C3380,""en"",""pl"")"),"ekspansja")</f>
        <v>ekspansja</v>
      </c>
    </row>
    <row r="3381">
      <c r="C3381" s="1" t="s">
        <v>3376</v>
      </c>
      <c r="D3381" s="3" t="str">
        <f>IFERROR(__xludf.DUMMYFUNCTION("GOOGLETRANSLATE(C3381,""en"",""pl"")"),"Pittsburgh")</f>
        <v>Pittsburgh</v>
      </c>
    </row>
    <row r="3382">
      <c r="C3382" s="1" t="s">
        <v>3377</v>
      </c>
      <c r="D3382" s="3" t="str">
        <f>IFERROR(__xludf.DUMMYFUNCTION("GOOGLETRANSLATE(C3382,""en"",""pl"")"),"Angus")</f>
        <v>Angus</v>
      </c>
    </row>
    <row r="3383">
      <c r="C3383" s="1" t="s">
        <v>3378</v>
      </c>
      <c r="D3383" s="3" t="str">
        <f>IFERROR(__xludf.DUMMYFUNCTION("GOOGLETRANSLATE(C3383,""en"",""pl"")"),"tubylcy")</f>
        <v>tubylcy</v>
      </c>
    </row>
    <row r="3384">
      <c r="C3384" s="1" t="s">
        <v>3379</v>
      </c>
      <c r="D3384" s="3" t="str">
        <f>IFERROR(__xludf.DUMMYFUNCTION("GOOGLETRANSLATE(C3384,""en"",""pl"")"),"Bing-")</f>
        <v>Bing-</v>
      </c>
    </row>
    <row r="3385">
      <c r="C3385" s="1" t="s">
        <v>3380</v>
      </c>
      <c r="D3385" s="3" t="str">
        <f>IFERROR(__xludf.DUMMYFUNCTION("GOOGLETRANSLATE(C3385,""en"",""pl"")"),"szkarłat")</f>
        <v>szkarłat</v>
      </c>
    </row>
    <row r="3386">
      <c r="C3386" s="1" t="s">
        <v>3381</v>
      </c>
      <c r="D3386" s="3" t="str">
        <f>IFERROR(__xludf.DUMMYFUNCTION("GOOGLETRANSLATE(C3386,""en"",""pl"")"),"swędzący")</f>
        <v>swędzący</v>
      </c>
    </row>
    <row r="3387">
      <c r="C3387" s="1" t="s">
        <v>3382</v>
      </c>
      <c r="D3387" s="3" t="str">
        <f>IFERROR(__xludf.DUMMYFUNCTION("GOOGLETRANSLATE(C3387,""en"",""pl"")"),"poruszający")</f>
        <v>poruszający</v>
      </c>
    </row>
    <row r="3388">
      <c r="C3388" s="1" t="s">
        <v>3383</v>
      </c>
      <c r="D3388" s="3" t="str">
        <f>IFERROR(__xludf.DUMMYFUNCTION("GOOGLETRANSLATE(C3388,""en"",""pl"")"),"sypialnie")</f>
        <v>sypialnie</v>
      </c>
    </row>
    <row r="3389">
      <c r="C3389" s="1" t="s">
        <v>3384</v>
      </c>
      <c r="D3389" s="3" t="str">
        <f>IFERROR(__xludf.DUMMYFUNCTION("GOOGLETRANSLATE(C3389,""en"",""pl"")"),"konstrukcje")</f>
        <v>konstrukcje</v>
      </c>
    </row>
    <row r="3390">
      <c r="C3390" s="1" t="s">
        <v>3385</v>
      </c>
      <c r="D3390" s="3" t="str">
        <f>IFERROR(__xludf.DUMMYFUNCTION("GOOGLETRANSLATE(C3390,""en"",""pl"")"),"pióro")</f>
        <v>pióro</v>
      </c>
    </row>
    <row r="3391">
      <c r="C3391" s="1" t="s">
        <v>3386</v>
      </c>
      <c r="D3391" s="3" t="str">
        <f>IFERROR(__xludf.DUMMYFUNCTION("GOOGLETRANSLATE(C3391,""en"",""pl"")"),"chorąży")</f>
        <v>chorąży</v>
      </c>
    </row>
    <row r="3392">
      <c r="C3392" s="1" t="s">
        <v>3387</v>
      </c>
      <c r="D3392" s="3" t="str">
        <f>IFERROR(__xludf.DUMMYFUNCTION("GOOGLETRANSLATE(C3392,""en"",""pl"")"),"beczki")</f>
        <v>beczki</v>
      </c>
    </row>
    <row r="3393">
      <c r="C3393" s="1" t="s">
        <v>3388</v>
      </c>
      <c r="D3393" s="3" t="str">
        <f>IFERROR(__xludf.DUMMYFUNCTION("GOOGLETRANSLATE(C3393,""en"",""pl"")"),"wyborcy")</f>
        <v>wyborcy</v>
      </c>
    </row>
    <row r="3394">
      <c r="C3394" s="1" t="s">
        <v>3389</v>
      </c>
      <c r="D3394" s="3" t="str">
        <f>IFERROR(__xludf.DUMMYFUNCTION("GOOGLETRANSLATE(C3394,""en"",""pl"")"),"magdalenka")</f>
        <v>magdalenka</v>
      </c>
    </row>
    <row r="3395">
      <c r="C3395" s="1" t="s">
        <v>3390</v>
      </c>
      <c r="D3395" s="3" t="str">
        <f>IFERROR(__xludf.DUMMYFUNCTION("GOOGLETRANSLATE(C3395,""en"",""pl"")"),"geoff")</f>
        <v>geoff</v>
      </c>
    </row>
    <row r="3396">
      <c r="C3396" s="1" t="s">
        <v>3391</v>
      </c>
      <c r="D3396" s="3" t="str">
        <f>IFERROR(__xludf.DUMMYFUNCTION("GOOGLETRANSLATE(C3396,""en"",""pl"")"),"pośpiech")</f>
        <v>pośpiech</v>
      </c>
    </row>
    <row r="3397">
      <c r="C3397" s="1" t="s">
        <v>3392</v>
      </c>
      <c r="D3397" s="3" t="str">
        <f>IFERROR(__xludf.DUMMYFUNCTION("GOOGLETRANSLATE(C3397,""en"",""pl"")"),"istniejący")</f>
        <v>istniejący</v>
      </c>
    </row>
    <row r="3398">
      <c r="C3398" s="1" t="s">
        <v>3393</v>
      </c>
      <c r="D3398" s="3" t="str">
        <f>IFERROR(__xludf.DUMMYFUNCTION("GOOGLETRANSLATE(C3398,""en"",""pl"")"),"mcdonald")</f>
        <v>mcdonald</v>
      </c>
    </row>
    <row r="3399">
      <c r="C3399" s="1" t="s">
        <v>3394</v>
      </c>
      <c r="D3399" s="3" t="str">
        <f>IFERROR(__xludf.DUMMYFUNCTION("GOOGLETRANSLATE(C3399,""en"",""pl"")"),"zamieszanie")</f>
        <v>zamieszanie</v>
      </c>
    </row>
    <row r="3400">
      <c r="C3400" s="1" t="s">
        <v>3395</v>
      </c>
      <c r="D3400" s="3" t="str">
        <f>IFERROR(__xludf.DUMMYFUNCTION("GOOGLETRANSLATE(C3400,""en"",""pl"")"),"należący")</f>
        <v>należący</v>
      </c>
    </row>
    <row r="3401">
      <c r="C3401" s="1" t="s">
        <v>3396</v>
      </c>
      <c r="D3401" s="3" t="str">
        <f>IFERROR(__xludf.DUMMYFUNCTION("GOOGLETRANSLATE(C3401,""en"",""pl"")"),"wymarły")</f>
        <v>wymarły</v>
      </c>
    </row>
    <row r="3402">
      <c r="C3402" s="1" t="s">
        <v>3397</v>
      </c>
      <c r="D3402" s="3" t="str">
        <f>IFERROR(__xludf.DUMMYFUNCTION("GOOGLETRANSLATE(C3402,""en"",""pl"")"),"stawy")</f>
        <v>stawy</v>
      </c>
    </row>
    <row r="3403">
      <c r="C3403" s="1" t="s">
        <v>3398</v>
      </c>
      <c r="D3403" s="3" t="str">
        <f>IFERROR(__xludf.DUMMYFUNCTION("GOOGLETRANSLATE(C3403,""en"",""pl"")"),"zderzak")</f>
        <v>zderzak</v>
      </c>
    </row>
    <row r="3404">
      <c r="C3404" s="1" t="s">
        <v>3399</v>
      </c>
      <c r="D3404" s="3" t="str">
        <f>IFERROR(__xludf.DUMMYFUNCTION("GOOGLETRANSLATE(C3404,""en"",""pl"")"),"jesteś")</f>
        <v>jesteś</v>
      </c>
    </row>
    <row r="3405">
      <c r="C3405" s="1" t="s">
        <v>3400</v>
      </c>
      <c r="D3405" s="3" t="str">
        <f>IFERROR(__xludf.DUMMYFUNCTION("GOOGLETRANSLATE(C3405,""en"",""pl"")"),"Mao")</f>
        <v>Mao</v>
      </c>
    </row>
    <row r="3406">
      <c r="C3406" s="1" t="s">
        <v>3401</v>
      </c>
      <c r="D3406" s="3" t="str">
        <f>IFERROR(__xludf.DUMMYFUNCTION("GOOGLETRANSLATE(C3406,""en"",""pl"")"),"klacz")</f>
        <v>klacz</v>
      </c>
    </row>
    <row r="3407">
      <c r="C3407" s="1" t="s">
        <v>3402</v>
      </c>
      <c r="D3407" s="3" t="str">
        <f>IFERROR(__xludf.DUMMYFUNCTION("GOOGLETRANSLATE(C3407,""en"",""pl"")"),"Kolega")</f>
        <v>Kolega</v>
      </c>
    </row>
    <row r="3408">
      <c r="C3408" s="1" t="s">
        <v>3403</v>
      </c>
      <c r="D3408" s="3" t="str">
        <f>IFERROR(__xludf.DUMMYFUNCTION("GOOGLETRANSLATE(C3408,""en"",""pl"")"),"pod wpływem")</f>
        <v>pod wpływem</v>
      </c>
    </row>
    <row r="3409">
      <c r="C3409" s="1" t="s">
        <v>3404</v>
      </c>
      <c r="D3409" s="3" t="str">
        <f>IFERROR(__xludf.DUMMYFUNCTION("GOOGLETRANSLATE(C3409,""en"",""pl"")"),"napad")</f>
        <v>napad</v>
      </c>
    </row>
    <row r="3410">
      <c r="C3410" s="1" t="s">
        <v>3405</v>
      </c>
      <c r="D3410" s="3" t="str">
        <f>IFERROR(__xludf.DUMMYFUNCTION("GOOGLETRANSLATE(C3410,""en"",""pl"")"),"cyniczny")</f>
        <v>cyniczny</v>
      </c>
    </row>
    <row r="3411">
      <c r="C3411" s="1" t="s">
        <v>3406</v>
      </c>
      <c r="D3411" s="3" t="str">
        <f>IFERROR(__xludf.DUMMYFUNCTION("GOOGLETRANSLATE(C3411,""en"",""pl"")"),"wejście")</f>
        <v>wejście</v>
      </c>
    </row>
    <row r="3412">
      <c r="C3412" s="1" t="s">
        <v>3407</v>
      </c>
      <c r="D3412" s="3" t="str">
        <f>IFERROR(__xludf.DUMMYFUNCTION("GOOGLETRANSLATE(C3412,""en"",""pl"")"),"recytować")</f>
        <v>recytować</v>
      </c>
    </row>
    <row r="3413">
      <c r="C3413" s="1" t="s">
        <v>3408</v>
      </c>
      <c r="D3413" s="3" t="str">
        <f>IFERROR(__xludf.DUMMYFUNCTION("GOOGLETRANSLATE(C3413,""en"",""pl"")"),"nosiciel")</f>
        <v>nosiciel</v>
      </c>
    </row>
    <row r="3414">
      <c r="C3414" s="1" t="s">
        <v>3409</v>
      </c>
      <c r="D3414" s="3" t="str">
        <f>IFERROR(__xludf.DUMMYFUNCTION("GOOGLETRANSLATE(C3414,""en"",""pl"")"),"orły")</f>
        <v>orły</v>
      </c>
    </row>
    <row r="3415">
      <c r="C3415" s="1" t="s">
        <v>3410</v>
      </c>
      <c r="D3415" s="3" t="str">
        <f>IFERROR(__xludf.DUMMYFUNCTION("GOOGLETRANSLATE(C3415,""en"",""pl"")"),"wygasły")</f>
        <v>wygasły</v>
      </c>
    </row>
    <row r="3416">
      <c r="C3416" s="1" t="s">
        <v>3411</v>
      </c>
      <c r="D3416" s="3" t="str">
        <f>IFERROR(__xludf.DUMMYFUNCTION("GOOGLETRANSLATE(C3416,""en"",""pl"")"),"palmy")</f>
        <v>palmy</v>
      </c>
    </row>
    <row r="3417">
      <c r="C3417" s="1" t="s">
        <v>3412</v>
      </c>
      <c r="D3417" s="3" t="str">
        <f>IFERROR(__xludf.DUMMYFUNCTION("GOOGLETRANSLATE(C3417,""en"",""pl"")"),"ciąć")</f>
        <v>ciąć</v>
      </c>
    </row>
    <row r="3418">
      <c r="C3418" s="1" t="s">
        <v>3413</v>
      </c>
      <c r="D3418" s="3" t="str">
        <f>IFERROR(__xludf.DUMMYFUNCTION("GOOGLETRANSLATE(C3418,""en"",""pl"")"),"statki")</f>
        <v>statki</v>
      </c>
    </row>
    <row r="3419">
      <c r="C3419" s="1" t="s">
        <v>3414</v>
      </c>
      <c r="D3419" s="3" t="str">
        <f>IFERROR(__xludf.DUMMYFUNCTION("GOOGLETRANSLATE(C3419,""en"",""pl"")"),"o.")</f>
        <v>o.</v>
      </c>
    </row>
    <row r="3420">
      <c r="C3420" s="1" t="s">
        <v>3415</v>
      </c>
      <c r="D3420" s="3" t="str">
        <f>IFERROR(__xludf.DUMMYFUNCTION("GOOGLETRANSLATE(C3420,""en"",""pl"")"),"Kolumb")</f>
        <v>Kolumb</v>
      </c>
    </row>
    <row r="3421">
      <c r="C3421" s="1" t="s">
        <v>3416</v>
      </c>
      <c r="D3421" s="3" t="str">
        <f>IFERROR(__xludf.DUMMYFUNCTION("GOOGLETRANSLATE(C3421,""en"",""pl"")"),"Jerzy")</f>
        <v>Jerzy</v>
      </c>
    </row>
    <row r="3422">
      <c r="C3422" s="1" t="s">
        <v>3417</v>
      </c>
      <c r="D3422" s="3" t="str">
        <f>IFERROR(__xludf.DUMMYFUNCTION("GOOGLETRANSLATE(C3422,""en"",""pl"")"),"ty")</f>
        <v>ty</v>
      </c>
    </row>
    <row r="3423">
      <c r="C3423" s="1" t="s">
        <v>3418</v>
      </c>
      <c r="D3423" s="3" t="str">
        <f>IFERROR(__xludf.DUMMYFUNCTION("GOOGLETRANSLATE(C3423,""en"",""pl"")"),"wyolbrzymiać")</f>
        <v>wyolbrzymiać</v>
      </c>
    </row>
    <row r="3424">
      <c r="C3424" s="1" t="s">
        <v>3419</v>
      </c>
      <c r="D3424" s="3" t="str">
        <f>IFERROR(__xludf.DUMMYFUNCTION("GOOGLETRANSLATE(C3424,""en"",""pl"")"),"l-")</f>
        <v>l-</v>
      </c>
    </row>
    <row r="3425">
      <c r="C3425" s="1" t="s">
        <v>3420</v>
      </c>
      <c r="D3425" s="3" t="str">
        <f>IFERROR(__xludf.DUMMYFUNCTION("GOOGLETRANSLATE(C3425,""en"",""pl"")"),"prowadzony")</f>
        <v>prowadzony</v>
      </c>
    </row>
    <row r="3426">
      <c r="C3426" s="1" t="s">
        <v>3421</v>
      </c>
      <c r="D3426" s="3" t="str">
        <f>IFERROR(__xludf.DUMMYFUNCTION("GOOGLETRANSLATE(C3426,""en"",""pl"")"),"ananas")</f>
        <v>ananas</v>
      </c>
    </row>
    <row r="3427">
      <c r="C3427" s="1" t="s">
        <v>3422</v>
      </c>
      <c r="D3427" s="3" t="str">
        <f>IFERROR(__xludf.DUMMYFUNCTION("GOOGLETRANSLATE(C3427,""en"",""pl"")"),"spence")</f>
        <v>spence</v>
      </c>
    </row>
    <row r="3428">
      <c r="C3428" s="1" t="s">
        <v>3423</v>
      </c>
      <c r="D3428" s="3" t="str">
        <f>IFERROR(__xludf.DUMMYFUNCTION("GOOGLETRANSLATE(C3428,""en"",""pl"")"),"kostki")</f>
        <v>kostki</v>
      </c>
    </row>
    <row r="3429">
      <c r="C3429" s="1" t="s">
        <v>3424</v>
      </c>
      <c r="D3429" s="3" t="str">
        <f>IFERROR(__xludf.DUMMYFUNCTION("GOOGLETRANSLATE(C3429,""en"",""pl"")"),"moralność")</f>
        <v>moralność</v>
      </c>
    </row>
    <row r="3430">
      <c r="C3430" s="1" t="s">
        <v>3425</v>
      </c>
      <c r="D3430" s="3" t="str">
        <f>IFERROR(__xludf.DUMMYFUNCTION("GOOGLETRANSLATE(C3430,""en"",""pl"")"),"buduje")</f>
        <v>buduje</v>
      </c>
    </row>
    <row r="3431">
      <c r="C3431" s="1" t="s">
        <v>3426</v>
      </c>
      <c r="D3431" s="3" t="str">
        <f>IFERROR(__xludf.DUMMYFUNCTION("GOOGLETRANSLATE(C3431,""en"",""pl"")"),"koleżanka")</f>
        <v>koleżanka</v>
      </c>
    </row>
    <row r="3432">
      <c r="C3432" s="1" t="s">
        <v>3427</v>
      </c>
      <c r="D3432" s="3" t="str">
        <f>IFERROR(__xludf.DUMMYFUNCTION("GOOGLETRANSLATE(C3432,""en"",""pl"")"),"pozowanie")</f>
        <v>pozowanie</v>
      </c>
    </row>
    <row r="3433">
      <c r="C3433" s="1" t="s">
        <v>3428</v>
      </c>
      <c r="D3433" s="3" t="str">
        <f>IFERROR(__xludf.DUMMYFUNCTION("GOOGLETRANSLATE(C3433,""en"",""pl"")"),"strażak")</f>
        <v>strażak</v>
      </c>
    </row>
    <row r="3434">
      <c r="C3434" s="1" t="s">
        <v>3429</v>
      </c>
      <c r="D3434" s="3" t="str">
        <f>IFERROR(__xludf.DUMMYFUNCTION("GOOGLETRANSLATE(C3434,""en"",""pl"")"),"cierń")</f>
        <v>cierń</v>
      </c>
    </row>
    <row r="3435">
      <c r="C3435" s="1" t="s">
        <v>3430</v>
      </c>
      <c r="D3435" s="3" t="str">
        <f>IFERROR(__xludf.DUMMYFUNCTION("GOOGLETRANSLATE(C3435,""en"",""pl"")"),"społeczności")</f>
        <v>społeczności</v>
      </c>
    </row>
    <row r="3436">
      <c r="C3436" s="1" t="s">
        <v>3431</v>
      </c>
      <c r="D3436" s="3" t="str">
        <f>IFERROR(__xludf.DUMMYFUNCTION("GOOGLETRANSLATE(C3436,""en"",""pl"")"),"Lawson")</f>
        <v>Lawson</v>
      </c>
    </row>
    <row r="3437">
      <c r="C3437" s="1" t="s">
        <v>3432</v>
      </c>
      <c r="D3437" s="3" t="str">
        <f>IFERROR(__xludf.DUMMYFUNCTION("GOOGLETRANSLATE(C3437,""en"",""pl"")"),"ćwiczyć")</f>
        <v>ćwiczyć</v>
      </c>
    </row>
    <row r="3438">
      <c r="C3438" s="1" t="s">
        <v>3433</v>
      </c>
      <c r="D3438" s="3" t="str">
        <f>IFERROR(__xludf.DUMMYFUNCTION("GOOGLETRANSLATE(C3438,""en"",""pl"")"),"pozaziemski")</f>
        <v>pozaziemski</v>
      </c>
    </row>
    <row r="3439">
      <c r="C3439" s="1" t="s">
        <v>3434</v>
      </c>
      <c r="D3439" s="3" t="str">
        <f>IFERROR(__xludf.DUMMYFUNCTION("GOOGLETRANSLATE(C3439,""en"",""pl"")"),"Raylan")</f>
        <v>Raylan</v>
      </c>
    </row>
    <row r="3440">
      <c r="C3440" s="1" t="s">
        <v>3435</v>
      </c>
      <c r="D3440" s="3" t="str">
        <f>IFERROR(__xludf.DUMMYFUNCTION("GOOGLETRANSLATE(C3440,""en"",""pl"")"),"poczęty")</f>
        <v>poczęty</v>
      </c>
    </row>
    <row r="3441">
      <c r="C3441" s="1" t="s">
        <v>3436</v>
      </c>
      <c r="D3441" s="3" t="str">
        <f>IFERROR(__xludf.DUMMYFUNCTION("GOOGLETRANSLATE(C3441,""en"",""pl"")"),"ciasno")</f>
        <v>ciasno</v>
      </c>
    </row>
    <row r="3442">
      <c r="C3442" s="1" t="s">
        <v>3437</v>
      </c>
      <c r="D3442" s="3" t="str">
        <f>IFERROR(__xludf.DUMMYFUNCTION("GOOGLETRANSLATE(C3442,""en"",""pl"")"),"Orlando")</f>
        <v>Orlando</v>
      </c>
    </row>
    <row r="3443">
      <c r="C3443" s="1" t="s">
        <v>3438</v>
      </c>
      <c r="D3443" s="3" t="str">
        <f>IFERROR(__xludf.DUMMYFUNCTION("GOOGLETRANSLATE(C3443,""en"",""pl"")"),"Tennessee")</f>
        <v>Tennessee</v>
      </c>
    </row>
    <row r="3444">
      <c r="C3444" s="1" t="s">
        <v>3439</v>
      </c>
      <c r="D3444" s="3" t="str">
        <f>IFERROR(__xludf.DUMMYFUNCTION("GOOGLETRANSLATE(C3444,""en"",""pl"")"),"rok")</f>
        <v>rok</v>
      </c>
    </row>
    <row r="3445">
      <c r="C3445" s="1" t="s">
        <v>3440</v>
      </c>
      <c r="D3445" s="3" t="str">
        <f>IFERROR(__xludf.DUMMYFUNCTION("GOOGLETRANSLATE(C3445,""en"",""pl"")"),"Diaz")</f>
        <v>Diaz</v>
      </c>
    </row>
    <row r="3446">
      <c r="C3446" s="1" t="s">
        <v>3441</v>
      </c>
      <c r="D3446" s="3" t="str">
        <f>IFERROR(__xludf.DUMMYFUNCTION("GOOGLETRANSLATE(C3446,""en"",""pl"")"),"fraser")</f>
        <v>fraser</v>
      </c>
    </row>
    <row r="3447">
      <c r="C3447" s="1" t="s">
        <v>3442</v>
      </c>
      <c r="D3447" s="3" t="str">
        <f>IFERROR(__xludf.DUMMYFUNCTION("GOOGLETRANSLATE(C3447,""en"",""pl"")"),"rękawy")</f>
        <v>rękawy</v>
      </c>
    </row>
    <row r="3448">
      <c r="C3448" s="1" t="s">
        <v>3443</v>
      </c>
      <c r="D3448" s="3" t="str">
        <f>IFERROR(__xludf.DUMMYFUNCTION("GOOGLETRANSLATE(C3448,""en"",""pl"")"),"pusty")</f>
        <v>pusty</v>
      </c>
    </row>
    <row r="3449">
      <c r="C3449" s="1" t="s">
        <v>3444</v>
      </c>
      <c r="D3449" s="3" t="str">
        <f>IFERROR(__xludf.DUMMYFUNCTION("GOOGLETRANSLATE(C3449,""en"",""pl"")"),"piechota")</f>
        <v>piechota</v>
      </c>
    </row>
    <row r="3450">
      <c r="C3450" s="1" t="s">
        <v>3445</v>
      </c>
      <c r="D3450" s="3" t="str">
        <f>IFERROR(__xludf.DUMMYFUNCTION("GOOGLETRANSLATE(C3450,""en"",""pl"")"),"gallagher")</f>
        <v>gallagher</v>
      </c>
    </row>
    <row r="3451">
      <c r="C3451" s="1" t="s">
        <v>3446</v>
      </c>
      <c r="D3451" s="3" t="str">
        <f>IFERROR(__xludf.DUMMYFUNCTION("GOOGLETRANSLATE(C3451,""en"",""pl"")"),"rezerwacja")</f>
        <v>rezerwacja</v>
      </c>
    </row>
    <row r="3452">
      <c r="C3452" s="1" t="s">
        <v>3447</v>
      </c>
      <c r="D3452" s="3" t="str">
        <f>IFERROR(__xludf.DUMMYFUNCTION("GOOGLETRANSLATE(C3452,""en"",""pl"")"),"pomarańcze")</f>
        <v>pomarańcze</v>
      </c>
    </row>
    <row r="3453">
      <c r="C3453" s="1" t="s">
        <v>3448</v>
      </c>
      <c r="D3453" s="3" t="str">
        <f>IFERROR(__xludf.DUMMYFUNCTION("GOOGLETRANSLATE(C3453,""en"",""pl"")"),"Rodos")</f>
        <v>Rodos</v>
      </c>
    </row>
    <row r="3454">
      <c r="C3454" s="1" t="s">
        <v>3449</v>
      </c>
      <c r="D3454" s="3" t="str">
        <f>IFERROR(__xludf.DUMMYFUNCTION("GOOGLETRANSLATE(C3454,""en"",""pl"")"),"rozstanie")</f>
        <v>rozstanie</v>
      </c>
    </row>
    <row r="3455">
      <c r="C3455" s="1" t="s">
        <v>3450</v>
      </c>
      <c r="D3455" s="3" t="str">
        <f>IFERROR(__xludf.DUMMYFUNCTION("GOOGLETRANSLATE(C3455,""en"",""pl"")"),"Layla")</f>
        <v>Layla</v>
      </c>
    </row>
    <row r="3456">
      <c r="C3456" s="1" t="s">
        <v>3451</v>
      </c>
      <c r="D3456" s="3" t="str">
        <f>IFERROR(__xludf.DUMMYFUNCTION("GOOGLETRANSLATE(C3456,""en"",""pl"")"),"czystość")</f>
        <v>czystość</v>
      </c>
    </row>
    <row r="3457">
      <c r="C3457" s="1" t="s">
        <v>3452</v>
      </c>
      <c r="D3457" s="3" t="str">
        <f>IFERROR(__xludf.DUMMYFUNCTION("GOOGLETRANSLATE(C3457,""en"",""pl"")"),"honorowy")</f>
        <v>honorowy</v>
      </c>
    </row>
    <row r="3458">
      <c r="C3458" s="1" t="s">
        <v>3453</v>
      </c>
      <c r="D3458" s="3" t="str">
        <f>IFERROR(__xludf.DUMMYFUNCTION("GOOGLETRANSLATE(C3458,""en"",""pl"")"),"milicja")</f>
        <v>milicja</v>
      </c>
    </row>
    <row r="3459">
      <c r="C3459" s="1" t="s">
        <v>3454</v>
      </c>
      <c r="D3459" s="3" t="str">
        <f>IFERROR(__xludf.DUMMYFUNCTION("GOOGLETRANSLATE(C3459,""en"",""pl"")"),"j.d.")</f>
        <v>j.d.</v>
      </c>
    </row>
    <row r="3460">
      <c r="C3460" s="1" t="s">
        <v>3455</v>
      </c>
      <c r="D3460" s="3" t="str">
        <f>IFERROR(__xludf.DUMMYFUNCTION("GOOGLETRANSLATE(C3460,""en"",""pl"")"),"mechanika")</f>
        <v>mechanika</v>
      </c>
    </row>
    <row r="3461">
      <c r="C3461" s="1" t="s">
        <v>3456</v>
      </c>
      <c r="D3461" s="3" t="str">
        <f>IFERROR(__xludf.DUMMYFUNCTION("GOOGLETRANSLATE(C3461,""en"",""pl"")"),"Mackenzie")</f>
        <v>Mackenzie</v>
      </c>
    </row>
    <row r="3462">
      <c r="C3462" s="1" t="s">
        <v>3457</v>
      </c>
      <c r="D3462" s="3" t="str">
        <f>IFERROR(__xludf.DUMMYFUNCTION("GOOGLETRANSLATE(C3462,""en"",""pl"")"),"Bronx")</f>
        <v>Bronx</v>
      </c>
    </row>
    <row r="3463">
      <c r="C3463" s="1" t="s">
        <v>3458</v>
      </c>
      <c r="D3463" s="3" t="str">
        <f>IFERROR(__xludf.DUMMYFUNCTION("GOOGLETRANSLATE(C3463,""en"",""pl"")"),"zdaje sobie sprawę")</f>
        <v>zdaje sobie sprawę</v>
      </c>
    </row>
    <row r="3464">
      <c r="C3464" s="1" t="s">
        <v>3459</v>
      </c>
      <c r="D3464" s="3" t="str">
        <f>IFERROR(__xludf.DUMMYFUNCTION("GOOGLETRANSLATE(C3464,""en"",""pl"")"),"pochopny")</f>
        <v>pochopny</v>
      </c>
    </row>
    <row r="3465">
      <c r="C3465" s="1" t="s">
        <v>3460</v>
      </c>
      <c r="D3465" s="3" t="str">
        <f>IFERROR(__xludf.DUMMYFUNCTION("GOOGLETRANSLATE(C3465,""en"",""pl"")"),"kolorowy")</f>
        <v>kolorowy</v>
      </c>
    </row>
    <row r="3466">
      <c r="C3466" s="1" t="s">
        <v>3461</v>
      </c>
      <c r="D3466" s="3" t="str">
        <f>IFERROR(__xludf.DUMMYFUNCTION("GOOGLETRANSLATE(C3466,""en"",""pl"")"),"rampa")</f>
        <v>rampa</v>
      </c>
    </row>
    <row r="3467">
      <c r="C3467" s="1" t="s">
        <v>3462</v>
      </c>
      <c r="D3467" s="3" t="str">
        <f>IFERROR(__xludf.DUMMYFUNCTION("GOOGLETRANSLATE(C3467,""en"",""pl"")"),"bulwar")</f>
        <v>bulwar</v>
      </c>
    </row>
    <row r="3468">
      <c r="C3468" s="1" t="s">
        <v>3463</v>
      </c>
      <c r="D3468" s="3" t="str">
        <f>IFERROR(__xludf.DUMMYFUNCTION("GOOGLETRANSLATE(C3468,""en"",""pl"")"),"Ksawery")</f>
        <v>Ksawery</v>
      </c>
    </row>
    <row r="3469">
      <c r="C3469" s="1" t="s">
        <v>3464</v>
      </c>
      <c r="D3469" s="3" t="str">
        <f>IFERROR(__xludf.DUMMYFUNCTION("GOOGLETRANSLATE(C3469,""en"",""pl"")"),"intrygancki")</f>
        <v>intrygancki</v>
      </c>
    </row>
    <row r="3470">
      <c r="C3470" s="1" t="s">
        <v>3465</v>
      </c>
      <c r="D3470" s="3" t="str">
        <f>IFERROR(__xludf.DUMMYFUNCTION("GOOGLETRANSLATE(C3470,""en"",""pl"")"),"wieża")</f>
        <v>wieża</v>
      </c>
    </row>
    <row r="3471">
      <c r="C3471" s="1" t="s">
        <v>3466</v>
      </c>
      <c r="D3471" s="3" t="str">
        <f>IFERROR(__xludf.DUMMYFUNCTION("GOOGLETRANSLATE(C3471,""en"",""pl"")"),"papi")</f>
        <v>papi</v>
      </c>
    </row>
    <row r="3472">
      <c r="C3472" s="1" t="s">
        <v>3467</v>
      </c>
      <c r="D3472" s="3" t="str">
        <f>IFERROR(__xludf.DUMMYFUNCTION("GOOGLETRANSLATE(C3472,""en"",""pl"")"),"zadzwonić")</f>
        <v>zadzwonić</v>
      </c>
    </row>
    <row r="3473">
      <c r="C3473" s="1" t="s">
        <v>3468</v>
      </c>
      <c r="D3473" s="3" t="str">
        <f>IFERROR(__xludf.DUMMYFUNCTION("GOOGLETRANSLATE(C3473,""en"",""pl"")"),"bankomat")</f>
        <v>bankomat</v>
      </c>
    </row>
    <row r="3474">
      <c r="C3474" s="1" t="s">
        <v>3469</v>
      </c>
      <c r="D3474" s="3" t="str">
        <f>IFERROR(__xludf.DUMMYFUNCTION("GOOGLETRANSLATE(C3474,""en"",""pl"")"),"nabywać")</f>
        <v>nabywać</v>
      </c>
    </row>
    <row r="3475">
      <c r="C3475" s="1" t="s">
        <v>3470</v>
      </c>
      <c r="D3475" s="3" t="str">
        <f>IFERROR(__xludf.DUMMYFUNCTION("GOOGLETRANSLATE(C3475,""en"",""pl"")"),"szyje")</f>
        <v>szyje</v>
      </c>
    </row>
    <row r="3476">
      <c r="C3476" s="1" t="s">
        <v>3471</v>
      </c>
      <c r="D3476" s="3" t="str">
        <f>IFERROR(__xludf.DUMMYFUNCTION("GOOGLETRANSLATE(C3476,""en"",""pl"")"),"grzesznicy")</f>
        <v>grzesznicy</v>
      </c>
    </row>
    <row r="3477">
      <c r="C3477" s="1" t="s">
        <v>3472</v>
      </c>
      <c r="D3477" s="3" t="str">
        <f>IFERROR(__xludf.DUMMYFUNCTION("GOOGLETRANSLATE(C3477,""en"",""pl"")"),"panowie")</f>
        <v>panowie</v>
      </c>
    </row>
    <row r="3478">
      <c r="C3478" s="1" t="s">
        <v>3473</v>
      </c>
      <c r="D3478" s="3" t="str">
        <f>IFERROR(__xludf.DUMMYFUNCTION("GOOGLETRANSLATE(C3478,""en"",""pl"")"),"odcinki")</f>
        <v>odcinki</v>
      </c>
    </row>
    <row r="3479">
      <c r="C3479" s="1" t="s">
        <v>3474</v>
      </c>
      <c r="D3479" s="3" t="str">
        <f>IFERROR(__xludf.DUMMYFUNCTION("GOOGLETRANSLATE(C3479,""en"",""pl"")"),"Oswald")</f>
        <v>Oswald</v>
      </c>
    </row>
    <row r="3480">
      <c r="C3480" s="1" t="s">
        <v>3475</v>
      </c>
      <c r="D3480" s="3" t="str">
        <f>IFERROR(__xludf.DUMMYFUNCTION("GOOGLETRANSLATE(C3480,""en"",""pl"")"),"poświęcać")</f>
        <v>poświęcać</v>
      </c>
    </row>
    <row r="3481">
      <c r="C3481" s="1" t="s">
        <v>3476</v>
      </c>
      <c r="D3481" s="3" t="str">
        <f>IFERROR(__xludf.DUMMYFUNCTION("GOOGLETRANSLATE(C3481,""en"",""pl"")"),"odpoczywa")</f>
        <v>odpoczywa</v>
      </c>
    </row>
    <row r="3482">
      <c r="C3482" s="1" t="s">
        <v>3477</v>
      </c>
      <c r="D3482" s="3" t="str">
        <f>IFERROR(__xludf.DUMMYFUNCTION("GOOGLETRANSLATE(C3482,""en"",""pl"")"),"liczba pi")</f>
        <v>liczba pi</v>
      </c>
    </row>
    <row r="3483">
      <c r="C3483" s="1" t="s">
        <v>3478</v>
      </c>
      <c r="D3483" s="3" t="str">
        <f>IFERROR(__xludf.DUMMYFUNCTION("GOOGLETRANSLATE(C3483,""en"",""pl"")"),"Dobra.")</f>
        <v>Dobra.</v>
      </c>
    </row>
    <row r="3484">
      <c r="C3484" s="1" t="s">
        <v>3479</v>
      </c>
      <c r="D3484" s="3" t="str">
        <f>IFERROR(__xludf.DUMMYFUNCTION("GOOGLETRANSLATE(C3484,""en"",""pl"")"),"milord")</f>
        <v>milord</v>
      </c>
    </row>
    <row r="3485">
      <c r="C3485" s="1" t="s">
        <v>3480</v>
      </c>
      <c r="D3485" s="3" t="str">
        <f>IFERROR(__xludf.DUMMYFUNCTION("GOOGLETRANSLATE(C3485,""en"",""pl"")"),"debiut")</f>
        <v>debiut</v>
      </c>
    </row>
    <row r="3486">
      <c r="C3486" s="1" t="s">
        <v>3481</v>
      </c>
      <c r="D3486" s="3" t="str">
        <f>IFERROR(__xludf.DUMMYFUNCTION("GOOGLETRANSLATE(C3486,""en"",""pl"")"),"przeprowadzanie wywiadu")</f>
        <v>przeprowadzanie wywiadu</v>
      </c>
    </row>
    <row r="3487">
      <c r="C3487" s="1" t="s">
        <v>3482</v>
      </c>
      <c r="D3487" s="3" t="str">
        <f>IFERROR(__xludf.DUMMYFUNCTION("GOOGLETRANSLATE(C3487,""en"",""pl"")"),"zająć")</f>
        <v>zająć</v>
      </c>
    </row>
    <row r="3488">
      <c r="C3488" s="1" t="s">
        <v>3483</v>
      </c>
      <c r="D3488" s="3" t="str">
        <f>IFERROR(__xludf.DUMMYFUNCTION("GOOGLETRANSLATE(C3488,""en"",""pl"")"),"celowany")</f>
        <v>celowany</v>
      </c>
    </row>
    <row r="3489">
      <c r="C3489" s="1" t="s">
        <v>3484</v>
      </c>
      <c r="D3489" s="3" t="str">
        <f>IFERROR(__xludf.DUMMYFUNCTION("GOOGLETRANSLATE(C3489,""en"",""pl"")"),"wyłonił się")</f>
        <v>wyłonił się</v>
      </c>
    </row>
    <row r="3490">
      <c r="C3490" s="1" t="s">
        <v>3485</v>
      </c>
      <c r="D3490" s="3" t="str">
        <f>IFERROR(__xludf.DUMMYFUNCTION("GOOGLETRANSLATE(C3490,""en"",""pl"")"),"sloan")</f>
        <v>sloan</v>
      </c>
    </row>
    <row r="3491">
      <c r="C3491" s="1" t="s">
        <v>3486</v>
      </c>
      <c r="D3491" s="3" t="str">
        <f>IFERROR(__xludf.DUMMYFUNCTION("GOOGLETRANSLATE(C3491,""en"",""pl"")"),"powstrzymujący")</f>
        <v>powstrzymujący</v>
      </c>
    </row>
    <row r="3492">
      <c r="C3492" s="1" t="s">
        <v>3487</v>
      </c>
      <c r="D3492" s="3" t="str">
        <f>IFERROR(__xludf.DUMMYFUNCTION("GOOGLETRANSLATE(C3492,""en"",""pl"")"),"dorsz")</f>
        <v>dorsz</v>
      </c>
    </row>
    <row r="3493">
      <c r="C3493" s="1" t="s">
        <v>3488</v>
      </c>
      <c r="D3493" s="3" t="str">
        <f>IFERROR(__xludf.DUMMYFUNCTION("GOOGLETRANSLATE(C3493,""en"",""pl"")"),"przejrzystość")</f>
        <v>przejrzystość</v>
      </c>
    </row>
    <row r="3494">
      <c r="C3494" s="1" t="s">
        <v>3489</v>
      </c>
      <c r="D3494" s="3" t="str">
        <f>IFERROR(__xludf.DUMMYFUNCTION("GOOGLETRANSLATE(C3494,""en"",""pl"")"),"stuknięty")</f>
        <v>stuknięty</v>
      </c>
    </row>
    <row r="3495">
      <c r="C3495" s="1" t="s">
        <v>3490</v>
      </c>
      <c r="D3495" s="3" t="str">
        <f>IFERROR(__xludf.DUMMYFUNCTION("GOOGLETRANSLATE(C3495,""en"",""pl"")"),"islamski")</f>
        <v>islamski</v>
      </c>
    </row>
    <row r="3496">
      <c r="C3496" s="1" t="s">
        <v>3491</v>
      </c>
      <c r="D3496" s="3" t="str">
        <f>IFERROR(__xludf.DUMMYFUNCTION("GOOGLETRANSLATE(C3496,""en"",""pl"")"),"obliczony")</f>
        <v>obliczony</v>
      </c>
    </row>
    <row r="3497">
      <c r="C3497" s="1" t="s">
        <v>3492</v>
      </c>
      <c r="D3497" s="3" t="str">
        <f>IFERROR(__xludf.DUMMYFUNCTION("GOOGLETRANSLATE(C3497,""en"",""pl"")"),"jeziora")</f>
        <v>jeziora</v>
      </c>
    </row>
    <row r="3498">
      <c r="C3498" s="1" t="s">
        <v>3493</v>
      </c>
      <c r="D3498" s="3" t="str">
        <f>IFERROR(__xludf.DUMMYFUNCTION("GOOGLETRANSLATE(C3498,""en"",""pl"")"),"zrzędliwy")</f>
        <v>zrzędliwy</v>
      </c>
    </row>
    <row r="3499">
      <c r="C3499" s="1" t="s">
        <v>3494</v>
      </c>
      <c r="D3499" s="3" t="str">
        <f>IFERROR(__xludf.DUMMYFUNCTION("GOOGLETRANSLATE(C3499,""en"",""pl"")"),"ki")</f>
        <v>ki</v>
      </c>
    </row>
    <row r="3500">
      <c r="C3500" s="1" t="s">
        <v>3495</v>
      </c>
      <c r="D3500" s="3" t="str">
        <f>IFERROR(__xludf.DUMMYFUNCTION("GOOGLETRANSLATE(C3500,""en"",""pl"")"),"Picasso")</f>
        <v>Picasso</v>
      </c>
    </row>
    <row r="3501">
      <c r="C3501" s="1" t="s">
        <v>3496</v>
      </c>
      <c r="D3501" s="3" t="str">
        <f>IFERROR(__xludf.DUMMYFUNCTION("GOOGLETRANSLATE(C3501,""en"",""pl"")"),"wir")</f>
        <v>wir</v>
      </c>
    </row>
    <row r="3502">
      <c r="C3502" s="1" t="s">
        <v>3497</v>
      </c>
      <c r="D3502" s="3" t="str">
        <f>IFERROR(__xludf.DUMMYFUNCTION("GOOGLETRANSLATE(C3502,""en"",""pl"")"),"ordynacyjny")</f>
        <v>ordynacyjny</v>
      </c>
    </row>
    <row r="3503">
      <c r="C3503" s="1" t="s">
        <v>3498</v>
      </c>
      <c r="D3503" s="3" t="str">
        <f>IFERROR(__xludf.DUMMYFUNCTION("GOOGLETRANSLATE(C3503,""en"",""pl"")"),"przeszkody")</f>
        <v>przeszkody</v>
      </c>
    </row>
    <row r="3504">
      <c r="C3504" s="1" t="s">
        <v>3499</v>
      </c>
      <c r="D3504" s="3" t="str">
        <f>IFERROR(__xludf.DUMMYFUNCTION("GOOGLETRANSLATE(C3504,""en"",""pl"")"),"peso")</f>
        <v>peso</v>
      </c>
    </row>
    <row r="3505">
      <c r="C3505" s="1" t="s">
        <v>3500</v>
      </c>
      <c r="D3505" s="3" t="str">
        <f>IFERROR(__xludf.DUMMYFUNCTION("GOOGLETRANSLATE(C3505,""en"",""pl"")"),"Mikołaj")</f>
        <v>Mikołaj</v>
      </c>
    </row>
    <row r="3506">
      <c r="C3506" s="1" t="s">
        <v>3501</v>
      </c>
      <c r="D3506" s="3" t="str">
        <f>IFERROR(__xludf.DUMMYFUNCTION("GOOGLETRANSLATE(C3506,""en"",""pl"")"),"konspiratorstwo")</f>
        <v>konspiratorstwo</v>
      </c>
    </row>
    <row r="3507">
      <c r="C3507" s="1" t="s">
        <v>3502</v>
      </c>
      <c r="D3507" s="3" t="str">
        <f>IFERROR(__xludf.DUMMYFUNCTION("GOOGLETRANSLATE(C3507,""en"",""pl"")"),"szpital")</f>
        <v>szpital</v>
      </c>
    </row>
    <row r="3508">
      <c r="C3508" s="1" t="s">
        <v>3503</v>
      </c>
      <c r="D3508" s="3" t="str">
        <f>IFERROR(__xludf.DUMMYFUNCTION("GOOGLETRANSLATE(C3508,""en"",""pl"")"),"kazanie")</f>
        <v>kazanie</v>
      </c>
    </row>
    <row r="3509">
      <c r="C3509" s="1" t="s">
        <v>3504</v>
      </c>
      <c r="D3509" s="3" t="str">
        <f>IFERROR(__xludf.DUMMYFUNCTION("GOOGLETRANSLATE(C3509,""en"",""pl"")"),"manipulowany")</f>
        <v>manipulowany</v>
      </c>
    </row>
    <row r="3510">
      <c r="C3510" s="1" t="s">
        <v>3505</v>
      </c>
      <c r="D3510" s="3" t="str">
        <f>IFERROR(__xludf.DUMMYFUNCTION("GOOGLETRANSLATE(C3510,""en"",""pl"")"),"zadrapania")</f>
        <v>zadrapania</v>
      </c>
    </row>
    <row r="3511">
      <c r="C3511" s="1" t="s">
        <v>3506</v>
      </c>
      <c r="D3511" s="3" t="str">
        <f>IFERROR(__xludf.DUMMYFUNCTION("GOOGLETRANSLATE(C3511,""en"",""pl"")"),"Aidana")</f>
        <v>Aidana</v>
      </c>
    </row>
    <row r="3512">
      <c r="C3512" s="1" t="s">
        <v>3507</v>
      </c>
      <c r="D3512" s="3" t="str">
        <f>IFERROR(__xludf.DUMMYFUNCTION("GOOGLETRANSLATE(C3512,""en"",""pl"")"),"głęboka")</f>
        <v>głęboka</v>
      </c>
    </row>
    <row r="3513">
      <c r="C3513" s="1" t="s">
        <v>3508</v>
      </c>
      <c r="D3513" s="3" t="str">
        <f>IFERROR(__xludf.DUMMYFUNCTION("GOOGLETRANSLATE(C3513,""en"",""pl"")"),"krytyk")</f>
        <v>krytyk</v>
      </c>
    </row>
    <row r="3514">
      <c r="C3514" s="1" t="s">
        <v>3509</v>
      </c>
      <c r="D3514" s="3" t="str">
        <f>IFERROR(__xludf.DUMMYFUNCTION("GOOGLETRANSLATE(C3514,""en"",""pl"")"),"tłusty")</f>
        <v>tłusty</v>
      </c>
    </row>
    <row r="3515">
      <c r="C3515" s="1" t="s">
        <v>3510</v>
      </c>
      <c r="D3515" s="3" t="str">
        <f>IFERROR(__xludf.DUMMYFUNCTION("GOOGLETRANSLATE(C3515,""en"",""pl"")"),"Seung")</f>
        <v>Seung</v>
      </c>
    </row>
    <row r="3516">
      <c r="C3516" s="1" t="s">
        <v>3511</v>
      </c>
      <c r="D3516" s="3" t="str">
        <f>IFERROR(__xludf.DUMMYFUNCTION("GOOGLETRANSLATE(C3516,""en"",""pl"")"),"Zelandia")</f>
        <v>Zelandia</v>
      </c>
    </row>
    <row r="3517">
      <c r="C3517" s="1" t="s">
        <v>3512</v>
      </c>
      <c r="D3517" s="3" t="str">
        <f>IFERROR(__xludf.DUMMYFUNCTION("GOOGLETRANSLATE(C3517,""en"",""pl"")"),"wspiera")</f>
        <v>wspiera</v>
      </c>
    </row>
    <row r="3518">
      <c r="C3518" s="1" t="s">
        <v>3513</v>
      </c>
      <c r="D3518" s="3" t="str">
        <f>IFERROR(__xludf.DUMMYFUNCTION("GOOGLETRANSLATE(C3518,""en"",""pl"")"),"anatomia")</f>
        <v>anatomia</v>
      </c>
    </row>
    <row r="3519">
      <c r="C3519" s="1" t="s">
        <v>3514</v>
      </c>
      <c r="D3519" s="3" t="str">
        <f>IFERROR(__xludf.DUMMYFUNCTION("GOOGLETRANSLATE(C3519,""en"",""pl"")"),"zgadzając się")</f>
        <v>zgadzając się</v>
      </c>
    </row>
    <row r="3520">
      <c r="C3520" s="1" t="s">
        <v>3515</v>
      </c>
      <c r="D3520" s="3" t="str">
        <f>IFERROR(__xludf.DUMMYFUNCTION("GOOGLETRANSLATE(C3520,""en"",""pl"")"),"prosty")</f>
        <v>prosty</v>
      </c>
    </row>
    <row r="3521">
      <c r="C3521" s="1" t="s">
        <v>3516</v>
      </c>
      <c r="D3521" s="3" t="str">
        <f>IFERROR(__xludf.DUMMYFUNCTION("GOOGLETRANSLATE(C3521,""en"",""pl"")"),"uprzedzenie")</f>
        <v>uprzedzenie</v>
      </c>
    </row>
    <row r="3522">
      <c r="C3522" s="1" t="s">
        <v>3517</v>
      </c>
      <c r="D3522" s="3" t="str">
        <f>IFERROR(__xludf.DUMMYFUNCTION("GOOGLETRANSLATE(C3522,""en"",""pl"")"),"umieszczanie")</f>
        <v>umieszczanie</v>
      </c>
    </row>
    <row r="3523">
      <c r="C3523" s="1" t="s">
        <v>3518</v>
      </c>
      <c r="D3523" s="3" t="str">
        <f>IFERROR(__xludf.DUMMYFUNCTION("GOOGLETRANSLATE(C3523,""en"",""pl"")"),"migotać")</f>
        <v>migotać</v>
      </c>
    </row>
    <row r="3524">
      <c r="C3524" s="1" t="s">
        <v>3519</v>
      </c>
      <c r="D3524" s="3" t="str">
        <f>IFERROR(__xludf.DUMMYFUNCTION("GOOGLETRANSLATE(C3524,""en"",""pl"")"),"mleczny")</f>
        <v>mleczny</v>
      </c>
    </row>
    <row r="3525">
      <c r="C3525" s="1" t="s">
        <v>3520</v>
      </c>
      <c r="D3525" s="3" t="str">
        <f>IFERROR(__xludf.DUMMYFUNCTION("GOOGLETRANSLATE(C3525,""en"",""pl"")"),"mistrz kuchni")</f>
        <v>mistrz kuchni</v>
      </c>
    </row>
    <row r="3526">
      <c r="C3526" s="1" t="s">
        <v>3521</v>
      </c>
      <c r="D3526" s="3" t="str">
        <f>IFERROR(__xludf.DUMMYFUNCTION("GOOGLETRANSLATE(C3526,""en"",""pl"")"),"Władimir")</f>
        <v>Władimir</v>
      </c>
    </row>
    <row r="3527">
      <c r="C3527" s="1" t="s">
        <v>3522</v>
      </c>
      <c r="D3527" s="3" t="str">
        <f>IFERROR(__xludf.DUMMYFUNCTION("GOOGLETRANSLATE(C3527,""en"",""pl"")"),"premiera")</f>
        <v>premiera</v>
      </c>
    </row>
    <row r="3528">
      <c r="C3528" s="1" t="s">
        <v>3523</v>
      </c>
      <c r="D3528" s="3" t="str">
        <f>IFERROR(__xludf.DUMMYFUNCTION("GOOGLETRANSLATE(C3528,""en"",""pl"")"),"czarujący")</f>
        <v>czarujący</v>
      </c>
    </row>
    <row r="3529">
      <c r="C3529" s="1" t="s">
        <v>3524</v>
      </c>
      <c r="D3529" s="3" t="str">
        <f>IFERROR(__xludf.DUMMYFUNCTION("GOOGLETRANSLATE(C3529,""en"",""pl"")"),"cynamon")</f>
        <v>cynamon</v>
      </c>
    </row>
    <row r="3530">
      <c r="C3530" s="1" t="s">
        <v>3525</v>
      </c>
      <c r="D3530" s="3" t="str">
        <f>IFERROR(__xludf.DUMMYFUNCTION("GOOGLETRANSLATE(C3530,""en"",""pl"")"),"syd")</f>
        <v>syd</v>
      </c>
    </row>
    <row r="3531">
      <c r="C3531" s="1" t="s">
        <v>3526</v>
      </c>
      <c r="D3531" s="3" t="str">
        <f>IFERROR(__xludf.DUMMYFUNCTION("GOOGLETRANSLATE(C3531,""en"",""pl"")"),"sędzia")</f>
        <v>sędzia</v>
      </c>
    </row>
    <row r="3532">
      <c r="C3532" s="1" t="s">
        <v>3527</v>
      </c>
      <c r="D3532" s="3" t="str">
        <f>IFERROR(__xludf.DUMMYFUNCTION("GOOGLETRANSLATE(C3532,""en"",""pl"")"),"próg")</f>
        <v>próg</v>
      </c>
    </row>
    <row r="3533">
      <c r="C3533" s="1" t="s">
        <v>3528</v>
      </c>
      <c r="D3533" s="3" t="str">
        <f>IFERROR(__xludf.DUMMYFUNCTION("GOOGLETRANSLATE(C3533,""en"",""pl"")"),"cywilizacja")</f>
        <v>cywilizacja</v>
      </c>
    </row>
    <row r="3534">
      <c r="C3534" s="1" t="s">
        <v>3529</v>
      </c>
      <c r="D3534" s="3" t="str">
        <f>IFERROR(__xludf.DUMMYFUNCTION("GOOGLETRANSLATE(C3534,""en"",""pl"")"),"transduktor")</f>
        <v>transduktor</v>
      </c>
    </row>
    <row r="3535">
      <c r="C3535" s="1" t="s">
        <v>3530</v>
      </c>
      <c r="D3535" s="3" t="str">
        <f>IFERROR(__xludf.DUMMYFUNCTION("GOOGLETRANSLATE(C3535,""en"",""pl"")"),"ma tendencję")</f>
        <v>ma tendencję</v>
      </c>
    </row>
    <row r="3536">
      <c r="C3536" s="1" t="s">
        <v>3531</v>
      </c>
      <c r="D3536" s="3" t="str">
        <f>IFERROR(__xludf.DUMMYFUNCTION("GOOGLETRANSLATE(C3536,""en"",""pl"")"),"Luiza")</f>
        <v>Luiza</v>
      </c>
    </row>
    <row r="3537">
      <c r="C3537" s="1" t="s">
        <v>3532</v>
      </c>
      <c r="D3537" s="3" t="str">
        <f>IFERROR(__xludf.DUMMYFUNCTION("GOOGLETRANSLATE(C3537,""en"",""pl"")"),"dzikusy")</f>
        <v>dzikusy</v>
      </c>
    </row>
    <row r="3538">
      <c r="C3538" s="1" t="s">
        <v>3533</v>
      </c>
      <c r="D3538" s="3" t="str">
        <f>IFERROR(__xludf.DUMMYFUNCTION("GOOGLETRANSLATE(C3538,""en"",""pl"")"),"Emil")</f>
        <v>Emil</v>
      </c>
    </row>
    <row r="3539">
      <c r="C3539" s="1" t="s">
        <v>3534</v>
      </c>
      <c r="D3539" s="3" t="str">
        <f>IFERROR(__xludf.DUMMYFUNCTION("GOOGLETRANSLATE(C3539,""en"",""pl"")"),"torpeda")</f>
        <v>torpeda</v>
      </c>
    </row>
    <row r="3540">
      <c r="C3540" s="1" t="s">
        <v>3535</v>
      </c>
      <c r="D3540" s="3" t="str">
        <f>IFERROR(__xludf.DUMMYFUNCTION("GOOGLETRANSLATE(C3540,""en"",""pl"")"),"tutaj")</f>
        <v>tutaj</v>
      </c>
    </row>
    <row r="3541">
      <c r="C3541" s="1" t="s">
        <v>3536</v>
      </c>
      <c r="D3541" s="3" t="str">
        <f>IFERROR(__xludf.DUMMYFUNCTION("GOOGLETRANSLATE(C3541,""en"",""pl"")"),"gospodyni domowa")</f>
        <v>gospodyni domowa</v>
      </c>
    </row>
    <row r="3542">
      <c r="C3542" s="1" t="s">
        <v>3537</v>
      </c>
      <c r="D3542" s="3" t="str">
        <f>IFERROR(__xludf.DUMMYFUNCTION("GOOGLETRANSLATE(C3542,""en"",""pl"")"),"wycieczki")</f>
        <v>wycieczki</v>
      </c>
    </row>
    <row r="3543">
      <c r="C3543" s="1" t="s">
        <v>3538</v>
      </c>
      <c r="D3543" s="3" t="str">
        <f>IFERROR(__xludf.DUMMYFUNCTION("GOOGLETRANSLATE(C3543,""en"",""pl"")"),"skamieniałość")</f>
        <v>skamieniałość</v>
      </c>
    </row>
    <row r="3544">
      <c r="C3544" s="1" t="s">
        <v>3539</v>
      </c>
      <c r="D3544" s="3" t="str">
        <f>IFERROR(__xludf.DUMMYFUNCTION("GOOGLETRANSLATE(C3544,""en"",""pl"")"),"odpowiedział")</f>
        <v>odpowiedział</v>
      </c>
    </row>
    <row r="3545">
      <c r="C3545" s="1" t="s">
        <v>3540</v>
      </c>
      <c r="D3545" s="3" t="str">
        <f>IFERROR(__xludf.DUMMYFUNCTION("GOOGLETRANSLATE(C3545,""en"",""pl"")"),"brzuch")</f>
        <v>brzuch</v>
      </c>
    </row>
    <row r="3546">
      <c r="C3546" s="1" t="s">
        <v>3541</v>
      </c>
      <c r="D3546" s="3" t="str">
        <f>IFERROR(__xludf.DUMMYFUNCTION("GOOGLETRANSLATE(C3546,""en"",""pl"")"),"moczyć")</f>
        <v>moczyć</v>
      </c>
    </row>
    <row r="3547">
      <c r="C3547" s="1" t="s">
        <v>3542</v>
      </c>
      <c r="D3547" s="3" t="str">
        <f>IFERROR(__xludf.DUMMYFUNCTION("GOOGLETRANSLATE(C3547,""en"",""pl"")"),"uczestnicy")</f>
        <v>uczestnicy</v>
      </c>
    </row>
    <row r="3548">
      <c r="C3548" s="1" t="s">
        <v>3543</v>
      </c>
      <c r="D3548" s="3" t="str">
        <f>IFERROR(__xludf.DUMMYFUNCTION("GOOGLETRANSLATE(C3548,""en"",""pl"")"),"sięgnięcie")</f>
        <v>sięgnięcie</v>
      </c>
    </row>
    <row r="3549">
      <c r="C3549" s="1" t="s">
        <v>3544</v>
      </c>
      <c r="D3549" s="3" t="str">
        <f>IFERROR(__xludf.DUMMYFUNCTION("GOOGLETRANSLATE(C3549,""en"",""pl"")"),"książęta")</f>
        <v>książęta</v>
      </c>
    </row>
    <row r="3550">
      <c r="C3550" s="1" t="s">
        <v>3545</v>
      </c>
      <c r="D3550" s="3" t="str">
        <f>IFERROR(__xludf.DUMMYFUNCTION("GOOGLETRANSLATE(C3550,""en"",""pl"")"),"Hoffman")</f>
        <v>Hoffman</v>
      </c>
    </row>
    <row r="3551">
      <c r="C3551" s="1" t="s">
        <v>3546</v>
      </c>
      <c r="D3551" s="3" t="str">
        <f>IFERROR(__xludf.DUMMYFUNCTION("GOOGLETRANSLATE(C3551,""en"",""pl"")"),"Truman")</f>
        <v>Truman</v>
      </c>
    </row>
    <row r="3552">
      <c r="C3552" s="1" t="s">
        <v>3547</v>
      </c>
      <c r="D3552" s="3" t="str">
        <f>IFERROR(__xludf.DUMMYFUNCTION("GOOGLETRANSLATE(C3552,""en"",""pl"")"),"guzy")</f>
        <v>guzy</v>
      </c>
    </row>
    <row r="3553">
      <c r="C3553" s="1" t="s">
        <v>3548</v>
      </c>
      <c r="D3553" s="3" t="str">
        <f>IFERROR(__xludf.DUMMYFUNCTION("GOOGLETRANSLATE(C3553,""en"",""pl"")"),"edukacyjny")</f>
        <v>edukacyjny</v>
      </c>
    </row>
    <row r="3554">
      <c r="C3554" s="1" t="s">
        <v>3549</v>
      </c>
      <c r="D3554" s="3" t="str">
        <f>IFERROR(__xludf.DUMMYFUNCTION("GOOGLETRANSLATE(C3554,""en"",""pl"")"),"stroje")</f>
        <v>stroje</v>
      </c>
    </row>
    <row r="3555">
      <c r="C3555" s="1" t="s">
        <v>3550</v>
      </c>
      <c r="D3555" s="3" t="str">
        <f>IFERROR(__xludf.DUMMYFUNCTION("GOOGLETRANSLATE(C3555,""en"",""pl"")"),"Zmartwychwstanie")</f>
        <v>Zmartwychwstanie</v>
      </c>
    </row>
    <row r="3556">
      <c r="C3556" s="1" t="s">
        <v>3551</v>
      </c>
      <c r="D3556" s="3" t="str">
        <f>IFERROR(__xludf.DUMMYFUNCTION("GOOGLETRANSLATE(C3556,""en"",""pl"")"),"latte")</f>
        <v>latte</v>
      </c>
    </row>
    <row r="3557">
      <c r="C3557" s="1" t="s">
        <v>3552</v>
      </c>
      <c r="D3557" s="3" t="str">
        <f>IFERROR(__xludf.DUMMYFUNCTION("GOOGLETRANSLATE(C3557,""en"",""pl"")"),"Huanga")</f>
        <v>Huanga</v>
      </c>
    </row>
    <row r="3558">
      <c r="C3558" s="1" t="s">
        <v>3553</v>
      </c>
      <c r="D3558" s="3" t="str">
        <f>IFERROR(__xludf.DUMMYFUNCTION("GOOGLETRANSLATE(C3558,""en"",""pl"")"),"politycznie")</f>
        <v>politycznie</v>
      </c>
    </row>
    <row r="3559">
      <c r="C3559" s="1" t="s">
        <v>3554</v>
      </c>
      <c r="D3559" s="3" t="str">
        <f>IFERROR(__xludf.DUMMYFUNCTION("GOOGLETRANSLATE(C3559,""en"",""pl"")"),"Pratt")</f>
        <v>Pratt</v>
      </c>
    </row>
    <row r="3560">
      <c r="C3560" s="1" t="s">
        <v>3555</v>
      </c>
      <c r="D3560" s="3" t="str">
        <f>IFERROR(__xludf.DUMMYFUNCTION("GOOGLETRANSLATE(C3560,""en"",""pl"")"),"szum")</f>
        <v>szum</v>
      </c>
    </row>
    <row r="3561">
      <c r="C3561" s="1" t="s">
        <v>3556</v>
      </c>
      <c r="D3561" s="3" t="str">
        <f>IFERROR(__xludf.DUMMYFUNCTION("GOOGLETRANSLATE(C3561,""en"",""pl"")"),"françois")</f>
        <v>françois</v>
      </c>
    </row>
    <row r="3562">
      <c r="C3562" s="1" t="s">
        <v>3557</v>
      </c>
      <c r="D3562" s="3" t="str">
        <f>IFERROR(__xludf.DUMMYFUNCTION("GOOGLETRANSLATE(C3562,""en"",""pl"")"),"ds")</f>
        <v>ds</v>
      </c>
    </row>
    <row r="3563">
      <c r="C3563" s="1" t="s">
        <v>3558</v>
      </c>
      <c r="D3563" s="3" t="str">
        <f>IFERROR(__xludf.DUMMYFUNCTION("GOOGLETRANSLATE(C3563,""en"",""pl"")"),"mądrzejszy")</f>
        <v>mądrzejszy</v>
      </c>
    </row>
    <row r="3564">
      <c r="C3564" s="1" t="s">
        <v>3559</v>
      </c>
      <c r="D3564" s="3" t="str">
        <f>IFERROR(__xludf.DUMMYFUNCTION("GOOGLETRANSLATE(C3564,""en"",""pl"")"),"odrzucenie")</f>
        <v>odrzucenie</v>
      </c>
    </row>
    <row r="3565">
      <c r="C3565" s="1" t="s">
        <v>3560</v>
      </c>
      <c r="D3565" s="3" t="str">
        <f>IFERROR(__xludf.DUMMYFUNCTION("GOOGLETRANSLATE(C3565,""en"",""pl"")"),"sprzęgło")</f>
        <v>sprzęgło</v>
      </c>
    </row>
    <row r="3566">
      <c r="C3566" s="1" t="s">
        <v>3561</v>
      </c>
      <c r="D3566" s="3" t="str">
        <f>IFERROR(__xludf.DUMMYFUNCTION("GOOGLETRANSLATE(C3566,""en"",""pl"")"),"połączenie")</f>
        <v>połączenie</v>
      </c>
    </row>
    <row r="3567">
      <c r="C3567" s="1" t="s">
        <v>3562</v>
      </c>
      <c r="D3567" s="3" t="str">
        <f>IFERROR(__xludf.DUMMYFUNCTION("GOOGLETRANSLATE(C3567,""en"",""pl"")"),"j.j.")</f>
        <v>j.j.</v>
      </c>
    </row>
    <row r="3568">
      <c r="C3568" s="1" t="s">
        <v>3563</v>
      </c>
      <c r="D3568" s="3" t="str">
        <f>IFERROR(__xludf.DUMMYFUNCTION("GOOGLETRANSLATE(C3568,""en"",""pl"")"),"ponury")</f>
        <v>ponury</v>
      </c>
    </row>
    <row r="3569">
      <c r="C3569" s="1" t="s">
        <v>3564</v>
      </c>
      <c r="D3569" s="3" t="str">
        <f>IFERROR(__xludf.DUMMYFUNCTION("GOOGLETRANSLATE(C3569,""en"",""pl"")"),"bezrozumnie")</f>
        <v>bezrozumnie</v>
      </c>
    </row>
    <row r="3570">
      <c r="C3570" s="1" t="s">
        <v>3565</v>
      </c>
      <c r="D3570" s="3" t="str">
        <f>IFERROR(__xludf.DUMMYFUNCTION("GOOGLETRANSLATE(C3570,""en"",""pl"")"),"cambridge")</f>
        <v>cambridge</v>
      </c>
    </row>
    <row r="3571">
      <c r="C3571" s="1" t="s">
        <v>3566</v>
      </c>
      <c r="D3571" s="3" t="str">
        <f>IFERROR(__xludf.DUMMYFUNCTION("GOOGLETRANSLATE(C3571,""en"",""pl"")"),"koktajle")</f>
        <v>koktajle</v>
      </c>
    </row>
    <row r="3572">
      <c r="C3572" s="1" t="s">
        <v>3567</v>
      </c>
      <c r="D3572" s="3" t="str">
        <f>IFERROR(__xludf.DUMMYFUNCTION("GOOGLETRANSLATE(C3572,""en"",""pl"")"),"latarnia morska")</f>
        <v>latarnia morska</v>
      </c>
    </row>
    <row r="3573">
      <c r="C3573" s="1" t="s">
        <v>3568</v>
      </c>
      <c r="D3573" s="3" t="str">
        <f>IFERROR(__xludf.DUMMYFUNCTION("GOOGLETRANSLATE(C3573,""en"",""pl"")"),"zabiegi")</f>
        <v>zabiegi</v>
      </c>
    </row>
    <row r="3574">
      <c r="C3574" s="1" t="s">
        <v>3569</v>
      </c>
      <c r="D3574" s="3" t="str">
        <f>IFERROR(__xludf.DUMMYFUNCTION("GOOGLETRANSLATE(C3574,""en"",""pl"")"),"chroniczny")</f>
        <v>chroniczny</v>
      </c>
    </row>
    <row r="3575">
      <c r="C3575" s="1" t="s">
        <v>3570</v>
      </c>
      <c r="D3575" s="3" t="str">
        <f>IFERROR(__xludf.DUMMYFUNCTION("GOOGLETRANSLATE(C3575,""en"",""pl"")"),"płyny")</f>
        <v>płyny</v>
      </c>
    </row>
    <row r="3576">
      <c r="C3576" s="1" t="s">
        <v>3571</v>
      </c>
      <c r="D3576" s="3" t="str">
        <f>IFERROR(__xludf.DUMMYFUNCTION("GOOGLETRANSLATE(C3576,""en"",""pl"")"),"usunięto")</f>
        <v>usunięto</v>
      </c>
    </row>
    <row r="3577">
      <c r="C3577" s="1" t="s">
        <v>3572</v>
      </c>
      <c r="D3577" s="3" t="str">
        <f>IFERROR(__xludf.DUMMYFUNCTION("GOOGLETRANSLATE(C3577,""en"",""pl"")"),"podtrzymywać")</f>
        <v>podtrzymywać</v>
      </c>
    </row>
    <row r="3578">
      <c r="C3578" s="1" t="s">
        <v>3573</v>
      </c>
      <c r="D3578" s="3" t="str">
        <f>IFERROR(__xludf.DUMMYFUNCTION("GOOGLETRANSLATE(C3578,""en"",""pl"")"),"stanford")</f>
        <v>stanford</v>
      </c>
    </row>
    <row r="3579">
      <c r="C3579" s="1" t="s">
        <v>3574</v>
      </c>
      <c r="D3579" s="3" t="str">
        <f>IFERROR(__xludf.DUMMYFUNCTION("GOOGLETRANSLATE(C3579,""en"",""pl"")"),"Ahmed")</f>
        <v>Ahmed</v>
      </c>
    </row>
    <row r="3580">
      <c r="C3580" s="1" t="s">
        <v>3575</v>
      </c>
      <c r="D3580" s="3" t="str">
        <f>IFERROR(__xludf.DUMMYFUNCTION("GOOGLETRANSLATE(C3580,""en"",""pl"")"),"ciekły")</f>
        <v>ciekły</v>
      </c>
    </row>
    <row r="3581">
      <c r="C3581" s="1" t="s">
        <v>3576</v>
      </c>
      <c r="D3581" s="3" t="str">
        <f>IFERROR(__xludf.DUMMYFUNCTION("GOOGLETRANSLATE(C3581,""en"",""pl"")"),"kupujący")</f>
        <v>kupujący</v>
      </c>
    </row>
    <row r="3582">
      <c r="C3582" s="1" t="s">
        <v>3577</v>
      </c>
      <c r="D3582" s="3" t="str">
        <f>IFERROR(__xludf.DUMMYFUNCTION("GOOGLETRANSLATE(C3582,""en"",""pl"")"),"kamerdyner")</f>
        <v>kamerdyner</v>
      </c>
    </row>
    <row r="3583">
      <c r="C3583" s="1" t="s">
        <v>3578</v>
      </c>
      <c r="D3583" s="3" t="str">
        <f>IFERROR(__xludf.DUMMYFUNCTION("GOOGLETRANSLATE(C3583,""en"",""pl"")"),"Dariusz")</f>
        <v>Dariusz</v>
      </c>
    </row>
    <row r="3584">
      <c r="C3584" s="1" t="s">
        <v>3579</v>
      </c>
      <c r="D3584" s="3" t="str">
        <f>IFERROR(__xludf.DUMMYFUNCTION("GOOGLETRANSLATE(C3584,""en"",""pl"")"),"Nobel")</f>
        <v>Nobel</v>
      </c>
    </row>
    <row r="3585">
      <c r="C3585" s="1" t="s">
        <v>3580</v>
      </c>
      <c r="D3585" s="3" t="str">
        <f>IFERROR(__xludf.DUMMYFUNCTION("GOOGLETRANSLATE(C3585,""en"",""pl"")"),"zatonął")</f>
        <v>zatonął</v>
      </c>
    </row>
    <row r="3586">
      <c r="C3586" s="1" t="s">
        <v>3581</v>
      </c>
      <c r="D3586" s="3" t="str">
        <f>IFERROR(__xludf.DUMMYFUNCTION("GOOGLETRANSLATE(C3586,""en"",""pl"")"),"południowy wschód")</f>
        <v>południowy wschód</v>
      </c>
    </row>
    <row r="3587">
      <c r="C3587" s="1" t="s">
        <v>3582</v>
      </c>
      <c r="D3587" s="3" t="str">
        <f>IFERROR(__xludf.DUMMYFUNCTION("GOOGLETRANSLATE(C3587,""en"",""pl"")"),"potępiać")</f>
        <v>potępiać</v>
      </c>
    </row>
    <row r="3588">
      <c r="C3588" s="1" t="s">
        <v>3583</v>
      </c>
      <c r="D3588" s="3" t="str">
        <f>IFERROR(__xludf.DUMMYFUNCTION("GOOGLETRANSLATE(C3588,""en"",""pl"")"),"podobieństwo")</f>
        <v>podobieństwo</v>
      </c>
    </row>
    <row r="3589">
      <c r="C3589" s="1" t="s">
        <v>3584</v>
      </c>
      <c r="D3589" s="3" t="str">
        <f>IFERROR(__xludf.DUMMYFUNCTION("GOOGLETRANSLATE(C3589,""en"",""pl"")"),"samobójczy")</f>
        <v>samobójczy</v>
      </c>
    </row>
    <row r="3590">
      <c r="C3590" s="1" t="s">
        <v>3585</v>
      </c>
      <c r="D3590" s="3" t="str">
        <f>IFERROR(__xludf.DUMMYFUNCTION("GOOGLETRANSLATE(C3590,""en"",""pl"")"),"poślubić")</f>
        <v>poślubić</v>
      </c>
    </row>
    <row r="3591">
      <c r="C3591" s="1" t="s">
        <v>3586</v>
      </c>
      <c r="D3591" s="3" t="str">
        <f>IFERROR(__xludf.DUMMYFUNCTION("GOOGLETRANSLATE(C3591,""en"",""pl"")"),"Pakiety")</f>
        <v>Pakiety</v>
      </c>
    </row>
    <row r="3592">
      <c r="C3592" s="1" t="s">
        <v>3587</v>
      </c>
      <c r="D3592" s="3" t="str">
        <f>IFERROR(__xludf.DUMMYFUNCTION("GOOGLETRANSLATE(C3592,""en"",""pl"")"),"zaklejony taśmą")</f>
        <v>zaklejony taśmą</v>
      </c>
    </row>
    <row r="3593">
      <c r="C3593" s="1" t="s">
        <v>3588</v>
      </c>
      <c r="D3593" s="3" t="str">
        <f>IFERROR(__xludf.DUMMYFUNCTION("GOOGLETRANSLATE(C3593,""en"",""pl"")"),"awatara")</f>
        <v>awatara</v>
      </c>
    </row>
    <row r="3594">
      <c r="C3594" s="1" t="s">
        <v>3589</v>
      </c>
      <c r="D3594" s="3" t="str">
        <f>IFERROR(__xludf.DUMMYFUNCTION("GOOGLETRANSLATE(C3594,""en"",""pl"")"),"bezprzewodowy")</f>
        <v>bezprzewodowy</v>
      </c>
    </row>
    <row r="3595">
      <c r="C3595" s="1" t="s">
        <v>3590</v>
      </c>
      <c r="D3595" s="3" t="str">
        <f>IFERROR(__xludf.DUMMYFUNCTION("GOOGLETRANSLATE(C3595,""en"",""pl"")"),"wiosłować")</f>
        <v>wiosłować</v>
      </c>
    </row>
    <row r="3596">
      <c r="C3596" s="1" t="s">
        <v>3591</v>
      </c>
      <c r="D3596" s="3" t="str">
        <f>IFERROR(__xludf.DUMMYFUNCTION("GOOGLETRANSLATE(C3596,""en"",""pl"")"),"wszy")</f>
        <v>wszy</v>
      </c>
    </row>
    <row r="3597">
      <c r="C3597" s="1" t="s">
        <v>3592</v>
      </c>
      <c r="D3597" s="3" t="str">
        <f>IFERROR(__xludf.DUMMYFUNCTION("GOOGLETRANSLATE(C3597,""en"",""pl"")"),"tabletki")</f>
        <v>tabletki</v>
      </c>
    </row>
    <row r="3598">
      <c r="C3598" s="1" t="s">
        <v>3593</v>
      </c>
      <c r="D3598" s="3" t="str">
        <f>IFERROR(__xludf.DUMMYFUNCTION("GOOGLETRANSLATE(C3598,""en"",""pl"")"),"rozprzestrzenia się")</f>
        <v>rozprzestrzenia się</v>
      </c>
    </row>
    <row r="3599">
      <c r="C3599" s="1" t="s">
        <v>3594</v>
      </c>
      <c r="D3599" s="3" t="str">
        <f>IFERROR(__xludf.DUMMYFUNCTION("GOOGLETRANSLATE(C3599,""en"",""pl"")"),"swędzenie")</f>
        <v>swędzenie</v>
      </c>
    </row>
    <row r="3600">
      <c r="C3600" s="1" t="s">
        <v>3595</v>
      </c>
      <c r="D3600" s="3" t="str">
        <f>IFERROR(__xludf.DUMMYFUNCTION("GOOGLETRANSLATE(C3600,""en"",""pl"")"),"szwargot")</f>
        <v>szwargot</v>
      </c>
    </row>
    <row r="3601">
      <c r="C3601" s="1" t="s">
        <v>3596</v>
      </c>
      <c r="D3601" s="3" t="str">
        <f>IFERROR(__xludf.DUMMYFUNCTION("GOOGLETRANSLATE(C3601,""en"",""pl"")"),"składnik")</f>
        <v>składnik</v>
      </c>
    </row>
    <row r="3602">
      <c r="C3602" s="1" t="s">
        <v>3597</v>
      </c>
      <c r="D3602" s="3" t="str">
        <f>IFERROR(__xludf.DUMMYFUNCTION("GOOGLETRANSLATE(C3602,""en"",""pl"")"),"Emilio")</f>
        <v>Emilio</v>
      </c>
    </row>
    <row r="3603">
      <c r="C3603" s="1" t="s">
        <v>3598</v>
      </c>
      <c r="D3603" s="3" t="str">
        <f>IFERROR(__xludf.DUMMYFUNCTION("GOOGLETRANSLATE(C3603,""en"",""pl"")"),"zapobiegło")</f>
        <v>zapobiegło</v>
      </c>
    </row>
    <row r="3604">
      <c r="C3604" s="1" t="s">
        <v>3599</v>
      </c>
      <c r="D3604" s="3" t="str">
        <f>IFERROR(__xludf.DUMMYFUNCTION("GOOGLETRANSLATE(C3604,""en"",""pl"")"),"wycofanie")</f>
        <v>wycofanie</v>
      </c>
    </row>
    <row r="3605">
      <c r="C3605" s="1" t="s">
        <v>3600</v>
      </c>
      <c r="D3605" s="3" t="str">
        <f>IFERROR(__xludf.DUMMYFUNCTION("GOOGLETRANSLATE(C3605,""en"",""pl"")"),"porno")</f>
        <v>porno</v>
      </c>
    </row>
    <row r="3606">
      <c r="C3606" s="1" t="s">
        <v>3601</v>
      </c>
      <c r="D3606" s="3" t="str">
        <f>IFERROR(__xludf.DUMMYFUNCTION("GOOGLETRANSLATE(C3606,""en"",""pl"")"),"wyważać")</f>
        <v>wyważać</v>
      </c>
    </row>
    <row r="3607">
      <c r="C3607" s="1" t="s">
        <v>3602</v>
      </c>
      <c r="D3607" s="3" t="str">
        <f>IFERROR(__xludf.DUMMYFUNCTION("GOOGLETRANSLATE(C3607,""en"",""pl"")"),"seksualność")</f>
        <v>seksualność</v>
      </c>
    </row>
    <row r="3608">
      <c r="C3608" s="1" t="s">
        <v>3603</v>
      </c>
      <c r="D3608" s="3" t="str">
        <f>IFERROR(__xludf.DUMMYFUNCTION("GOOGLETRANSLATE(C3608,""en"",""pl"")"),"br")</f>
        <v>br</v>
      </c>
    </row>
    <row r="3609">
      <c r="C3609" s="1" t="s">
        <v>3604</v>
      </c>
      <c r="D3609" s="3" t="str">
        <f>IFERROR(__xludf.DUMMYFUNCTION("GOOGLETRANSLATE(C3609,""en"",""pl"")"),"Winnie")</f>
        <v>Winnie</v>
      </c>
    </row>
    <row r="3610">
      <c r="C3610" s="1" t="s">
        <v>3605</v>
      </c>
      <c r="D3610" s="3" t="str">
        <f>IFERROR(__xludf.DUMMYFUNCTION("GOOGLETRANSLATE(C3610,""en"",""pl"")"),"o-o")</f>
        <v>o-o</v>
      </c>
    </row>
    <row r="3611">
      <c r="C3611" s="1" t="s">
        <v>3606</v>
      </c>
      <c r="D3611" s="3" t="str">
        <f>IFERROR(__xludf.DUMMYFUNCTION("GOOGLETRANSLATE(C3611,""en"",""pl"")"),"taktowny")</f>
        <v>taktowny</v>
      </c>
    </row>
    <row r="3612">
      <c r="C3612" s="1" t="s">
        <v>3607</v>
      </c>
      <c r="D3612" s="3" t="str">
        <f>IFERROR(__xludf.DUMMYFUNCTION("GOOGLETRANSLATE(C3612,""en"",""pl"")"),"suwerenny")</f>
        <v>suwerenny</v>
      </c>
    </row>
    <row r="3613">
      <c r="C3613" s="1" t="s">
        <v>3608</v>
      </c>
      <c r="D3613" s="3" t="str">
        <f>IFERROR(__xludf.DUMMYFUNCTION("GOOGLETRANSLATE(C3613,""en"",""pl"")"),"pierwszeństwo")</f>
        <v>pierwszeństwo</v>
      </c>
    </row>
    <row r="3614">
      <c r="C3614" s="1" t="s">
        <v>3609</v>
      </c>
      <c r="D3614" s="3" t="str">
        <f>IFERROR(__xludf.DUMMYFUNCTION("GOOGLETRANSLATE(C3614,""en"",""pl"")"),"poczta głosowa")</f>
        <v>poczta głosowa</v>
      </c>
    </row>
    <row r="3615">
      <c r="C3615" s="1" t="s">
        <v>3610</v>
      </c>
      <c r="D3615" s="3" t="str">
        <f>IFERROR(__xludf.DUMMYFUNCTION("GOOGLETRANSLATE(C3615,""en"",""pl"")"),"mi")</f>
        <v>mi</v>
      </c>
    </row>
    <row r="3616">
      <c r="C3616" s="1" t="s">
        <v>3611</v>
      </c>
      <c r="D3616" s="3" t="str">
        <f>IFERROR(__xludf.DUMMYFUNCTION("GOOGLETRANSLATE(C3616,""en"",""pl"")"),"kadet")</f>
        <v>kadet</v>
      </c>
    </row>
    <row r="3617">
      <c r="C3617" s="1" t="s">
        <v>3612</v>
      </c>
      <c r="D3617" s="3" t="str">
        <f>IFERROR(__xludf.DUMMYFUNCTION("GOOGLETRANSLATE(C3617,""en"",""pl"")"),"wyjaśniać")</f>
        <v>wyjaśniać</v>
      </c>
    </row>
    <row r="3618">
      <c r="C3618" s="1" t="s">
        <v>3613</v>
      </c>
      <c r="D3618" s="3" t="str">
        <f>IFERROR(__xludf.DUMMYFUNCTION("GOOGLETRANSLATE(C3618,""en"",""pl"")"),"niedojrzały")</f>
        <v>niedojrzały</v>
      </c>
    </row>
    <row r="3619">
      <c r="C3619" s="1" t="s">
        <v>3614</v>
      </c>
      <c r="D3619" s="3" t="str">
        <f>IFERROR(__xludf.DUMMYFUNCTION("GOOGLETRANSLATE(C3619,""en"",""pl"")"),"koszulki")</f>
        <v>koszulki</v>
      </c>
    </row>
    <row r="3620">
      <c r="C3620" s="1" t="s">
        <v>3615</v>
      </c>
      <c r="D3620" s="3" t="str">
        <f>IFERROR(__xludf.DUMMYFUNCTION("GOOGLETRANSLATE(C3620,""en"",""pl"")"),"Małgorzata")</f>
        <v>Małgorzata</v>
      </c>
    </row>
    <row r="3621">
      <c r="C3621" s="1" t="s">
        <v>3616</v>
      </c>
      <c r="D3621" s="3" t="str">
        <f>IFERROR(__xludf.DUMMYFUNCTION("GOOGLETRANSLATE(C3621,""en"",""pl"")"),"wygnany")</f>
        <v>wygnany</v>
      </c>
    </row>
    <row r="3622">
      <c r="C3622" s="1" t="s">
        <v>3617</v>
      </c>
      <c r="D3622" s="3" t="str">
        <f>IFERROR(__xludf.DUMMYFUNCTION("GOOGLETRANSLATE(C3622,""en"",""pl"")"),"chemia")</f>
        <v>chemia</v>
      </c>
    </row>
    <row r="3623">
      <c r="C3623" s="1" t="s">
        <v>3618</v>
      </c>
      <c r="D3623" s="3" t="str">
        <f>IFERROR(__xludf.DUMMYFUNCTION("GOOGLETRANSLATE(C3623,""en"",""pl"")"),"nicki")</f>
        <v>nicki</v>
      </c>
    </row>
    <row r="3624">
      <c r="C3624" s="1" t="s">
        <v>3619</v>
      </c>
      <c r="D3624" s="3" t="str">
        <f>IFERROR(__xludf.DUMMYFUNCTION("GOOGLETRANSLATE(C3624,""en"",""pl"")"),"mleczarnia")</f>
        <v>mleczarnia</v>
      </c>
    </row>
    <row r="3625">
      <c r="C3625" s="1" t="s">
        <v>3620</v>
      </c>
      <c r="D3625" s="3" t="str">
        <f>IFERROR(__xludf.DUMMYFUNCTION("GOOGLETRANSLATE(C3625,""en"",""pl"")"),"przytwierdzać")</f>
        <v>przytwierdzać</v>
      </c>
    </row>
    <row r="3626">
      <c r="C3626" s="1" t="s">
        <v>3621</v>
      </c>
      <c r="D3626" s="3" t="str">
        <f>IFERROR(__xludf.DUMMYFUNCTION("GOOGLETRANSLATE(C3626,""en"",""pl"")"),"Murdock")</f>
        <v>Murdock</v>
      </c>
    </row>
    <row r="3627">
      <c r="C3627" s="1" t="s">
        <v>3622</v>
      </c>
      <c r="D3627" s="3" t="str">
        <f>IFERROR(__xludf.DUMMYFUNCTION("GOOGLETRANSLATE(C3627,""en"",""pl"")"),"przesuwny")</f>
        <v>przesuwny</v>
      </c>
    </row>
    <row r="3628">
      <c r="C3628" s="1" t="s">
        <v>3623</v>
      </c>
      <c r="D3628" s="3" t="str">
        <f>IFERROR(__xludf.DUMMYFUNCTION("GOOGLETRANSLATE(C3628,""en"",""pl"")"),"spektakl")</f>
        <v>spektakl</v>
      </c>
    </row>
    <row r="3629">
      <c r="C3629" s="1" t="s">
        <v>3624</v>
      </c>
      <c r="D3629" s="3" t="str">
        <f>IFERROR(__xludf.DUMMYFUNCTION("GOOGLETRANSLATE(C3629,""en"",""pl"")"),"pcha")</f>
        <v>pcha</v>
      </c>
    </row>
    <row r="3630">
      <c r="C3630" s="1" t="s">
        <v>3625</v>
      </c>
      <c r="D3630" s="3" t="str">
        <f>IFERROR(__xludf.DUMMYFUNCTION("GOOGLETRANSLATE(C3630,""en"",""pl"")"),"jin")</f>
        <v>jin</v>
      </c>
    </row>
    <row r="3631">
      <c r="C3631" s="1" t="s">
        <v>3626</v>
      </c>
      <c r="D3631" s="3" t="str">
        <f>IFERROR(__xludf.DUMMYFUNCTION("GOOGLETRANSLATE(C3631,""en"",""pl"")"),"urojeniowy")</f>
        <v>urojeniowy</v>
      </c>
    </row>
    <row r="3632">
      <c r="C3632" s="1" t="s">
        <v>3627</v>
      </c>
      <c r="D3632" s="3" t="str">
        <f>IFERROR(__xludf.DUMMYFUNCTION("GOOGLETRANSLATE(C3632,""en"",""pl"")"),"wierność")</f>
        <v>wierność</v>
      </c>
    </row>
    <row r="3633">
      <c r="C3633" s="1" t="s">
        <v>3628</v>
      </c>
      <c r="D3633" s="3" t="str">
        <f>IFERROR(__xludf.DUMMYFUNCTION("GOOGLETRANSLATE(C3633,""en"",""pl"")"),"nachylenie")</f>
        <v>nachylenie</v>
      </c>
    </row>
    <row r="3634">
      <c r="C3634" s="1" t="s">
        <v>3629</v>
      </c>
      <c r="D3634" s="3" t="str">
        <f>IFERROR(__xludf.DUMMYFUNCTION("GOOGLETRANSLATE(C3634,""en"",""pl"")"),"puja")</f>
        <v>puja</v>
      </c>
    </row>
    <row r="3635">
      <c r="C3635" s="1" t="s">
        <v>3630</v>
      </c>
      <c r="D3635" s="3" t="str">
        <f>IFERROR(__xludf.DUMMYFUNCTION("GOOGLETRANSLATE(C3635,""en"",""pl"")"),"świadomość")</f>
        <v>świadomość</v>
      </c>
    </row>
    <row r="3636">
      <c r="C3636" s="1" t="s">
        <v>3631</v>
      </c>
      <c r="D3636" s="3" t="str">
        <f>IFERROR(__xludf.DUMMYFUNCTION("GOOGLETRANSLATE(C3636,""en"",""pl"")"),"jed")</f>
        <v>jed</v>
      </c>
    </row>
    <row r="3637">
      <c r="C3637" s="1" t="s">
        <v>3632</v>
      </c>
      <c r="D3637" s="3" t="str">
        <f>IFERROR(__xludf.DUMMYFUNCTION("GOOGLETRANSLATE(C3637,""en"",""pl"")"),"pokładowy")</f>
        <v>pokładowy</v>
      </c>
    </row>
    <row r="3638">
      <c r="C3638" s="1" t="s">
        <v>3633</v>
      </c>
      <c r="D3638" s="3" t="str">
        <f>IFERROR(__xludf.DUMMYFUNCTION("GOOGLETRANSLATE(C3638,""en"",""pl"")"),"dinozaur")</f>
        <v>dinozaur</v>
      </c>
    </row>
    <row r="3639">
      <c r="C3639" s="1" t="s">
        <v>3634</v>
      </c>
      <c r="D3639" s="3" t="str">
        <f>IFERROR(__xludf.DUMMYFUNCTION("GOOGLETRANSLATE(C3639,""en"",""pl"")"),"wędrować")</f>
        <v>wędrować</v>
      </c>
    </row>
    <row r="3640">
      <c r="C3640" s="1" t="s">
        <v>3635</v>
      </c>
      <c r="D3640" s="3" t="str">
        <f>IFERROR(__xludf.DUMMYFUNCTION("GOOGLETRANSLATE(C3640,""en"",""pl"")"),"brzegi")</f>
        <v>brzegi</v>
      </c>
    </row>
    <row r="3641">
      <c r="C3641" s="1" t="s">
        <v>3636</v>
      </c>
      <c r="D3641" s="3" t="str">
        <f>IFERROR(__xludf.DUMMYFUNCTION("GOOGLETRANSLATE(C3641,""en"",""pl"")"),"jestem")</f>
        <v>jestem</v>
      </c>
    </row>
    <row r="3642">
      <c r="C3642" s="1" t="s">
        <v>3637</v>
      </c>
      <c r="D3642" s="3" t="str">
        <f>IFERROR(__xludf.DUMMYFUNCTION("GOOGLETRANSLATE(C3642,""en"",""pl"")"),"konkurenci")</f>
        <v>konkurenci</v>
      </c>
    </row>
    <row r="3643">
      <c r="C3643" s="1" t="s">
        <v>3638</v>
      </c>
      <c r="D3643" s="3" t="str">
        <f>IFERROR(__xludf.DUMMYFUNCTION("GOOGLETRANSLATE(C3643,""en"",""pl"")"),"Tomasz")</f>
        <v>Tomasz</v>
      </c>
    </row>
    <row r="3644">
      <c r="C3644" s="1" t="s">
        <v>3639</v>
      </c>
      <c r="D3644" s="3" t="str">
        <f>IFERROR(__xludf.DUMMYFUNCTION("GOOGLETRANSLATE(C3644,""en"",""pl"")"),"przesadnie reagujący")</f>
        <v>przesadnie reagujący</v>
      </c>
    </row>
    <row r="3645">
      <c r="C3645" s="1" t="s">
        <v>3640</v>
      </c>
      <c r="D3645" s="3" t="str">
        <f>IFERROR(__xludf.DUMMYFUNCTION("GOOGLETRANSLATE(C3645,""en"",""pl"")"),"obserwując")</f>
        <v>obserwując</v>
      </c>
    </row>
    <row r="3646">
      <c r="C3646" s="1" t="s">
        <v>3641</v>
      </c>
      <c r="D3646" s="3" t="str">
        <f>IFERROR(__xludf.DUMMYFUNCTION("GOOGLETRANSLATE(C3646,""en"",""pl"")"),"pasta")</f>
        <v>pasta</v>
      </c>
    </row>
    <row r="3647">
      <c r="C3647" s="1" t="s">
        <v>3642</v>
      </c>
      <c r="D3647" s="3" t="str">
        <f>IFERROR(__xludf.DUMMYFUNCTION("GOOGLETRANSLATE(C3647,""en"",""pl"")"),"rozum")</f>
        <v>rozum</v>
      </c>
    </row>
    <row r="3648">
      <c r="C3648" s="1" t="s">
        <v>3643</v>
      </c>
      <c r="D3648" s="3" t="str">
        <f>IFERROR(__xludf.DUMMYFUNCTION("GOOGLETRANSLATE(C3648,""en"",""pl"")"),"ognisty")</f>
        <v>ognisty</v>
      </c>
    </row>
    <row r="3649">
      <c r="C3649" s="1" t="s">
        <v>3644</v>
      </c>
      <c r="D3649" s="3" t="str">
        <f>IFERROR(__xludf.DUMMYFUNCTION("GOOGLETRANSLATE(C3649,""en"",""pl"")"),"typowo")</f>
        <v>typowo</v>
      </c>
    </row>
    <row r="3650">
      <c r="C3650" s="1" t="s">
        <v>3645</v>
      </c>
      <c r="D3650" s="3" t="str">
        <f>IFERROR(__xludf.DUMMYFUNCTION("GOOGLETRANSLATE(C3650,""en"",""pl"")"),"zaćmienie")</f>
        <v>zaćmienie</v>
      </c>
    </row>
    <row r="3651">
      <c r="C3651" s="1" t="s">
        <v>3646</v>
      </c>
      <c r="D3651" s="3" t="str">
        <f>IFERROR(__xludf.DUMMYFUNCTION("GOOGLETRANSLATE(C3651,""en"",""pl"")"),"produkuje")</f>
        <v>produkuje</v>
      </c>
    </row>
    <row r="3652">
      <c r="C3652" s="1" t="s">
        <v>3647</v>
      </c>
      <c r="D3652" s="3" t="str">
        <f>IFERROR(__xludf.DUMMYFUNCTION("GOOGLETRANSLATE(C3652,""en"",""pl"")"),"ostrygi")</f>
        <v>ostrygi</v>
      </c>
    </row>
    <row r="3653">
      <c r="C3653" s="1" t="s">
        <v>3648</v>
      </c>
      <c r="D3653" s="3" t="str">
        <f>IFERROR(__xludf.DUMMYFUNCTION("GOOGLETRANSLATE(C3653,""en"",""pl"")"),"skrobanie")</f>
        <v>skrobanie</v>
      </c>
    </row>
    <row r="3654">
      <c r="C3654" s="1" t="s">
        <v>3649</v>
      </c>
      <c r="D3654" s="3" t="str">
        <f>IFERROR(__xludf.DUMMYFUNCTION("GOOGLETRANSLATE(C3654,""en"",""pl"")"),"zalety")</f>
        <v>zalety</v>
      </c>
    </row>
    <row r="3655">
      <c r="C3655" s="1" t="s">
        <v>3650</v>
      </c>
      <c r="D3655" s="3" t="str">
        <f>IFERROR(__xludf.DUMMYFUNCTION("GOOGLETRANSLATE(C3655,""en"",""pl"")"),"narzucać")</f>
        <v>narzucać</v>
      </c>
    </row>
    <row r="3656">
      <c r="C3656" s="1" t="s">
        <v>3651</v>
      </c>
      <c r="D3656" s="3" t="str">
        <f>IFERROR(__xludf.DUMMYFUNCTION("GOOGLETRANSLATE(C3656,""en"",""pl"")"),"przychód")</f>
        <v>przychód</v>
      </c>
    </row>
    <row r="3657">
      <c r="C3657" s="1" t="s">
        <v>3652</v>
      </c>
      <c r="D3657" s="3" t="str">
        <f>IFERROR(__xludf.DUMMYFUNCTION("GOOGLETRANSLATE(C3657,""en"",""pl"")"),"Alabama")</f>
        <v>Alabama</v>
      </c>
    </row>
    <row r="3658">
      <c r="C3658" s="1" t="s">
        <v>3653</v>
      </c>
      <c r="D3658" s="3" t="str">
        <f>IFERROR(__xludf.DUMMYFUNCTION("GOOGLETRANSLATE(C3658,""en"",""pl"")"),"zmarły")</f>
        <v>zmarły</v>
      </c>
    </row>
    <row r="3659">
      <c r="C3659" s="1" t="s">
        <v>3654</v>
      </c>
      <c r="D3659" s="3" t="str">
        <f>IFERROR(__xludf.DUMMYFUNCTION("GOOGLETRANSLATE(C3659,""en"",""pl"")"),"użytkownik")</f>
        <v>użytkownik</v>
      </c>
    </row>
    <row r="3660">
      <c r="C3660" s="1" t="s">
        <v>3655</v>
      </c>
      <c r="D3660" s="3" t="str">
        <f>IFERROR(__xludf.DUMMYFUNCTION("GOOGLETRANSLATE(C3660,""en"",""pl"")"),"krakers")</f>
        <v>krakers</v>
      </c>
    </row>
    <row r="3661">
      <c r="C3661" s="1" t="s">
        <v>3656</v>
      </c>
      <c r="D3661" s="3" t="str">
        <f>IFERROR(__xludf.DUMMYFUNCTION("GOOGLETRANSLATE(C3661,""en"",""pl"")"),"hu")</f>
        <v>hu</v>
      </c>
    </row>
    <row r="3662">
      <c r="C3662" s="1" t="s">
        <v>3657</v>
      </c>
      <c r="D3662" s="3" t="str">
        <f>IFERROR(__xludf.DUMMYFUNCTION("GOOGLETRANSLATE(C3662,""en"",""pl"")"),"niewątpliwie")</f>
        <v>niewątpliwie</v>
      </c>
    </row>
    <row r="3663">
      <c r="C3663" s="1" t="s">
        <v>3658</v>
      </c>
      <c r="D3663" s="3" t="str">
        <f>IFERROR(__xludf.DUMMYFUNCTION("GOOGLETRANSLATE(C3663,""en"",""pl"")"),"Arnie")</f>
        <v>Arnie</v>
      </c>
    </row>
    <row r="3664">
      <c r="C3664" s="1" t="s">
        <v>3659</v>
      </c>
      <c r="D3664" s="3" t="str">
        <f>IFERROR(__xludf.DUMMYFUNCTION("GOOGLETRANSLATE(C3664,""en"",""pl"")"),"Mozart")</f>
        <v>Mozart</v>
      </c>
    </row>
    <row r="3665">
      <c r="C3665" s="1" t="s">
        <v>3660</v>
      </c>
      <c r="D3665" s="3" t="str">
        <f>IFERROR(__xludf.DUMMYFUNCTION("GOOGLETRANSLATE(C3665,""en"",""pl"")"),"wygięcie")</f>
        <v>wygięcie</v>
      </c>
    </row>
    <row r="3666">
      <c r="C3666" s="1" t="s">
        <v>3661</v>
      </c>
      <c r="D3666" s="3" t="str">
        <f>IFERROR(__xludf.DUMMYFUNCTION("GOOGLETRANSLATE(C3666,""en"",""pl"")"),"oczarowany")</f>
        <v>oczarowany</v>
      </c>
    </row>
    <row r="3667">
      <c r="C3667" s="1" t="s">
        <v>3662</v>
      </c>
      <c r="D3667" s="3" t="str">
        <f>IFERROR(__xludf.DUMMYFUNCTION("GOOGLETRANSLATE(C3667,""en"",""pl"")"),"spirala")</f>
        <v>spirala</v>
      </c>
    </row>
    <row r="3668">
      <c r="C3668" s="1" t="s">
        <v>3663</v>
      </c>
      <c r="D3668" s="3" t="str">
        <f>IFERROR(__xludf.DUMMYFUNCTION("GOOGLETRANSLATE(C3668,""en"",""pl"")"),"skany")</f>
        <v>skany</v>
      </c>
    </row>
    <row r="3669">
      <c r="C3669" s="1" t="s">
        <v>3664</v>
      </c>
      <c r="D3669" s="3" t="str">
        <f>IFERROR(__xludf.DUMMYFUNCTION("GOOGLETRANSLATE(C3669,""en"",""pl"")"),"hmmmm")</f>
        <v>hmmmm</v>
      </c>
    </row>
    <row r="3670">
      <c r="C3670" s="1" t="s">
        <v>3665</v>
      </c>
      <c r="D3670" s="3" t="str">
        <f>IFERROR(__xludf.DUMMYFUNCTION("GOOGLETRANSLATE(C3670,""en"",""pl"")"),"tak")</f>
        <v>tak</v>
      </c>
    </row>
    <row r="3671">
      <c r="C3671" s="1" t="s">
        <v>3666</v>
      </c>
      <c r="D3671" s="3" t="str">
        <f>IFERROR(__xludf.DUMMYFUNCTION("GOOGLETRANSLATE(C3671,""en"",""pl"")"),"Luizjana")</f>
        <v>Luizjana</v>
      </c>
    </row>
    <row r="3672">
      <c r="C3672" s="1" t="s">
        <v>3667</v>
      </c>
      <c r="D3672" s="3" t="str">
        <f>IFERROR(__xludf.DUMMYFUNCTION("GOOGLETRANSLATE(C3672,""en"",""pl"")"),"plotka")</f>
        <v>plotka</v>
      </c>
    </row>
    <row r="3673">
      <c r="C3673" s="1" t="s">
        <v>3668</v>
      </c>
      <c r="D3673" s="3" t="str">
        <f>IFERROR(__xludf.DUMMYFUNCTION("GOOGLETRANSLATE(C3673,""en"",""pl"")"),"kirsten")</f>
        <v>kirsten</v>
      </c>
    </row>
    <row r="3674">
      <c r="C3674" s="1" t="s">
        <v>3669</v>
      </c>
      <c r="D3674" s="3" t="str">
        <f>IFERROR(__xludf.DUMMYFUNCTION("GOOGLETRANSLATE(C3674,""en"",""pl"")"),"przyziemienie")</f>
        <v>przyziemienie</v>
      </c>
    </row>
    <row r="3675">
      <c r="C3675" s="1" t="s">
        <v>3670</v>
      </c>
      <c r="D3675" s="3" t="str">
        <f>IFERROR(__xludf.DUMMYFUNCTION("GOOGLETRANSLATE(C3675,""en"",""pl"")"),"Nadine")</f>
        <v>Nadine</v>
      </c>
    </row>
    <row r="3676">
      <c r="C3676" s="1" t="s">
        <v>3671</v>
      </c>
      <c r="D3676" s="3" t="str">
        <f>IFERROR(__xludf.DUMMYFUNCTION("GOOGLETRANSLATE(C3676,""en"",""pl"")"),"wykwintny")</f>
        <v>wykwintny</v>
      </c>
    </row>
    <row r="3677">
      <c r="C3677" s="1" t="s">
        <v>3672</v>
      </c>
      <c r="D3677" s="3" t="str">
        <f>IFERROR(__xludf.DUMMYFUNCTION("GOOGLETRANSLATE(C3677,""en"",""pl"")"),"korekta")</f>
        <v>korekta</v>
      </c>
    </row>
    <row r="3678">
      <c r="C3678" s="1" t="s">
        <v>3673</v>
      </c>
      <c r="D3678" s="3" t="str">
        <f>IFERROR(__xludf.DUMMYFUNCTION("GOOGLETRANSLATE(C3678,""en"",""pl"")"),"poranek")</f>
        <v>poranek</v>
      </c>
    </row>
    <row r="3679">
      <c r="C3679" s="1" t="s">
        <v>3674</v>
      </c>
      <c r="D3679" s="3" t="str">
        <f>IFERROR(__xludf.DUMMYFUNCTION("GOOGLETRANSLATE(C3679,""en"",""pl"")"),"pyzaty")</f>
        <v>pyzaty</v>
      </c>
    </row>
    <row r="3680">
      <c r="C3680" s="1" t="s">
        <v>3675</v>
      </c>
      <c r="D3680" s="3" t="str">
        <f>IFERROR(__xludf.DUMMYFUNCTION("GOOGLETRANSLATE(C3680,""en"",""pl"")"),"oczywisty")</f>
        <v>oczywisty</v>
      </c>
    </row>
    <row r="3681">
      <c r="C3681" s="1" t="s">
        <v>3676</v>
      </c>
      <c r="D3681" s="3" t="str">
        <f>IFERROR(__xludf.DUMMYFUNCTION("GOOGLETRANSLATE(C3681,""en"",""pl"")"),"najbezpieczniejszy")</f>
        <v>najbezpieczniejszy</v>
      </c>
    </row>
    <row r="3682">
      <c r="C3682" s="1" t="s">
        <v>3677</v>
      </c>
      <c r="D3682" s="3" t="str">
        <f>IFERROR(__xludf.DUMMYFUNCTION("GOOGLETRANSLATE(C3682,""en"",""pl"")"),"steroidy")</f>
        <v>steroidy</v>
      </c>
    </row>
    <row r="3683">
      <c r="C3683" s="1" t="s">
        <v>3678</v>
      </c>
      <c r="D3683" s="3" t="str">
        <f>IFERROR(__xludf.DUMMYFUNCTION("GOOGLETRANSLATE(C3683,""en"",""pl"")"),"uciekać")</f>
        <v>uciekać</v>
      </c>
    </row>
    <row r="3684">
      <c r="C3684" s="1" t="s">
        <v>3679</v>
      </c>
      <c r="D3684" s="3" t="str">
        <f>IFERROR(__xludf.DUMMYFUNCTION("GOOGLETRANSLATE(C3684,""en"",""pl"")"),"dżin")</f>
        <v>dżin</v>
      </c>
    </row>
    <row r="3685">
      <c r="C3685" s="1" t="s">
        <v>3680</v>
      </c>
      <c r="D3685" s="3" t="str">
        <f>IFERROR(__xludf.DUMMYFUNCTION("GOOGLETRANSLATE(C3685,""en"",""pl"")"),"Dakota")</f>
        <v>Dakota</v>
      </c>
    </row>
    <row r="3686">
      <c r="C3686" s="1" t="s">
        <v>3681</v>
      </c>
      <c r="D3686" s="3" t="str">
        <f>IFERROR(__xludf.DUMMYFUNCTION("GOOGLETRANSLATE(C3686,""en"",""pl"")"),"czary")</f>
        <v>czary</v>
      </c>
    </row>
    <row r="3687">
      <c r="C3687" s="1" t="s">
        <v>3682</v>
      </c>
      <c r="D3687" s="3" t="str">
        <f>IFERROR(__xludf.DUMMYFUNCTION("GOOGLETRANSLATE(C3687,""en"",""pl"")"),"si")</f>
        <v>si</v>
      </c>
    </row>
    <row r="3688">
      <c r="C3688" s="1" t="s">
        <v>3683</v>
      </c>
      <c r="D3688" s="3" t="str">
        <f>IFERROR(__xludf.DUMMYFUNCTION("GOOGLETRANSLATE(C3688,""en"",""pl"")"),"archiwa")</f>
        <v>archiwa</v>
      </c>
    </row>
    <row r="3689">
      <c r="C3689" s="1" t="s">
        <v>3684</v>
      </c>
      <c r="D3689" s="3" t="str">
        <f>IFERROR(__xludf.DUMMYFUNCTION("GOOGLETRANSLATE(C3689,""en"",""pl"")"),"trans")</f>
        <v>trans</v>
      </c>
    </row>
    <row r="3690">
      <c r="C3690" s="1" t="s">
        <v>3685</v>
      </c>
      <c r="D3690" s="3" t="str">
        <f>IFERROR(__xludf.DUMMYFUNCTION("GOOGLETRANSLATE(C3690,""en"",""pl"")"),"symfonia")</f>
        <v>symfonia</v>
      </c>
    </row>
    <row r="3691">
      <c r="C3691" s="1" t="s">
        <v>3686</v>
      </c>
      <c r="D3691" s="3" t="str">
        <f>IFERROR(__xludf.DUMMYFUNCTION("GOOGLETRANSLATE(C3691,""en"",""pl"")"),"traumatyczny")</f>
        <v>traumatyczny</v>
      </c>
    </row>
    <row r="3692">
      <c r="C3692" s="1" t="s">
        <v>3687</v>
      </c>
      <c r="D3692" s="3" t="str">
        <f>IFERROR(__xludf.DUMMYFUNCTION("GOOGLETRANSLATE(C3692,""en"",""pl"")"),"roko")</f>
        <v>roko</v>
      </c>
    </row>
    <row r="3693">
      <c r="C3693" s="1" t="s">
        <v>3688</v>
      </c>
      <c r="D3693" s="3" t="str">
        <f>IFERROR(__xludf.DUMMYFUNCTION("GOOGLETRANSLATE(C3693,""en"",""pl"")"),"skaczący")</f>
        <v>skaczący</v>
      </c>
    </row>
    <row r="3694">
      <c r="C3694" s="1" t="s">
        <v>3689</v>
      </c>
      <c r="D3694" s="3" t="str">
        <f>IFERROR(__xludf.DUMMYFUNCTION("GOOGLETRANSLATE(C3694,""en"",""pl"")"),"częsty")</f>
        <v>częsty</v>
      </c>
    </row>
    <row r="3695">
      <c r="C3695" s="1" t="s">
        <v>3690</v>
      </c>
      <c r="D3695" s="3" t="str">
        <f>IFERROR(__xludf.DUMMYFUNCTION("GOOGLETRANSLATE(C3695,""en"",""pl"")"),"modelowanie")</f>
        <v>modelowanie</v>
      </c>
    </row>
    <row r="3696">
      <c r="C3696" s="1" t="s">
        <v>3691</v>
      </c>
      <c r="D3696" s="3" t="str">
        <f>IFERROR(__xludf.DUMMYFUNCTION("GOOGLETRANSLATE(C3696,""en"",""pl"")"),"sportowy")</f>
        <v>sportowy</v>
      </c>
    </row>
    <row r="3697">
      <c r="C3697" s="1" t="s">
        <v>3692</v>
      </c>
      <c r="D3697" s="3" t="str">
        <f>IFERROR(__xludf.DUMMYFUNCTION("GOOGLETRANSLATE(C3697,""en"",""pl"")"),"wpływający")</f>
        <v>wpływający</v>
      </c>
    </row>
    <row r="3698">
      <c r="C3698" s="1" t="s">
        <v>3693</v>
      </c>
      <c r="D3698" s="3" t="str">
        <f>IFERROR(__xludf.DUMMYFUNCTION("GOOGLETRANSLATE(C3698,""en"",""pl"")"),"statek kosmiczny")</f>
        <v>statek kosmiczny</v>
      </c>
    </row>
    <row r="3699">
      <c r="C3699" s="1" t="s">
        <v>3694</v>
      </c>
      <c r="D3699" s="3" t="str">
        <f>IFERROR(__xludf.DUMMYFUNCTION("GOOGLETRANSLATE(C3699,""en"",""pl"")"),"negocjacja")</f>
        <v>negocjacja</v>
      </c>
    </row>
    <row r="3700">
      <c r="C3700" s="1" t="s">
        <v>3695</v>
      </c>
      <c r="D3700" s="3" t="str">
        <f>IFERROR(__xludf.DUMMYFUNCTION("GOOGLETRANSLATE(C3700,""en"",""pl"")"),"Talbot")</f>
        <v>Talbot</v>
      </c>
    </row>
    <row r="3701">
      <c r="C3701" s="1" t="s">
        <v>3696</v>
      </c>
      <c r="D3701" s="3" t="str">
        <f>IFERROR(__xludf.DUMMYFUNCTION("GOOGLETRANSLATE(C3701,""en"",""pl"")"),"odnowić")</f>
        <v>odnowić</v>
      </c>
    </row>
    <row r="3702">
      <c r="C3702" s="1" t="s">
        <v>3697</v>
      </c>
      <c r="D3702" s="3" t="str">
        <f>IFERROR(__xludf.DUMMYFUNCTION("GOOGLETRANSLATE(C3702,""en"",""pl"")"),"benton")</f>
        <v>benton</v>
      </c>
    </row>
    <row r="3703">
      <c r="C3703" s="1" t="s">
        <v>3698</v>
      </c>
      <c r="D3703" s="3" t="str">
        <f>IFERROR(__xludf.DUMMYFUNCTION("GOOGLETRANSLATE(C3703,""en"",""pl"")"),"obliczać")</f>
        <v>obliczać</v>
      </c>
    </row>
    <row r="3704">
      <c r="C3704" s="1" t="s">
        <v>3699</v>
      </c>
      <c r="D3704" s="3" t="str">
        <f>IFERROR(__xludf.DUMMYFUNCTION("GOOGLETRANSLATE(C3704,""en"",""pl"")"),"skrzypce")</f>
        <v>skrzypce</v>
      </c>
    </row>
    <row r="3705">
      <c r="C3705" s="1" t="s">
        <v>3700</v>
      </c>
      <c r="D3705" s="3" t="str">
        <f>IFERROR(__xludf.DUMMYFUNCTION("GOOGLETRANSLATE(C3705,""en"",""pl"")"),"żagle")</f>
        <v>żagle</v>
      </c>
    </row>
    <row r="3706">
      <c r="C3706" s="1" t="s">
        <v>3701</v>
      </c>
      <c r="D3706" s="3" t="str">
        <f>IFERROR(__xludf.DUMMYFUNCTION("GOOGLETRANSLATE(C3706,""en"",""pl"")"),"stein")</f>
        <v>stein</v>
      </c>
    </row>
    <row r="3707">
      <c r="C3707" s="1" t="s">
        <v>3702</v>
      </c>
      <c r="D3707" s="3" t="str">
        <f>IFERROR(__xludf.DUMMYFUNCTION("GOOGLETRANSLATE(C3707,""en"",""pl"")"),"uporczywy")</f>
        <v>uporczywy</v>
      </c>
    </row>
    <row r="3708">
      <c r="C3708" s="1" t="s">
        <v>3703</v>
      </c>
      <c r="D3708" s="3" t="str">
        <f>IFERROR(__xludf.DUMMYFUNCTION("GOOGLETRANSLATE(C3708,""en"",""pl"")"),"podły")</f>
        <v>podły</v>
      </c>
    </row>
    <row r="3709">
      <c r="C3709" s="1" t="s">
        <v>3704</v>
      </c>
      <c r="D3709" s="3" t="str">
        <f>IFERROR(__xludf.DUMMYFUNCTION("GOOGLETRANSLATE(C3709,""en"",""pl"")"),"siniak")</f>
        <v>siniak</v>
      </c>
    </row>
    <row r="3710">
      <c r="C3710" s="1" t="s">
        <v>3705</v>
      </c>
      <c r="D3710" s="3" t="str">
        <f>IFERROR(__xludf.DUMMYFUNCTION("GOOGLETRANSLATE(C3710,""en"",""pl"")"),"Salem")</f>
        <v>Salem</v>
      </c>
    </row>
    <row r="3711">
      <c r="C3711" s="1" t="s">
        <v>3706</v>
      </c>
      <c r="D3711" s="3" t="str">
        <f>IFERROR(__xludf.DUMMYFUNCTION("GOOGLETRANSLATE(C3711,""en"",""pl"")"),"ucieczki")</f>
        <v>ucieczki</v>
      </c>
    </row>
    <row r="3712">
      <c r="C3712" s="1" t="s">
        <v>3707</v>
      </c>
      <c r="D3712" s="3" t="str">
        <f>IFERROR(__xludf.DUMMYFUNCTION("GOOGLETRANSLATE(C3712,""en"",""pl"")"),"psota")</f>
        <v>psota</v>
      </c>
    </row>
    <row r="3713">
      <c r="C3713" s="1" t="s">
        <v>3708</v>
      </c>
      <c r="D3713" s="3" t="str">
        <f>IFERROR(__xludf.DUMMYFUNCTION("GOOGLETRANSLATE(C3713,""en"",""pl"")"),"mckay")</f>
        <v>mckay</v>
      </c>
    </row>
    <row r="3714">
      <c r="C3714" s="1" t="s">
        <v>3709</v>
      </c>
      <c r="D3714" s="3" t="str">
        <f>IFERROR(__xludf.DUMMYFUNCTION("GOOGLETRANSLATE(C3714,""en"",""pl"")"),"babeczki")</f>
        <v>babeczki</v>
      </c>
    </row>
    <row r="3715">
      <c r="C3715" s="1" t="s">
        <v>3710</v>
      </c>
      <c r="D3715" s="3" t="str">
        <f>IFERROR(__xludf.DUMMYFUNCTION("GOOGLETRANSLATE(C3715,""en"",""pl"")"),"Bruksela")</f>
        <v>Bruksela</v>
      </c>
    </row>
    <row r="3716">
      <c r="C3716" s="1" t="s">
        <v>3711</v>
      </c>
      <c r="D3716" s="3" t="str">
        <f>IFERROR(__xludf.DUMMYFUNCTION("GOOGLETRANSLATE(C3716,""en"",""pl"")"),"łuk")</f>
        <v>łuk</v>
      </c>
    </row>
    <row r="3717">
      <c r="C3717" s="1" t="s">
        <v>3712</v>
      </c>
      <c r="D3717" s="3" t="str">
        <f>IFERROR(__xludf.DUMMYFUNCTION("GOOGLETRANSLATE(C3717,""en"",""pl"")"),"rozpruwacz")</f>
        <v>rozpruwacz</v>
      </c>
    </row>
    <row r="3718">
      <c r="C3718" s="1" t="s">
        <v>3713</v>
      </c>
      <c r="D3718" s="3" t="str">
        <f>IFERROR(__xludf.DUMMYFUNCTION("GOOGLETRANSLATE(C3718,""en"",""pl"")"),"rachityczny")</f>
        <v>rachityczny</v>
      </c>
    </row>
    <row r="3719">
      <c r="C3719" s="4" t="s">
        <v>3714</v>
      </c>
      <c r="D3719" s="3" t="str">
        <f>IFERROR(__xludf.DUMMYFUNCTION("GOOGLETRANSLATE(C3719,""en"",""pl"")"),"hara")</f>
        <v>hara</v>
      </c>
    </row>
    <row r="3720">
      <c r="C3720" s="1" t="s">
        <v>3715</v>
      </c>
      <c r="D3720" s="3" t="str">
        <f>IFERROR(__xludf.DUMMYFUNCTION("GOOGLETRANSLATE(C3720,""en"",""pl"")"),"witaminy")</f>
        <v>witaminy</v>
      </c>
    </row>
    <row r="3721">
      <c r="C3721" s="1" t="s">
        <v>3716</v>
      </c>
      <c r="D3721" s="3" t="str">
        <f>IFERROR(__xludf.DUMMYFUNCTION("GOOGLETRANSLATE(C3721,""en"",""pl"")"),"koniak")</f>
        <v>koniak</v>
      </c>
    </row>
    <row r="3722">
      <c r="C3722" s="1" t="s">
        <v>3717</v>
      </c>
      <c r="D3722" s="3" t="str">
        <f>IFERROR(__xludf.DUMMYFUNCTION("GOOGLETRANSLATE(C3722,""en"",""pl"")"),"Kariery")</f>
        <v>Kariery</v>
      </c>
    </row>
    <row r="3723">
      <c r="C3723" s="1" t="s">
        <v>3718</v>
      </c>
      <c r="D3723" s="3" t="str">
        <f>IFERROR(__xludf.DUMMYFUNCTION("GOOGLETRANSLATE(C3723,""en"",""pl"")"),"symulator")</f>
        <v>symulator</v>
      </c>
    </row>
    <row r="3724">
      <c r="C3724" s="1" t="s">
        <v>3719</v>
      </c>
      <c r="D3724" s="3" t="str">
        <f>IFERROR(__xludf.DUMMYFUNCTION("GOOGLETRANSLATE(C3724,""en"",""pl"")"),"czapki")</f>
        <v>czapki</v>
      </c>
    </row>
    <row r="3725">
      <c r="C3725" s="1" t="s">
        <v>3720</v>
      </c>
      <c r="D3725" s="3" t="str">
        <f>IFERROR(__xludf.DUMMYFUNCTION("GOOGLETRANSLATE(C3725,""en"",""pl"")"),"imbecyl")</f>
        <v>imbecyl</v>
      </c>
    </row>
    <row r="3726">
      <c r="C3726" s="1" t="s">
        <v>3721</v>
      </c>
      <c r="D3726" s="3" t="str">
        <f>IFERROR(__xludf.DUMMYFUNCTION("GOOGLETRANSLATE(C3726,""en"",""pl"")"),"steki")</f>
        <v>steki</v>
      </c>
    </row>
    <row r="3727">
      <c r="C3727" s="1" t="s">
        <v>3722</v>
      </c>
      <c r="D3727" s="3" t="str">
        <f>IFERROR(__xludf.DUMMYFUNCTION("GOOGLETRANSLATE(C3727,""en"",""pl"")"),"zatoczka")</f>
        <v>zatoczka</v>
      </c>
    </row>
    <row r="3728">
      <c r="C3728" s="1" t="s">
        <v>3723</v>
      </c>
      <c r="D3728" s="3" t="str">
        <f>IFERROR(__xludf.DUMMYFUNCTION("GOOGLETRANSLATE(C3728,""en"",""pl"")"),"leże")</f>
        <v>leże</v>
      </c>
    </row>
    <row r="3729">
      <c r="C3729" s="1" t="s">
        <v>3724</v>
      </c>
      <c r="D3729" s="3" t="str">
        <f>IFERROR(__xludf.DUMMYFUNCTION("GOOGLETRANSLATE(C3729,""en"",""pl"")"),"kierowniczy")</f>
        <v>kierowniczy</v>
      </c>
    </row>
    <row r="3730">
      <c r="C3730" s="1" t="s">
        <v>3725</v>
      </c>
      <c r="D3730" s="3" t="str">
        <f>IFERROR(__xludf.DUMMYFUNCTION("GOOGLETRANSLATE(C3730,""en"",""pl"")"),"ojczym")</f>
        <v>ojczym</v>
      </c>
    </row>
    <row r="3731">
      <c r="C3731" s="1" t="s">
        <v>3726</v>
      </c>
      <c r="D3731" s="3" t="str">
        <f>IFERROR(__xludf.DUMMYFUNCTION("GOOGLETRANSLATE(C3731,""en"",""pl"")"),"zatrzasnął")</f>
        <v>zatrzasnął</v>
      </c>
    </row>
    <row r="3732">
      <c r="C3732" s="1" t="s">
        <v>3727</v>
      </c>
      <c r="D3732" s="3" t="str">
        <f>IFERROR(__xludf.DUMMYFUNCTION("GOOGLETRANSLATE(C3732,""en"",""pl"")"),"wirusowy")</f>
        <v>wirusowy</v>
      </c>
    </row>
    <row r="3733">
      <c r="C3733" s="1" t="s">
        <v>3728</v>
      </c>
      <c r="D3733" s="3" t="str">
        <f>IFERROR(__xludf.DUMMYFUNCTION("GOOGLETRANSLATE(C3733,""en"",""pl"")"),"kongregacja")</f>
        <v>kongregacja</v>
      </c>
    </row>
    <row r="3734">
      <c r="C3734" s="1" t="s">
        <v>3729</v>
      </c>
      <c r="D3734" s="3" t="str">
        <f>IFERROR(__xludf.DUMMYFUNCTION("GOOGLETRANSLATE(C3734,""en"",""pl"")"),"illinois")</f>
        <v>illinois</v>
      </c>
    </row>
    <row r="3735">
      <c r="C3735" s="1" t="s">
        <v>3730</v>
      </c>
      <c r="D3735" s="3" t="str">
        <f>IFERROR(__xludf.DUMMYFUNCTION("GOOGLETRANSLATE(C3735,""en"",""pl"")"),"śmigłowce")</f>
        <v>śmigłowce</v>
      </c>
    </row>
    <row r="3736">
      <c r="C3736" s="1" t="s">
        <v>3731</v>
      </c>
      <c r="D3736" s="3" t="str">
        <f>IFERROR(__xludf.DUMMYFUNCTION("GOOGLETRANSLATE(C3736,""en"",""pl"")"),"kokosowiec")</f>
        <v>kokosowiec</v>
      </c>
    </row>
    <row r="3737">
      <c r="C3737" s="1" t="s">
        <v>3732</v>
      </c>
      <c r="D3737" s="3" t="str">
        <f>IFERROR(__xludf.DUMMYFUNCTION("GOOGLETRANSLATE(C3737,""en"",""pl"")"),"chrupiący")</f>
        <v>chrupiący</v>
      </c>
    </row>
    <row r="3738">
      <c r="C3738" s="1" t="s">
        <v>3733</v>
      </c>
      <c r="D3738" s="3" t="str">
        <f>IFERROR(__xludf.DUMMYFUNCTION("GOOGLETRANSLATE(C3738,""en"",""pl"")"),"skandal")</f>
        <v>skandal</v>
      </c>
    </row>
    <row r="3739">
      <c r="C3739" s="1" t="s">
        <v>3734</v>
      </c>
      <c r="D3739" s="3" t="str">
        <f>IFERROR(__xludf.DUMMYFUNCTION("GOOGLETRANSLATE(C3739,""en"",""pl"")"),"elastyczny")</f>
        <v>elastyczny</v>
      </c>
    </row>
    <row r="3740">
      <c r="C3740" s="1" t="s">
        <v>3735</v>
      </c>
      <c r="D3740" s="3" t="str">
        <f>IFERROR(__xludf.DUMMYFUNCTION("GOOGLETRANSLATE(C3740,""en"",""pl"")"),"breja")</f>
        <v>breja</v>
      </c>
    </row>
    <row r="3741">
      <c r="C3741" s="1" t="s">
        <v>3736</v>
      </c>
      <c r="D3741" s="3" t="str">
        <f>IFERROR(__xludf.DUMMYFUNCTION("GOOGLETRANSLATE(C3741,""en"",""pl"")"),"lizanie")</f>
        <v>lizanie</v>
      </c>
    </row>
    <row r="3742">
      <c r="C3742" s="1" t="s">
        <v>3737</v>
      </c>
      <c r="D3742" s="3" t="str">
        <f>IFERROR(__xludf.DUMMYFUNCTION("GOOGLETRANSLATE(C3742,""en"",""pl"")"),"boj")</f>
        <v>boj</v>
      </c>
    </row>
    <row r="3743">
      <c r="C3743" s="1" t="s">
        <v>3738</v>
      </c>
      <c r="D3743" s="3" t="str">
        <f>IFERROR(__xludf.DUMMYFUNCTION("GOOGLETRANSLATE(C3743,""en"",""pl"")"),"lody")</f>
        <v>lody</v>
      </c>
    </row>
    <row r="3744">
      <c r="C3744" s="1" t="s">
        <v>3739</v>
      </c>
      <c r="D3744" s="3" t="str">
        <f>IFERROR(__xludf.DUMMYFUNCTION("GOOGLETRANSLATE(C3744,""en"",""pl"")"),"preferuje")</f>
        <v>preferuje</v>
      </c>
    </row>
    <row r="3745">
      <c r="C3745" s="1" t="s">
        <v>3740</v>
      </c>
      <c r="D3745" s="3" t="str">
        <f>IFERROR(__xludf.DUMMYFUNCTION("GOOGLETRANSLATE(C3745,""en"",""pl"")"),"tao")</f>
        <v>tao</v>
      </c>
    </row>
    <row r="3746">
      <c r="C3746" s="1" t="s">
        <v>3741</v>
      </c>
      <c r="D3746" s="3" t="str">
        <f>IFERROR(__xludf.DUMMYFUNCTION("GOOGLETRANSLATE(C3746,""en"",""pl"")"),"jeniec")</f>
        <v>jeniec</v>
      </c>
    </row>
    <row r="3747">
      <c r="C3747" s="1" t="s">
        <v>3742</v>
      </c>
      <c r="D3747" s="3" t="str">
        <f>IFERROR(__xludf.DUMMYFUNCTION("GOOGLETRANSLATE(C3747,""en"",""pl"")"),"Montreal")</f>
        <v>Montreal</v>
      </c>
    </row>
    <row r="3748">
      <c r="C3748" s="1" t="s">
        <v>3743</v>
      </c>
      <c r="D3748" s="3" t="str">
        <f>IFERROR(__xludf.DUMMYFUNCTION("GOOGLETRANSLATE(C3748,""en"",""pl"")"),"zen")</f>
        <v>zen</v>
      </c>
    </row>
    <row r="3749">
      <c r="C3749" s="1" t="s">
        <v>3744</v>
      </c>
      <c r="D3749" s="3" t="str">
        <f>IFERROR(__xludf.DUMMYFUNCTION("GOOGLETRANSLATE(C3749,""en"",""pl"")"),"cee")</f>
        <v>cee</v>
      </c>
    </row>
    <row r="3750">
      <c r="C3750" s="1" t="s">
        <v>3745</v>
      </c>
      <c r="D3750" s="3" t="str">
        <f>IFERROR(__xludf.DUMMYFUNCTION("GOOGLETRANSLATE(C3750,""en"",""pl"")"),"kostki")</f>
        <v>kostki</v>
      </c>
    </row>
    <row r="3751">
      <c r="C3751" s="1" t="s">
        <v>3746</v>
      </c>
      <c r="D3751" s="3" t="str">
        <f>IFERROR(__xludf.DUMMYFUNCTION("GOOGLETRANSLATE(C3751,""en"",""pl"")"),"kantyna")</f>
        <v>kantyna</v>
      </c>
    </row>
    <row r="3752">
      <c r="C3752" s="1" t="s">
        <v>3747</v>
      </c>
      <c r="D3752" s="3" t="str">
        <f>IFERROR(__xludf.DUMMYFUNCTION("GOOGLETRANSLATE(C3752,""en"",""pl"")"),"wiarygodność")</f>
        <v>wiarygodność</v>
      </c>
    </row>
    <row r="3753">
      <c r="C3753" s="1" t="s">
        <v>3748</v>
      </c>
      <c r="D3753" s="3" t="str">
        <f>IFERROR(__xludf.DUMMYFUNCTION("GOOGLETRANSLATE(C3753,""en"",""pl"")"),"bezładny")</f>
        <v>bezładny</v>
      </c>
    </row>
    <row r="3754">
      <c r="C3754" s="1" t="s">
        <v>3749</v>
      </c>
      <c r="D3754" s="3" t="str">
        <f>IFERROR(__xludf.DUMMYFUNCTION("GOOGLETRANSLATE(C3754,""en"",""pl"")"),"mieszkania")</f>
        <v>mieszkania</v>
      </c>
    </row>
    <row r="3755">
      <c r="C3755" s="1" t="s">
        <v>3750</v>
      </c>
      <c r="D3755" s="3" t="str">
        <f>IFERROR(__xludf.DUMMYFUNCTION("GOOGLETRANSLATE(C3755,""en"",""pl"")"),"kontrowersyjny")</f>
        <v>kontrowersyjny</v>
      </c>
    </row>
    <row r="3756">
      <c r="C3756" s="1" t="s">
        <v>3751</v>
      </c>
      <c r="D3756" s="3" t="str">
        <f>IFERROR(__xludf.DUMMYFUNCTION("GOOGLETRANSLATE(C3756,""en"",""pl"")"),"entuzjastyczny")</f>
        <v>entuzjastyczny</v>
      </c>
    </row>
    <row r="3757">
      <c r="C3757" s="1" t="s">
        <v>3752</v>
      </c>
      <c r="D3757" s="3" t="str">
        <f>IFERROR(__xludf.DUMMYFUNCTION("GOOGLETRANSLATE(C3757,""en"",""pl"")"),"Janey")</f>
        <v>Janey</v>
      </c>
    </row>
    <row r="3758">
      <c r="C3758" s="1" t="s">
        <v>3753</v>
      </c>
      <c r="D3758" s="3" t="str">
        <f>IFERROR(__xludf.DUMMYFUNCTION("GOOGLETRANSLATE(C3758,""en"",""pl"")"),"korek")</f>
        <v>korek</v>
      </c>
    </row>
    <row r="3759">
      <c r="C3759" s="1" t="s">
        <v>3754</v>
      </c>
      <c r="D3759" s="3" t="str">
        <f>IFERROR(__xludf.DUMMYFUNCTION("GOOGLETRANSLATE(C3759,""en"",""pl"")"),"priorytety")</f>
        <v>priorytety</v>
      </c>
    </row>
    <row r="3760">
      <c r="C3760" s="1" t="s">
        <v>3755</v>
      </c>
      <c r="D3760" s="3" t="str">
        <f>IFERROR(__xludf.DUMMYFUNCTION("GOOGLETRANSLATE(C3760,""en"",""pl"")"),"ostry")</f>
        <v>ostry</v>
      </c>
    </row>
    <row r="3761">
      <c r="C3761" s="1" t="s">
        <v>3756</v>
      </c>
      <c r="D3761" s="3" t="str">
        <f>IFERROR(__xludf.DUMMYFUNCTION("GOOGLETRANSLATE(C3761,""en"",""pl"")"),"lodowaty")</f>
        <v>lodowaty</v>
      </c>
    </row>
    <row r="3762">
      <c r="C3762" s="1" t="s">
        <v>3757</v>
      </c>
      <c r="D3762" s="3" t="str">
        <f>IFERROR(__xludf.DUMMYFUNCTION("GOOGLETRANSLATE(C3762,""en"",""pl"")"),"tunel czasoprzestrzenny")</f>
        <v>tunel czasoprzestrzenny</v>
      </c>
    </row>
    <row r="3763">
      <c r="C3763" s="1" t="s">
        <v>3758</v>
      </c>
      <c r="D3763" s="3" t="str">
        <f>IFERROR(__xludf.DUMMYFUNCTION("GOOGLETRANSLATE(C3763,""en"",""pl"")"),"ulotka")</f>
        <v>ulotka</v>
      </c>
    </row>
    <row r="3764">
      <c r="C3764" s="1" t="s">
        <v>3759</v>
      </c>
      <c r="D3764" s="3" t="str">
        <f>IFERROR(__xludf.DUMMYFUNCTION("GOOGLETRANSLATE(C3764,""en"",""pl"")"),"pęcherz moczowy")</f>
        <v>pęcherz moczowy</v>
      </c>
    </row>
    <row r="3765">
      <c r="C3765" s="1" t="s">
        <v>3760</v>
      </c>
      <c r="D3765" s="3" t="str">
        <f>IFERROR(__xludf.DUMMYFUNCTION("GOOGLETRANSLATE(C3765,""en"",""pl"")"),"dozorca")</f>
        <v>dozorca</v>
      </c>
    </row>
    <row r="3766">
      <c r="C3766" s="1" t="s">
        <v>3761</v>
      </c>
      <c r="D3766" s="3" t="str">
        <f>IFERROR(__xludf.DUMMYFUNCTION("GOOGLETRANSLATE(C3766,""en"",""pl"")"),"energia")</f>
        <v>energia</v>
      </c>
    </row>
    <row r="3767">
      <c r="C3767" s="1" t="s">
        <v>3762</v>
      </c>
      <c r="D3767" s="3" t="str">
        <f>IFERROR(__xludf.DUMMYFUNCTION("GOOGLETRANSLATE(C3767,""en"",""pl"")"),"współlokatorzy")</f>
        <v>współlokatorzy</v>
      </c>
    </row>
    <row r="3768">
      <c r="C3768" s="1" t="s">
        <v>3763</v>
      </c>
      <c r="D3768" s="3" t="str">
        <f>IFERROR(__xludf.DUMMYFUNCTION("GOOGLETRANSLATE(C3768,""en"",""pl"")"),"programowanie")</f>
        <v>programowanie</v>
      </c>
    </row>
    <row r="3769">
      <c r="C3769" s="1" t="s">
        <v>3764</v>
      </c>
      <c r="D3769" s="3" t="str">
        <f>IFERROR(__xludf.DUMMYFUNCTION("GOOGLETRANSLATE(C3769,""en"",""pl"")"),"winogrono")</f>
        <v>winogrono</v>
      </c>
    </row>
    <row r="3770">
      <c r="C3770" s="1" t="s">
        <v>3765</v>
      </c>
      <c r="D3770" s="3" t="str">
        <f>IFERROR(__xludf.DUMMYFUNCTION("GOOGLETRANSLATE(C3770,""en"",""pl"")"),"astronauci")</f>
        <v>astronauci</v>
      </c>
    </row>
    <row r="3771">
      <c r="C3771" s="1" t="s">
        <v>3766</v>
      </c>
      <c r="D3771" s="3" t="str">
        <f>IFERROR(__xludf.DUMMYFUNCTION("GOOGLETRANSLATE(C3771,""en"",""pl"")"),"osuszony")</f>
        <v>osuszony</v>
      </c>
    </row>
    <row r="3772">
      <c r="C3772" s="1" t="s">
        <v>3767</v>
      </c>
      <c r="D3772" s="3" t="str">
        <f>IFERROR(__xludf.DUMMYFUNCTION("GOOGLETRANSLATE(C3772,""en"",""pl"")"),"metaliczny")</f>
        <v>metaliczny</v>
      </c>
    </row>
    <row r="3773">
      <c r="C3773" s="1" t="s">
        <v>3768</v>
      </c>
      <c r="D3773" s="3" t="str">
        <f>IFERROR(__xludf.DUMMYFUNCTION("GOOGLETRANSLATE(C3773,""en"",""pl"")"),"Sergio")</f>
        <v>Sergio</v>
      </c>
    </row>
    <row r="3774">
      <c r="C3774" s="1" t="s">
        <v>3769</v>
      </c>
      <c r="D3774" s="3" t="str">
        <f>IFERROR(__xludf.DUMMYFUNCTION("GOOGLETRANSLATE(C3774,""en"",""pl"")"),"rzadko")</f>
        <v>rzadko</v>
      </c>
    </row>
    <row r="3775">
      <c r="C3775" s="1" t="s">
        <v>3770</v>
      </c>
      <c r="D3775" s="3" t="str">
        <f>IFERROR(__xludf.DUMMYFUNCTION("GOOGLETRANSLATE(C3775,""en"",""pl"")"),"niszczy")</f>
        <v>niszczy</v>
      </c>
    </row>
    <row r="3776">
      <c r="C3776" s="1" t="s">
        <v>3771</v>
      </c>
      <c r="D3776" s="3" t="str">
        <f>IFERROR(__xludf.DUMMYFUNCTION("GOOGLETRANSLATE(C3776,""en"",""pl"")"),"jeźdźcy")</f>
        <v>jeźdźcy</v>
      </c>
    </row>
    <row r="3777">
      <c r="C3777" s="1" t="s">
        <v>3772</v>
      </c>
      <c r="D3777" s="3" t="str">
        <f>IFERROR(__xludf.DUMMYFUNCTION("GOOGLETRANSLATE(C3777,""en"",""pl"")"),"poetycki")</f>
        <v>poetycki</v>
      </c>
    </row>
    <row r="3778">
      <c r="C3778" s="1" t="s">
        <v>3773</v>
      </c>
      <c r="D3778" s="3" t="str">
        <f>IFERROR(__xludf.DUMMYFUNCTION("GOOGLETRANSLATE(C3778,""en"",""pl"")"),"suchy")</f>
        <v>suchy</v>
      </c>
    </row>
    <row r="3779">
      <c r="C3779" s="1" t="s">
        <v>3774</v>
      </c>
      <c r="D3779" s="3" t="str">
        <f>IFERROR(__xludf.DUMMYFUNCTION("GOOGLETRANSLATE(C3779,""en"",""pl"")"),"przewieziony")</f>
        <v>przewieziony</v>
      </c>
    </row>
    <row r="3780">
      <c r="C3780" s="1" t="s">
        <v>3775</v>
      </c>
      <c r="D3780" s="3" t="str">
        <f>IFERROR(__xludf.DUMMYFUNCTION("GOOGLETRANSLATE(C3780,""en"",""pl"")"),"zanieczyszczony")</f>
        <v>zanieczyszczony</v>
      </c>
    </row>
    <row r="3781">
      <c r="C3781" s="1" t="s">
        <v>3776</v>
      </c>
      <c r="D3781" s="3" t="str">
        <f>IFERROR(__xludf.DUMMYFUNCTION("GOOGLETRANSLATE(C3781,""en"",""pl"")"),"kanał")</f>
        <v>kanał</v>
      </c>
    </row>
    <row r="3782">
      <c r="C3782" s="1" t="s">
        <v>3777</v>
      </c>
      <c r="D3782" s="3" t="str">
        <f>IFERROR(__xludf.DUMMYFUNCTION("GOOGLETRANSLATE(C3782,""en"",""pl"")"),"wymiary")</f>
        <v>wymiary</v>
      </c>
    </row>
    <row r="3783">
      <c r="C3783" s="1" t="s">
        <v>3778</v>
      </c>
      <c r="D3783" s="3" t="str">
        <f>IFERROR(__xludf.DUMMYFUNCTION("GOOGLETRANSLATE(C3783,""en"",""pl"")"),"niewrażliwy")</f>
        <v>niewrażliwy</v>
      </c>
    </row>
    <row r="3784">
      <c r="C3784" s="1" t="s">
        <v>3779</v>
      </c>
      <c r="D3784" s="3" t="str">
        <f>IFERROR(__xludf.DUMMYFUNCTION("GOOGLETRANSLATE(C3784,""en"",""pl"")"),"echa")</f>
        <v>echa</v>
      </c>
    </row>
    <row r="3785">
      <c r="C3785" s="1" t="s">
        <v>3780</v>
      </c>
      <c r="D3785" s="3" t="str">
        <f>IFERROR(__xludf.DUMMYFUNCTION("GOOGLETRANSLATE(C3785,""en"",""pl"")"),"zainicjować")</f>
        <v>zainicjować</v>
      </c>
    </row>
    <row r="3786">
      <c r="C3786" s="1" t="s">
        <v>3781</v>
      </c>
      <c r="D3786" s="3" t="str">
        <f>IFERROR(__xludf.DUMMYFUNCTION("GOOGLETRANSLATE(C3786,""en"",""pl"")"),"niemniej jednak")</f>
        <v>niemniej jednak</v>
      </c>
    </row>
    <row r="3787">
      <c r="C3787" s="1" t="s">
        <v>3782</v>
      </c>
      <c r="D3787" s="3" t="str">
        <f>IFERROR(__xludf.DUMMYFUNCTION("GOOGLETRANSLATE(C3787,""en"",""pl"")"),"Emmett")</f>
        <v>Emmett</v>
      </c>
    </row>
    <row r="3788">
      <c r="C3788" s="1" t="s">
        <v>3783</v>
      </c>
      <c r="D3788" s="3" t="str">
        <f>IFERROR(__xludf.DUMMYFUNCTION("GOOGLETRANSLATE(C3788,""en"",""pl"")"),"szlifowanie")</f>
        <v>szlifowanie</v>
      </c>
    </row>
    <row r="3789">
      <c r="C3789" s="1" t="s">
        <v>3784</v>
      </c>
      <c r="D3789" s="3" t="str">
        <f>IFERROR(__xludf.DUMMYFUNCTION("GOOGLETRANSLATE(C3789,""en"",""pl"")"),"kompozycja")</f>
        <v>kompozycja</v>
      </c>
    </row>
    <row r="3790">
      <c r="C3790" s="1" t="s">
        <v>3785</v>
      </c>
      <c r="D3790" s="3" t="str">
        <f>IFERROR(__xludf.DUMMYFUNCTION("GOOGLETRANSLATE(C3790,""en"",""pl"")"),"odroczony")</f>
        <v>odroczony</v>
      </c>
    </row>
    <row r="3791">
      <c r="C3791" s="1" t="s">
        <v>3786</v>
      </c>
      <c r="D3791" s="3" t="str">
        <f>IFERROR(__xludf.DUMMYFUNCTION("GOOGLETRANSLATE(C3791,""en"",""pl"")"),"pobłażać")</f>
        <v>pobłażać</v>
      </c>
    </row>
    <row r="3792">
      <c r="C3792" s="1" t="s">
        <v>3787</v>
      </c>
      <c r="D3792" s="3" t="str">
        <f>IFERROR(__xludf.DUMMYFUNCTION("GOOGLETRANSLATE(C3792,""en"",""pl"")"),"klucz")</f>
        <v>klucz</v>
      </c>
    </row>
    <row r="3793">
      <c r="C3793" s="1" t="s">
        <v>3788</v>
      </c>
      <c r="D3793" s="3" t="str">
        <f>IFERROR(__xludf.DUMMYFUNCTION("GOOGLETRANSLATE(C3793,""en"",""pl"")"),"wada")</f>
        <v>wada</v>
      </c>
    </row>
    <row r="3794">
      <c r="C3794" s="1" t="s">
        <v>3789</v>
      </c>
      <c r="D3794" s="3" t="str">
        <f>IFERROR(__xludf.DUMMYFUNCTION("GOOGLETRANSLATE(C3794,""en"",""pl"")"),"Mesjasz")</f>
        <v>Mesjasz</v>
      </c>
    </row>
    <row r="3795">
      <c r="C3795" s="1" t="s">
        <v>3790</v>
      </c>
      <c r="D3795" s="3" t="str">
        <f>IFERROR(__xludf.DUMMYFUNCTION("GOOGLETRANSLATE(C3795,""en"",""pl"")"),"Zakończono")</f>
        <v>Zakończono</v>
      </c>
    </row>
    <row r="3796">
      <c r="C3796" s="1" t="s">
        <v>3791</v>
      </c>
      <c r="D3796" s="3" t="str">
        <f>IFERROR(__xludf.DUMMYFUNCTION("GOOGLETRANSLATE(C3796,""en"",""pl"")"),"przyzwyczajony")</f>
        <v>przyzwyczajony</v>
      </c>
    </row>
    <row r="3797">
      <c r="C3797" s="1" t="s">
        <v>3792</v>
      </c>
      <c r="D3797" s="3" t="str">
        <f>IFERROR(__xludf.DUMMYFUNCTION("GOOGLETRANSLATE(C3797,""en"",""pl"")"),"serwetka")</f>
        <v>serwetka</v>
      </c>
    </row>
    <row r="3798">
      <c r="C3798" s="1" t="s">
        <v>3793</v>
      </c>
      <c r="D3798" s="3" t="str">
        <f>IFERROR(__xludf.DUMMYFUNCTION("GOOGLETRANSLATE(C3798,""en"",""pl"")"),"30s")</f>
        <v>30s</v>
      </c>
    </row>
    <row r="3799">
      <c r="C3799" s="1" t="s">
        <v>3794</v>
      </c>
      <c r="D3799" s="3" t="str">
        <f>IFERROR(__xludf.DUMMYFUNCTION("GOOGLETRANSLATE(C3799,""en"",""pl"")"),"ruszać się")</f>
        <v>ruszać się</v>
      </c>
    </row>
    <row r="3800">
      <c r="C3800" s="1" t="s">
        <v>3795</v>
      </c>
      <c r="D3800" s="3" t="str">
        <f>IFERROR(__xludf.DUMMYFUNCTION("GOOGLETRANSLATE(C3800,""en"",""pl"")"),"ja-to")</f>
        <v>ja-to</v>
      </c>
    </row>
    <row r="3801">
      <c r="C3801" s="1" t="s">
        <v>3796</v>
      </c>
      <c r="D3801" s="3" t="str">
        <f>IFERROR(__xludf.DUMMYFUNCTION("GOOGLETRANSLATE(C3801,""en"",""pl"")"),"wejście")</f>
        <v>wejście</v>
      </c>
    </row>
    <row r="3802">
      <c r="C3802" s="1" t="s">
        <v>3797</v>
      </c>
      <c r="D3802" s="3" t="str">
        <f>IFERROR(__xludf.DUMMYFUNCTION("GOOGLETRANSLATE(C3802,""en"",""pl"")"),"zmącić")</f>
        <v>zmącić</v>
      </c>
    </row>
    <row r="3803">
      <c r="C3803" s="1" t="s">
        <v>3798</v>
      </c>
      <c r="D3803" s="3" t="str">
        <f>IFERROR(__xludf.DUMMYFUNCTION("GOOGLETRANSLATE(C3803,""en"",""pl"")"),"Steph")</f>
        <v>Steph</v>
      </c>
    </row>
    <row r="3804">
      <c r="C3804" s="1" t="s">
        <v>3799</v>
      </c>
      <c r="D3804" s="3" t="str">
        <f>IFERROR(__xludf.DUMMYFUNCTION("GOOGLETRANSLATE(C3804,""en"",""pl"")"),"Saturn")</f>
        <v>Saturn</v>
      </c>
    </row>
    <row r="3805">
      <c r="C3805" s="1" t="s">
        <v>3800</v>
      </c>
      <c r="D3805" s="3" t="str">
        <f>IFERROR(__xludf.DUMMYFUNCTION("GOOGLETRANSLATE(C3805,""en"",""pl"")"),"celowo")</f>
        <v>celowo</v>
      </c>
    </row>
    <row r="3806">
      <c r="C3806" s="1" t="s">
        <v>3801</v>
      </c>
      <c r="D3806" s="3" t="str">
        <f>IFERROR(__xludf.DUMMYFUNCTION("GOOGLETRANSLATE(C3806,""en"",""pl"")"),"dzwonienie")</f>
        <v>dzwonienie</v>
      </c>
    </row>
    <row r="3807">
      <c r="C3807" s="1" t="s">
        <v>3802</v>
      </c>
      <c r="D3807" s="3" t="str">
        <f>IFERROR(__xludf.DUMMYFUNCTION("GOOGLETRANSLATE(C3807,""en"",""pl"")"),"w puszkach")</f>
        <v>w puszkach</v>
      </c>
    </row>
    <row r="3808">
      <c r="C3808" s="1" t="s">
        <v>3803</v>
      </c>
      <c r="D3808" s="3" t="str">
        <f>IFERROR(__xludf.DUMMYFUNCTION("GOOGLETRANSLATE(C3808,""en"",""pl"")"),"pojawianie się")</f>
        <v>pojawianie się</v>
      </c>
    </row>
    <row r="3809">
      <c r="C3809" s="1" t="s">
        <v>3804</v>
      </c>
      <c r="D3809" s="3" t="str">
        <f>IFERROR(__xludf.DUMMYFUNCTION("GOOGLETRANSLATE(C3809,""en"",""pl"")"),"balistyka")</f>
        <v>balistyka</v>
      </c>
    </row>
    <row r="3810">
      <c r="C3810" s="1" t="s">
        <v>3805</v>
      </c>
      <c r="D3810" s="3" t="str">
        <f>IFERROR(__xludf.DUMMYFUNCTION("GOOGLETRANSLATE(C3810,""en"",""pl"")"),"nacięty")</f>
        <v>nacięty</v>
      </c>
    </row>
    <row r="3811">
      <c r="C3811" s="1" t="s">
        <v>3806</v>
      </c>
      <c r="D3811" s="3" t="str">
        <f>IFERROR(__xludf.DUMMYFUNCTION("GOOGLETRANSLATE(C3811,""en"",""pl"")"),"ssanie")</f>
        <v>ssanie</v>
      </c>
    </row>
    <row r="3812">
      <c r="C3812" s="1" t="s">
        <v>3807</v>
      </c>
      <c r="D3812" s="3" t="str">
        <f>IFERROR(__xludf.DUMMYFUNCTION("GOOGLETRANSLATE(C3812,""en"",""pl"")"),"kryjówka")</f>
        <v>kryjówka</v>
      </c>
    </row>
    <row r="3813">
      <c r="C3813" s="1" t="s">
        <v>3808</v>
      </c>
      <c r="D3813" s="3" t="str">
        <f>IFERROR(__xludf.DUMMYFUNCTION("GOOGLETRANSLATE(C3813,""en"",""pl"")"),"zaskoczony")</f>
        <v>zaskoczony</v>
      </c>
    </row>
    <row r="3814">
      <c r="C3814" s="1" t="s">
        <v>3809</v>
      </c>
      <c r="D3814" s="3" t="str">
        <f>IFERROR(__xludf.DUMMYFUNCTION("GOOGLETRANSLATE(C3814,""en"",""pl"")"),"zastępowanie")</f>
        <v>zastępowanie</v>
      </c>
    </row>
    <row r="3815">
      <c r="C3815" s="1" t="s">
        <v>3810</v>
      </c>
      <c r="D3815" s="3" t="str">
        <f>IFERROR(__xludf.DUMMYFUNCTION("GOOGLETRANSLATE(C3815,""en"",""pl"")"),"uroczysty")</f>
        <v>uroczysty</v>
      </c>
    </row>
    <row r="3816">
      <c r="C3816" s="1" t="s">
        <v>3811</v>
      </c>
      <c r="D3816" s="3" t="str">
        <f>IFERROR(__xludf.DUMMYFUNCTION("GOOGLETRANSLATE(C3816,""en"",""pl"")"),"poduszki")</f>
        <v>poduszki</v>
      </c>
    </row>
    <row r="3817">
      <c r="C3817" s="1" t="s">
        <v>3812</v>
      </c>
      <c r="D3817" s="3" t="str">
        <f>IFERROR(__xludf.DUMMYFUNCTION("GOOGLETRANSLATE(C3817,""en"",""pl"")"),"złożony")</f>
        <v>złożony</v>
      </c>
    </row>
    <row r="3818">
      <c r="C3818" s="1" t="s">
        <v>3813</v>
      </c>
      <c r="D3818" s="3" t="str">
        <f>IFERROR(__xludf.DUMMYFUNCTION("GOOGLETRANSLATE(C3818,""en"",""pl"")"),"francesca")</f>
        <v>francesca</v>
      </c>
    </row>
    <row r="3819">
      <c r="C3819" s="1" t="s">
        <v>3814</v>
      </c>
      <c r="D3819" s="3" t="str">
        <f>IFERROR(__xludf.DUMMYFUNCTION("GOOGLETRANSLATE(C3819,""en"",""pl"")"),"prześcigać")</f>
        <v>prześcigać</v>
      </c>
    </row>
    <row r="3820">
      <c r="C3820" s="1" t="s">
        <v>3815</v>
      </c>
      <c r="D3820" s="3" t="str">
        <f>IFERROR(__xludf.DUMMYFUNCTION("GOOGLETRANSLATE(C3820,""en"",""pl"")"),"rzeźbiarz")</f>
        <v>rzeźbiarz</v>
      </c>
    </row>
    <row r="3821">
      <c r="C3821" s="1" t="s">
        <v>3816</v>
      </c>
      <c r="D3821" s="3" t="str">
        <f>IFERROR(__xludf.DUMMYFUNCTION("GOOGLETRANSLATE(C3821,""en"",""pl"")"),"polanka")</f>
        <v>polanka</v>
      </c>
    </row>
    <row r="3822">
      <c r="C3822" s="1" t="s">
        <v>3817</v>
      </c>
      <c r="D3822" s="3" t="str">
        <f>IFERROR(__xludf.DUMMYFUNCTION("GOOGLETRANSLATE(C3822,""en"",""pl"")"),"Mateo")</f>
        <v>Mateo</v>
      </c>
    </row>
    <row r="3823">
      <c r="C3823" s="1" t="s">
        <v>3818</v>
      </c>
      <c r="D3823" s="3" t="str">
        <f>IFERROR(__xludf.DUMMYFUNCTION("GOOGLETRANSLATE(C3823,""en"",""pl"")"),"komar")</f>
        <v>komar</v>
      </c>
    </row>
    <row r="3824">
      <c r="C3824" s="1" t="s">
        <v>3819</v>
      </c>
      <c r="D3824" s="3" t="str">
        <f>IFERROR(__xludf.DUMMYFUNCTION("GOOGLETRANSLATE(C3824,""en"",""pl"")"),"zapach")</f>
        <v>zapach</v>
      </c>
    </row>
    <row r="3825">
      <c r="C3825" s="1" t="s">
        <v>3820</v>
      </c>
      <c r="D3825" s="3" t="str">
        <f>IFERROR(__xludf.DUMMYFUNCTION("GOOGLETRANSLATE(C3825,""en"",""pl"")"),"grosze")</f>
        <v>grosze</v>
      </c>
    </row>
    <row r="3826">
      <c r="C3826" s="1" t="s">
        <v>3821</v>
      </c>
      <c r="D3826" s="3" t="str">
        <f>IFERROR(__xludf.DUMMYFUNCTION("GOOGLETRANSLATE(C3826,""en"",""pl"")"),"zatrzymany")</f>
        <v>zatrzymany</v>
      </c>
    </row>
    <row r="3827">
      <c r="C3827" s="1" t="s">
        <v>3822</v>
      </c>
      <c r="D3827" s="3" t="str">
        <f>IFERROR(__xludf.DUMMYFUNCTION("GOOGLETRANSLATE(C3827,""en"",""pl"")"),"łąka")</f>
        <v>łąka</v>
      </c>
    </row>
    <row r="3828">
      <c r="C3828" s="1" t="s">
        <v>3823</v>
      </c>
      <c r="D3828" s="3" t="str">
        <f>IFERROR(__xludf.DUMMYFUNCTION("GOOGLETRANSLATE(C3828,""en"",""pl"")"),"okazały")</f>
        <v>okazały</v>
      </c>
    </row>
    <row r="3829">
      <c r="C3829" s="1" t="s">
        <v>3824</v>
      </c>
      <c r="D3829" s="3" t="str">
        <f>IFERROR(__xludf.DUMMYFUNCTION("GOOGLETRANSLATE(C3829,""en"",""pl"")"),"satelity")</f>
        <v>satelity</v>
      </c>
    </row>
    <row r="3830">
      <c r="C3830" s="1" t="s">
        <v>3825</v>
      </c>
      <c r="D3830" s="3" t="str">
        <f>IFERROR(__xludf.DUMMYFUNCTION("GOOGLETRANSLATE(C3830,""en"",""pl"")"),"kable")</f>
        <v>kable</v>
      </c>
    </row>
    <row r="3831">
      <c r="C3831" s="1" t="s">
        <v>3826</v>
      </c>
      <c r="D3831" s="3" t="str">
        <f>IFERROR(__xludf.DUMMYFUNCTION("GOOGLETRANSLATE(C3831,""en"",""pl"")"),"małe dzieci")</f>
        <v>małe dzieci</v>
      </c>
    </row>
    <row r="3832">
      <c r="C3832" s="1" t="s">
        <v>3827</v>
      </c>
      <c r="D3832" s="3" t="str">
        <f>IFERROR(__xludf.DUMMYFUNCTION("GOOGLETRANSLATE(C3832,""en"",""pl"")"),"potrzebujący")</f>
        <v>potrzebujący</v>
      </c>
    </row>
    <row r="3833">
      <c r="C3833" s="1" t="s">
        <v>3828</v>
      </c>
      <c r="D3833" s="3" t="str">
        <f>IFERROR(__xludf.DUMMYFUNCTION("GOOGLETRANSLATE(C3833,""en"",""pl"")"),"uchodźca")</f>
        <v>uchodźca</v>
      </c>
    </row>
    <row r="3834">
      <c r="C3834" s="1" t="s">
        <v>3829</v>
      </c>
      <c r="D3834" s="3" t="str">
        <f>IFERROR(__xludf.DUMMYFUNCTION("GOOGLETRANSLATE(C3834,""en"",""pl"")"),"szczęście")</f>
        <v>szczęście</v>
      </c>
    </row>
    <row r="3835">
      <c r="C3835" s="1" t="s">
        <v>3830</v>
      </c>
      <c r="D3835" s="3" t="str">
        <f>IFERROR(__xludf.DUMMYFUNCTION("GOOGLETRANSLATE(C3835,""en"",""pl"")"),"biały człowiek")</f>
        <v>biały człowiek</v>
      </c>
    </row>
    <row r="3836">
      <c r="C3836" s="1" t="s">
        <v>3831</v>
      </c>
      <c r="D3836" s="3" t="str">
        <f>IFERROR(__xludf.DUMMYFUNCTION("GOOGLETRANSLATE(C3836,""en"",""pl"")"),"mieszkańcy")</f>
        <v>mieszkańcy</v>
      </c>
    </row>
    <row r="3837">
      <c r="C3837" s="1" t="s">
        <v>3832</v>
      </c>
      <c r="D3837" s="3" t="str">
        <f>IFERROR(__xludf.DUMMYFUNCTION("GOOGLETRANSLATE(C3837,""en"",""pl"")"),"Yun")</f>
        <v>Yun</v>
      </c>
    </row>
    <row r="3838">
      <c r="C3838" s="1" t="s">
        <v>3833</v>
      </c>
      <c r="D3838" s="3" t="str">
        <f>IFERROR(__xludf.DUMMYFUNCTION("GOOGLETRANSLATE(C3838,""en"",""pl"")"),"włamanie")</f>
        <v>włamanie</v>
      </c>
    </row>
    <row r="3839">
      <c r="C3839" s="1" t="s">
        <v>3834</v>
      </c>
      <c r="D3839" s="3" t="str">
        <f>IFERROR(__xludf.DUMMYFUNCTION("GOOGLETRANSLATE(C3839,""en"",""pl"")"),"niepokojenie")</f>
        <v>niepokojenie</v>
      </c>
    </row>
    <row r="3840">
      <c r="C3840" s="1" t="s">
        <v>3835</v>
      </c>
      <c r="D3840" s="3" t="str">
        <f>IFERROR(__xludf.DUMMYFUNCTION("GOOGLETRANSLATE(C3840,""en"",""pl"")"),"ro")</f>
        <v>ro</v>
      </c>
    </row>
    <row r="3841">
      <c r="C3841" s="1" t="s">
        <v>3836</v>
      </c>
      <c r="D3841" s="3" t="str">
        <f>IFERROR(__xludf.DUMMYFUNCTION("GOOGLETRANSLATE(C3841,""en"",""pl"")"),"interpretacja")</f>
        <v>interpretacja</v>
      </c>
    </row>
    <row r="3842">
      <c r="C3842" s="4" t="s">
        <v>512</v>
      </c>
      <c r="D3842" s="3" t="str">
        <f>IFERROR(__xludf.DUMMYFUNCTION("GOOGLETRANSLATE(C3842,""en"",""pl"")"),"zły")</f>
        <v>zły</v>
      </c>
    </row>
    <row r="3843">
      <c r="C3843" s="1" t="s">
        <v>3837</v>
      </c>
      <c r="D3843" s="3" t="str">
        <f>IFERROR(__xludf.DUMMYFUNCTION("GOOGLETRANSLATE(C3843,""en"",""pl"")"),"zakopywanie")</f>
        <v>zakopywanie</v>
      </c>
    </row>
    <row r="3844">
      <c r="C3844" s="1" t="s">
        <v>3838</v>
      </c>
      <c r="D3844" s="3" t="str">
        <f>IFERROR(__xludf.DUMMYFUNCTION("GOOGLETRANSLATE(C3844,""en"",""pl"")"),"wiatr")</f>
        <v>wiatr</v>
      </c>
    </row>
    <row r="3845">
      <c r="C3845" s="1" t="s">
        <v>3839</v>
      </c>
      <c r="D3845" s="3" t="str">
        <f>IFERROR(__xludf.DUMMYFUNCTION("GOOGLETRANSLATE(C3845,""en"",""pl"")"),"niekompletny")</f>
        <v>niekompletny</v>
      </c>
    </row>
    <row r="3846">
      <c r="C3846" s="1" t="s">
        <v>3840</v>
      </c>
      <c r="D3846" s="3" t="str">
        <f>IFERROR(__xludf.DUMMYFUNCTION("GOOGLETRANSLATE(C3846,""en"",""pl"")"),"kurczę")</f>
        <v>kurczę</v>
      </c>
    </row>
    <row r="3847">
      <c r="C3847" s="1" t="s">
        <v>3841</v>
      </c>
      <c r="D3847" s="3" t="str">
        <f>IFERROR(__xludf.DUMMYFUNCTION("GOOGLETRANSLATE(C3847,""en"",""pl"")"),"tytan")</f>
        <v>tytan</v>
      </c>
    </row>
    <row r="3848">
      <c r="C3848" s="1" t="s">
        <v>3842</v>
      </c>
      <c r="D3848" s="3" t="str">
        <f>IFERROR(__xludf.DUMMYFUNCTION("GOOGLETRANSLATE(C3848,""en"",""pl"")"),"opóźniać")</f>
        <v>opóźniać</v>
      </c>
    </row>
    <row r="3849">
      <c r="C3849" s="1" t="s">
        <v>3843</v>
      </c>
      <c r="D3849" s="3" t="str">
        <f>IFERROR(__xludf.DUMMYFUNCTION("GOOGLETRANSLATE(C3849,""en"",""pl"")"),"Agata")</f>
        <v>Agata</v>
      </c>
    </row>
    <row r="3850">
      <c r="C3850" s="1" t="s">
        <v>3844</v>
      </c>
      <c r="D3850" s="3" t="str">
        <f>IFERROR(__xludf.DUMMYFUNCTION("GOOGLETRANSLATE(C3850,""en"",""pl"")"),"dylemat")</f>
        <v>dylemat</v>
      </c>
    </row>
    <row r="3851">
      <c r="C3851" s="1" t="s">
        <v>3845</v>
      </c>
      <c r="D3851" s="3" t="str">
        <f>IFERROR(__xludf.DUMMYFUNCTION("GOOGLETRANSLATE(C3851,""en"",""pl"")"),"błazen")</f>
        <v>błazen</v>
      </c>
    </row>
    <row r="3852">
      <c r="C3852" s="1" t="s">
        <v>3846</v>
      </c>
      <c r="D3852" s="3" t="str">
        <f>IFERROR(__xludf.DUMMYFUNCTION("GOOGLETRANSLATE(C3852,""en"",""pl"")"),"znaczący")</f>
        <v>znaczący</v>
      </c>
    </row>
    <row r="3853">
      <c r="C3853" s="1" t="s">
        <v>3847</v>
      </c>
      <c r="D3853" s="3" t="str">
        <f>IFERROR(__xludf.DUMMYFUNCTION("GOOGLETRANSLATE(C3853,""en"",""pl"")"),"świątynie")</f>
        <v>świątynie</v>
      </c>
    </row>
    <row r="3854">
      <c r="C3854" s="1" t="s">
        <v>3848</v>
      </c>
      <c r="D3854" s="3" t="str">
        <f>IFERROR(__xludf.DUMMYFUNCTION("GOOGLETRANSLATE(C3854,""en"",""pl"")"),"odkurzacz")</f>
        <v>odkurzacz</v>
      </c>
    </row>
    <row r="3855">
      <c r="C3855" s="1" t="s">
        <v>3849</v>
      </c>
      <c r="D3855" s="3" t="str">
        <f>IFERROR(__xludf.DUMMYFUNCTION("GOOGLETRANSLATE(C3855,""en"",""pl"")"),"Lindsey")</f>
        <v>Lindsey</v>
      </c>
    </row>
    <row r="3856">
      <c r="C3856" s="1" t="s">
        <v>3850</v>
      </c>
      <c r="D3856" s="3" t="str">
        <f>IFERROR(__xludf.DUMMYFUNCTION("GOOGLETRANSLATE(C3856,""en"",""pl"")"),"cesarz")</f>
        <v>cesarz</v>
      </c>
    </row>
    <row r="3857">
      <c r="C3857" s="1" t="s">
        <v>3851</v>
      </c>
      <c r="D3857" s="3" t="str">
        <f>IFERROR(__xludf.DUMMYFUNCTION("GOOGLETRANSLATE(C3857,""en"",""pl"")"),"tymczasowy")</f>
        <v>tymczasowy</v>
      </c>
    </row>
    <row r="3858">
      <c r="C3858" s="1" t="s">
        <v>3852</v>
      </c>
      <c r="D3858" s="3" t="str">
        <f>IFERROR(__xludf.DUMMYFUNCTION("GOOGLETRANSLATE(C3858,""en"",""pl"")"),"konsul")</f>
        <v>konsul</v>
      </c>
    </row>
    <row r="3859">
      <c r="C3859" s="1" t="s">
        <v>3853</v>
      </c>
      <c r="D3859" s="3" t="str">
        <f>IFERROR(__xludf.DUMMYFUNCTION("GOOGLETRANSLATE(C3859,""en"",""pl"")"),"fryzjer")</f>
        <v>fryzjer</v>
      </c>
    </row>
    <row r="3860">
      <c r="C3860" s="1" t="s">
        <v>3854</v>
      </c>
      <c r="D3860" s="3" t="str">
        <f>IFERROR(__xludf.DUMMYFUNCTION("GOOGLETRANSLATE(C3860,""en"",""pl"")"),"sadzenie")</f>
        <v>sadzenie</v>
      </c>
    </row>
    <row r="3861">
      <c r="C3861" s="1" t="s">
        <v>3855</v>
      </c>
      <c r="D3861" s="3" t="str">
        <f>IFERROR(__xludf.DUMMYFUNCTION("GOOGLETRANSLATE(C3861,""en"",""pl"")"),"drony")</f>
        <v>drony</v>
      </c>
    </row>
    <row r="3862">
      <c r="C3862" s="1" t="s">
        <v>3856</v>
      </c>
      <c r="D3862" s="3" t="str">
        <f>IFERROR(__xludf.DUMMYFUNCTION("GOOGLETRANSLATE(C3862,""en"",""pl"")"),"usprawiedliwiony")</f>
        <v>usprawiedliwiony</v>
      </c>
    </row>
    <row r="3863">
      <c r="C3863" s="1" t="s">
        <v>3857</v>
      </c>
      <c r="D3863" s="3" t="str">
        <f>IFERROR(__xludf.DUMMYFUNCTION("GOOGLETRANSLATE(C3863,""en"",""pl"")"),"Jensen")</f>
        <v>Jensen</v>
      </c>
    </row>
    <row r="3864">
      <c r="C3864" s="1" t="s">
        <v>3858</v>
      </c>
      <c r="D3864" s="3" t="str">
        <f>IFERROR(__xludf.DUMMYFUNCTION("GOOGLETRANSLATE(C3864,""en"",""pl"")"),"farsz")</f>
        <v>farsz</v>
      </c>
    </row>
    <row r="3865">
      <c r="C3865" s="1" t="s">
        <v>3859</v>
      </c>
      <c r="D3865" s="3" t="str">
        <f>IFERROR(__xludf.DUMMYFUNCTION("GOOGLETRANSLATE(C3865,""en"",""pl"")"),"norweski")</f>
        <v>norweski</v>
      </c>
    </row>
    <row r="3866">
      <c r="C3866" s="1" t="s">
        <v>3860</v>
      </c>
      <c r="D3866" s="3" t="str">
        <f>IFERROR(__xludf.DUMMYFUNCTION("GOOGLETRANSLATE(C3866,""en"",""pl"")"),"głupek")</f>
        <v>głupek</v>
      </c>
    </row>
    <row r="3867">
      <c r="C3867" s="1" t="s">
        <v>3861</v>
      </c>
      <c r="D3867" s="3" t="str">
        <f>IFERROR(__xludf.DUMMYFUNCTION("GOOGLETRANSLATE(C3867,""en"",""pl"")"),"Opóźnienie")</f>
        <v>Opóźnienie</v>
      </c>
    </row>
    <row r="3868">
      <c r="C3868" s="1" t="s">
        <v>3862</v>
      </c>
      <c r="D3868" s="3" t="str">
        <f>IFERROR(__xludf.DUMMYFUNCTION("GOOGLETRANSLATE(C3868,""en"",""pl"")"),"urodziny")</f>
        <v>urodziny</v>
      </c>
    </row>
    <row r="3869">
      <c r="C3869" s="1" t="s">
        <v>3863</v>
      </c>
      <c r="D3869" s="3" t="str">
        <f>IFERROR(__xludf.DUMMYFUNCTION("GOOGLETRANSLATE(C3869,""en"",""pl"")"),"intymność")</f>
        <v>intymność</v>
      </c>
    </row>
    <row r="3870">
      <c r="C3870" s="1" t="s">
        <v>3864</v>
      </c>
      <c r="D3870" s="3" t="str">
        <f>IFERROR(__xludf.DUMMYFUNCTION("GOOGLETRANSLATE(C3870,""en"",""pl"")"),"schowany")</f>
        <v>schowany</v>
      </c>
    </row>
    <row r="3871">
      <c r="C3871" s="1" t="s">
        <v>3865</v>
      </c>
      <c r="D3871" s="3" t="str">
        <f>IFERROR(__xludf.DUMMYFUNCTION("GOOGLETRANSLATE(C3871,""en"",""pl"")"),"egzaminator")</f>
        <v>egzaminator</v>
      </c>
    </row>
    <row r="3872">
      <c r="C3872" s="1" t="s">
        <v>3866</v>
      </c>
      <c r="D3872" s="3" t="str">
        <f>IFERROR(__xludf.DUMMYFUNCTION("GOOGLETRANSLATE(C3872,""en"",""pl"")"),"zakwalifikować")</f>
        <v>zakwalifikować</v>
      </c>
    </row>
    <row r="3873">
      <c r="C3873" s="1" t="s">
        <v>3867</v>
      </c>
      <c r="D3873" s="3" t="str">
        <f>IFERROR(__xludf.DUMMYFUNCTION("GOOGLETRANSLATE(C3873,""en"",""pl"")"),"nadciągający")</f>
        <v>nadciągający</v>
      </c>
    </row>
    <row r="3874">
      <c r="C3874" s="1" t="s">
        <v>3868</v>
      </c>
      <c r="D3874" s="3" t="str">
        <f>IFERROR(__xludf.DUMMYFUNCTION("GOOGLETRANSLATE(C3874,""en"",""pl"")"),"zamaskowany")</f>
        <v>zamaskowany</v>
      </c>
    </row>
    <row r="3875">
      <c r="C3875" s="1" t="s">
        <v>3869</v>
      </c>
      <c r="D3875" s="3" t="str">
        <f>IFERROR(__xludf.DUMMYFUNCTION("GOOGLETRANSLATE(C3875,""en"",""pl"")"),"diesel")</f>
        <v>diesel</v>
      </c>
    </row>
    <row r="3876">
      <c r="C3876" s="1" t="s">
        <v>3870</v>
      </c>
      <c r="D3876" s="3" t="str">
        <f>IFERROR(__xludf.DUMMYFUNCTION("GOOGLETRANSLATE(C3876,""en"",""pl"")"),"medytacja")</f>
        <v>medytacja</v>
      </c>
    </row>
    <row r="3877">
      <c r="C3877" s="1" t="s">
        <v>3871</v>
      </c>
      <c r="D3877" s="3" t="str">
        <f>IFERROR(__xludf.DUMMYFUNCTION("GOOGLETRANSLATE(C3877,""en"",""pl"")"),"cielsko")</f>
        <v>cielsko</v>
      </c>
    </row>
    <row r="3878">
      <c r="C3878" s="1" t="s">
        <v>3872</v>
      </c>
      <c r="D3878" s="3" t="str">
        <f>IFERROR(__xludf.DUMMYFUNCTION("GOOGLETRANSLATE(C3878,""en"",""pl"")"),"sojusznik")</f>
        <v>sojusznik</v>
      </c>
    </row>
    <row r="3879">
      <c r="C3879" s="1" t="s">
        <v>3873</v>
      </c>
      <c r="D3879" s="3" t="str">
        <f>IFERROR(__xludf.DUMMYFUNCTION("GOOGLETRANSLATE(C3879,""en"",""pl"")"),"zaskarżyć")</f>
        <v>zaskarżyć</v>
      </c>
    </row>
    <row r="3880">
      <c r="C3880" s="1" t="s">
        <v>3874</v>
      </c>
      <c r="D3880" s="3" t="str">
        <f>IFERROR(__xludf.DUMMYFUNCTION("GOOGLETRANSLATE(C3880,""en"",""pl"")"),"mruczy")</f>
        <v>mruczy</v>
      </c>
    </row>
    <row r="3881">
      <c r="C3881" s="1" t="s">
        <v>3875</v>
      </c>
      <c r="D3881" s="3" t="str">
        <f>IFERROR(__xludf.DUMMYFUNCTION("GOOGLETRANSLATE(C3881,""en"",""pl"")"),"zdefiniowany")</f>
        <v>zdefiniowany</v>
      </c>
    </row>
    <row r="3882">
      <c r="C3882" s="1" t="s">
        <v>3876</v>
      </c>
      <c r="D3882" s="3" t="str">
        <f>IFERROR(__xludf.DUMMYFUNCTION("GOOGLETRANSLATE(C3882,""en"",""pl"")"),"Oklahoma")</f>
        <v>Oklahoma</v>
      </c>
    </row>
    <row r="3883">
      <c r="C3883" s="1" t="s">
        <v>3877</v>
      </c>
      <c r="D3883" s="3" t="str">
        <f>IFERROR(__xludf.DUMMYFUNCTION("GOOGLETRANSLATE(C3883,""en"",""pl"")"),"łapa")</f>
        <v>łapa</v>
      </c>
    </row>
    <row r="3884">
      <c r="C3884" s="1" t="s">
        <v>3878</v>
      </c>
      <c r="D3884" s="3" t="str">
        <f>IFERROR(__xludf.DUMMYFUNCTION("GOOGLETRANSLATE(C3884,""en"",""pl"")"),"domyślny")</f>
        <v>domyślny</v>
      </c>
    </row>
    <row r="3885">
      <c r="C3885" s="1" t="s">
        <v>3879</v>
      </c>
      <c r="D3885" s="3" t="str">
        <f>IFERROR(__xludf.DUMMYFUNCTION("GOOGLETRANSLATE(C3885,""en"",""pl"")"),"przeczołgał się")</f>
        <v>przeczołgał się</v>
      </c>
    </row>
    <row r="3886">
      <c r="C3886" s="1" t="s">
        <v>3880</v>
      </c>
      <c r="D3886" s="3" t="str">
        <f>IFERROR(__xludf.DUMMYFUNCTION("GOOGLETRANSLATE(C3886,""en"",""pl"")"),"pączki")</f>
        <v>pączki</v>
      </c>
    </row>
    <row r="3887">
      <c r="C3887" s="1" t="s">
        <v>3881</v>
      </c>
      <c r="D3887" s="3" t="str">
        <f>IFERROR(__xludf.DUMMYFUNCTION("GOOGLETRANSLATE(C3887,""en"",""pl"")"),"margot")</f>
        <v>margot</v>
      </c>
    </row>
    <row r="3888">
      <c r="C3888" s="1" t="s">
        <v>3882</v>
      </c>
      <c r="D3888" s="3" t="str">
        <f>IFERROR(__xludf.DUMMYFUNCTION("GOOGLETRANSLATE(C3888,""en"",""pl"")"),"natarczywy")</f>
        <v>natarczywy</v>
      </c>
    </row>
    <row r="3889">
      <c r="C3889" s="1" t="s">
        <v>3883</v>
      </c>
      <c r="D3889" s="3" t="str">
        <f>IFERROR(__xludf.DUMMYFUNCTION("GOOGLETRANSLATE(C3889,""en"",""pl"")"),"schody")</f>
        <v>schody</v>
      </c>
    </row>
    <row r="3890">
      <c r="C3890" s="1" t="s">
        <v>3884</v>
      </c>
      <c r="D3890" s="3" t="str">
        <f>IFERROR(__xludf.DUMMYFUNCTION("GOOGLETRANSLATE(C3890,""en"",""pl"")"),"postępy")</f>
        <v>postępy</v>
      </c>
    </row>
    <row r="3891">
      <c r="C3891" s="1" t="s">
        <v>3885</v>
      </c>
      <c r="D3891" s="3" t="str">
        <f>IFERROR(__xludf.DUMMYFUNCTION("GOOGLETRANSLATE(C3891,""en"",""pl"")"),"rozwiązania")</f>
        <v>rozwiązania</v>
      </c>
    </row>
    <row r="3892">
      <c r="C3892" s="1" t="s">
        <v>3886</v>
      </c>
      <c r="D3892" s="3" t="str">
        <f>IFERROR(__xludf.DUMMYFUNCTION("GOOGLETRANSLATE(C3892,""en"",""pl"")"),"tynk")</f>
        <v>tynk</v>
      </c>
    </row>
    <row r="3893">
      <c r="C3893" s="1" t="s">
        <v>3887</v>
      </c>
      <c r="D3893" s="3" t="str">
        <f>IFERROR(__xludf.DUMMYFUNCTION("GOOGLETRANSLATE(C3893,""en"",""pl"")"),"obrady")</f>
        <v>obrady</v>
      </c>
    </row>
    <row r="3894">
      <c r="C3894" s="1" t="s">
        <v>3888</v>
      </c>
      <c r="D3894" s="3" t="str">
        <f>IFERROR(__xludf.DUMMYFUNCTION("GOOGLETRANSLATE(C3894,""en"",""pl"")"),"odszkodowanie")</f>
        <v>odszkodowanie</v>
      </c>
    </row>
    <row r="3895">
      <c r="C3895" s="1" t="s">
        <v>3889</v>
      </c>
      <c r="D3895" s="3" t="str">
        <f>IFERROR(__xludf.DUMMYFUNCTION("GOOGLETRANSLATE(C3895,""en"",""pl"")"),"braterstwo")</f>
        <v>braterstwo</v>
      </c>
    </row>
    <row r="3896">
      <c r="C3896" s="1" t="s">
        <v>3890</v>
      </c>
      <c r="D3896" s="3" t="str">
        <f>IFERROR(__xludf.DUMMYFUNCTION("GOOGLETRANSLATE(C3896,""en"",""pl"")"),"Freud")</f>
        <v>Freud</v>
      </c>
    </row>
    <row r="3897">
      <c r="C3897" s="1" t="s">
        <v>3891</v>
      </c>
      <c r="D3897" s="3" t="str">
        <f>IFERROR(__xludf.DUMMYFUNCTION("GOOGLETRANSLATE(C3897,""en"",""pl"")"),"armaty")</f>
        <v>armaty</v>
      </c>
    </row>
    <row r="3898">
      <c r="C3898" s="1" t="s">
        <v>3892</v>
      </c>
      <c r="D3898" s="3" t="str">
        <f>IFERROR(__xludf.DUMMYFUNCTION("GOOGLETRANSLATE(C3898,""en"",""pl"")"),"Kendal")</f>
        <v>Kendal</v>
      </c>
    </row>
    <row r="3899">
      <c r="C3899" s="1" t="s">
        <v>3893</v>
      </c>
      <c r="D3899" s="3" t="str">
        <f>IFERROR(__xludf.DUMMYFUNCTION("GOOGLETRANSLATE(C3899,""en"",""pl"")"),"opancerzony")</f>
        <v>opancerzony</v>
      </c>
    </row>
    <row r="3900">
      <c r="C3900" s="1" t="s">
        <v>3894</v>
      </c>
      <c r="D3900" s="3" t="str">
        <f>IFERROR(__xludf.DUMMYFUNCTION("GOOGLETRANSLATE(C3900,""en"",""pl"")"),"kolonie")</f>
        <v>kolonie</v>
      </c>
    </row>
    <row r="3901">
      <c r="C3901" s="1" t="s">
        <v>3895</v>
      </c>
      <c r="D3901" s="3" t="str">
        <f>IFERROR(__xludf.DUMMYFUNCTION("GOOGLETRANSLATE(C3901,""en"",""pl"")"),"Perez")</f>
        <v>Perez</v>
      </c>
    </row>
    <row r="3902">
      <c r="C3902" s="1" t="s">
        <v>3896</v>
      </c>
      <c r="D3902" s="3" t="str">
        <f>IFERROR(__xludf.DUMMYFUNCTION("GOOGLETRANSLATE(C3902,""en"",""pl"")"),"ptaszyna")</f>
        <v>ptaszyna</v>
      </c>
    </row>
    <row r="3903">
      <c r="C3903" s="1" t="s">
        <v>3897</v>
      </c>
      <c r="D3903" s="3" t="str">
        <f>IFERROR(__xludf.DUMMYFUNCTION("GOOGLETRANSLATE(C3903,""en"",""pl"")"),"wulkaniczny")</f>
        <v>wulkaniczny</v>
      </c>
    </row>
    <row r="3904">
      <c r="C3904" s="1" t="s">
        <v>3898</v>
      </c>
      <c r="D3904" s="3" t="str">
        <f>IFERROR(__xludf.DUMMYFUNCTION("GOOGLETRANSLATE(C3904,""en"",""pl"")"),"Samson")</f>
        <v>Samson</v>
      </c>
    </row>
    <row r="3905">
      <c r="C3905" s="1" t="s">
        <v>3899</v>
      </c>
      <c r="D3905" s="3" t="str">
        <f>IFERROR(__xludf.DUMMYFUNCTION("GOOGLETRANSLATE(C3905,""en"",""pl"")"),"Kleopatra")</f>
        <v>Kleopatra</v>
      </c>
    </row>
    <row r="3906">
      <c r="C3906" s="1" t="s">
        <v>3900</v>
      </c>
      <c r="D3906" s="3" t="str">
        <f>IFERROR(__xludf.DUMMYFUNCTION("GOOGLETRANSLATE(C3906,""en"",""pl"")"),"rzeźbić")</f>
        <v>rzeźbić</v>
      </c>
    </row>
    <row r="3907">
      <c r="C3907" s="1" t="s">
        <v>3901</v>
      </c>
      <c r="D3907" s="3" t="str">
        <f>IFERROR(__xludf.DUMMYFUNCTION("GOOGLETRANSLATE(C3907,""en"",""pl"")"),"rybacy")</f>
        <v>rybacy</v>
      </c>
    </row>
    <row r="3908">
      <c r="C3908" s="1" t="s">
        <v>3902</v>
      </c>
      <c r="D3908" s="3" t="str">
        <f>IFERROR(__xludf.DUMMYFUNCTION("GOOGLETRANSLATE(C3908,""en"",""pl"")"),"skraj")</f>
        <v>skraj</v>
      </c>
    </row>
    <row r="3909">
      <c r="C3909" s="1" t="s">
        <v>3903</v>
      </c>
      <c r="D3909" s="3" t="str">
        <f>IFERROR(__xludf.DUMMYFUNCTION("GOOGLETRANSLATE(C3909,""en"",""pl"")"),"grać")</f>
        <v>grać</v>
      </c>
    </row>
    <row r="3910">
      <c r="C3910" s="1" t="s">
        <v>3904</v>
      </c>
      <c r="D3910" s="3" t="str">
        <f>IFERROR(__xludf.DUMMYFUNCTION("GOOGLETRANSLATE(C3910,""en"",""pl"")"),"marsjański")</f>
        <v>marsjański</v>
      </c>
    </row>
    <row r="3911">
      <c r="C3911" s="1" t="s">
        <v>3905</v>
      </c>
      <c r="D3911" s="3" t="str">
        <f>IFERROR(__xludf.DUMMYFUNCTION("GOOGLETRANSLATE(C3911,""en"",""pl"")"),"hybrydowy")</f>
        <v>hybrydowy</v>
      </c>
    </row>
    <row r="3912">
      <c r="C3912" s="1" t="s">
        <v>3906</v>
      </c>
      <c r="D3912" s="3" t="str">
        <f>IFERROR(__xludf.DUMMYFUNCTION("GOOGLETRANSLATE(C3912,""en"",""pl"")"),"nokaut")</f>
        <v>nokaut</v>
      </c>
    </row>
    <row r="3913">
      <c r="C3913" s="1" t="s">
        <v>3907</v>
      </c>
      <c r="D3913" s="3" t="str">
        <f>IFERROR(__xludf.DUMMYFUNCTION("GOOGLETRANSLATE(C3913,""en"",""pl"")"),"kawałek")</f>
        <v>kawałek</v>
      </c>
    </row>
    <row r="3914">
      <c r="C3914" s="1" t="s">
        <v>3908</v>
      </c>
      <c r="D3914" s="3" t="str">
        <f>IFERROR(__xludf.DUMMYFUNCTION("GOOGLETRANSLATE(C3914,""en"",""pl"")"),"skonstruowany")</f>
        <v>skonstruowany</v>
      </c>
    </row>
    <row r="3915">
      <c r="C3915" s="1" t="s">
        <v>3909</v>
      </c>
      <c r="D3915" s="3" t="str">
        <f>IFERROR(__xludf.DUMMYFUNCTION("GOOGLETRANSLATE(C3915,""en"",""pl"")"),"skonfiskowany")</f>
        <v>skonfiskowany</v>
      </c>
    </row>
    <row r="3916">
      <c r="C3916" s="1" t="s">
        <v>3910</v>
      </c>
      <c r="D3916" s="3" t="str">
        <f>IFERROR(__xludf.DUMMYFUNCTION("GOOGLETRANSLATE(C3916,""en"",""pl"")"),"przesłuchać")</f>
        <v>przesłuchać</v>
      </c>
    </row>
    <row r="3917">
      <c r="C3917" s="1" t="s">
        <v>3911</v>
      </c>
      <c r="D3917" s="3" t="str">
        <f>IFERROR(__xludf.DUMMYFUNCTION("GOOGLETRANSLATE(C3917,""en"",""pl"")"),"podróżnik")</f>
        <v>podróżnik</v>
      </c>
    </row>
    <row r="3918">
      <c r="C3918" s="1" t="s">
        <v>3912</v>
      </c>
      <c r="D3918" s="3" t="str">
        <f>IFERROR(__xludf.DUMMYFUNCTION("GOOGLETRANSLATE(C3918,""en"",""pl"")"),"Oprah")</f>
        <v>Oprah</v>
      </c>
    </row>
    <row r="3919">
      <c r="C3919" s="1" t="s">
        <v>3913</v>
      </c>
      <c r="D3919" s="3" t="str">
        <f>IFERROR(__xludf.DUMMYFUNCTION("GOOGLETRANSLATE(C3919,""en"",""pl"")"),"handel")</f>
        <v>handel</v>
      </c>
    </row>
    <row r="3920">
      <c r="C3920" s="1" t="s">
        <v>3914</v>
      </c>
      <c r="D3920" s="3" t="str">
        <f>IFERROR(__xludf.DUMMYFUNCTION("GOOGLETRANSLATE(C3920,""en"",""pl"")"),"t.j.")</f>
        <v>t.j.</v>
      </c>
    </row>
    <row r="3921">
      <c r="C3921" s="1" t="s">
        <v>3915</v>
      </c>
      <c r="D3921" s="3" t="str">
        <f>IFERROR(__xludf.DUMMYFUNCTION("GOOGLETRANSLATE(C3921,""en"",""pl"")"),"zadania")</f>
        <v>zadania</v>
      </c>
    </row>
    <row r="3922">
      <c r="C3922" s="1" t="s">
        <v>3916</v>
      </c>
      <c r="D3922" s="3" t="str">
        <f>IFERROR(__xludf.DUMMYFUNCTION("GOOGLETRANSLATE(C3922,""en"",""pl"")"),"ostrożność")</f>
        <v>ostrożność</v>
      </c>
    </row>
    <row r="3923">
      <c r="C3923" s="1" t="s">
        <v>3917</v>
      </c>
      <c r="D3923" s="3" t="str">
        <f>IFERROR(__xludf.DUMMYFUNCTION("GOOGLETRANSLATE(C3923,""en"",""pl"")"),"drukarka")</f>
        <v>drukarka</v>
      </c>
    </row>
    <row r="3924">
      <c r="C3924" s="1" t="s">
        <v>3918</v>
      </c>
      <c r="D3924" s="3" t="str">
        <f>IFERROR(__xludf.DUMMYFUNCTION("GOOGLETRANSLATE(C3924,""en"",""pl"")"),"wykończenia")</f>
        <v>wykończenia</v>
      </c>
    </row>
    <row r="3925">
      <c r="C3925" s="1" t="s">
        <v>3919</v>
      </c>
      <c r="D3925" s="3" t="str">
        <f>IFERROR(__xludf.DUMMYFUNCTION("GOOGLETRANSLATE(C3925,""en"",""pl"")"),"rossi")</f>
        <v>rossi</v>
      </c>
    </row>
    <row r="3926">
      <c r="C3926" s="1" t="s">
        <v>3920</v>
      </c>
      <c r="D3926" s="3" t="str">
        <f>IFERROR(__xludf.DUMMYFUNCTION("GOOGLETRANSLATE(C3926,""en"",""pl"")"),"gafa")</f>
        <v>gafa</v>
      </c>
    </row>
    <row r="3927">
      <c r="C3927" s="1" t="s">
        <v>3921</v>
      </c>
      <c r="D3927" s="3" t="str">
        <f>IFERROR(__xludf.DUMMYFUNCTION("GOOGLETRANSLATE(C3927,""en"",""pl"")"),"dokuczliwy")</f>
        <v>dokuczliwy</v>
      </c>
    </row>
    <row r="3928">
      <c r="C3928" s="1" t="s">
        <v>3922</v>
      </c>
      <c r="D3928" s="3" t="str">
        <f>IFERROR(__xludf.DUMMYFUNCTION("GOOGLETRANSLATE(C3928,""en"",""pl"")"),"Szczepan")</f>
        <v>Szczepan</v>
      </c>
    </row>
    <row r="3929">
      <c r="C3929" s="1" t="s">
        <v>3923</v>
      </c>
      <c r="D3929" s="3" t="str">
        <f>IFERROR(__xludf.DUMMYFUNCTION("GOOGLETRANSLATE(C3929,""en"",""pl"")"),"wiedźma")</f>
        <v>wiedźma</v>
      </c>
    </row>
    <row r="3930">
      <c r="C3930" s="1" t="s">
        <v>3924</v>
      </c>
      <c r="D3930" s="3" t="str">
        <f>IFERROR(__xludf.DUMMYFUNCTION("GOOGLETRANSLATE(C3930,""en"",""pl"")"),"skórnik")</f>
        <v>skórnik</v>
      </c>
    </row>
    <row r="3931">
      <c r="C3931" s="1" t="s">
        <v>3925</v>
      </c>
      <c r="D3931" s="3" t="str">
        <f>IFERROR(__xludf.DUMMYFUNCTION("GOOGLETRANSLATE(C3931,""en"",""pl"")"),"pora lunchu")</f>
        <v>pora lunchu</v>
      </c>
    </row>
    <row r="3932">
      <c r="C3932" s="1" t="s">
        <v>3926</v>
      </c>
      <c r="D3932" s="3" t="str">
        <f>IFERROR(__xludf.DUMMYFUNCTION("GOOGLETRANSLATE(C3932,""en"",""pl"")"),"importowany")</f>
        <v>importowany</v>
      </c>
    </row>
    <row r="3933">
      <c r="C3933" s="1" t="s">
        <v>3927</v>
      </c>
      <c r="D3933" s="3" t="str">
        <f>IFERROR(__xludf.DUMMYFUNCTION("GOOGLETRANSLATE(C3933,""en"",""pl"")"),"transkrypcja")</f>
        <v>transkrypcja</v>
      </c>
    </row>
    <row r="3934">
      <c r="C3934" s="1" t="s">
        <v>3928</v>
      </c>
      <c r="D3934" s="3" t="str">
        <f>IFERROR(__xludf.DUMMYFUNCTION("GOOGLETRANSLATE(C3934,""en"",""pl"")"),"życie")</f>
        <v>życie</v>
      </c>
    </row>
    <row r="3935">
      <c r="C3935" s="1" t="s">
        <v>3929</v>
      </c>
      <c r="D3935" s="3" t="str">
        <f>IFERROR(__xludf.DUMMYFUNCTION("GOOGLETRANSLATE(C3935,""en"",""pl"")"),"ukryć")</f>
        <v>ukryć</v>
      </c>
    </row>
    <row r="3936">
      <c r="C3936" s="1" t="s">
        <v>3930</v>
      </c>
      <c r="D3936" s="3" t="str">
        <f>IFERROR(__xludf.DUMMYFUNCTION("GOOGLETRANSLATE(C3936,""en"",""pl"")"),"wykrzykiwać")</f>
        <v>wykrzykiwać</v>
      </c>
    </row>
    <row r="3937">
      <c r="C3937" s="1" t="s">
        <v>3931</v>
      </c>
      <c r="D3937" s="3" t="str">
        <f>IFERROR(__xludf.DUMMYFUNCTION("GOOGLETRANSLATE(C3937,""en"",""pl"")"),"dyszeć")</f>
        <v>dyszeć</v>
      </c>
    </row>
    <row r="3938">
      <c r="C3938" s="1" t="s">
        <v>3932</v>
      </c>
      <c r="D3938" s="3" t="str">
        <f>IFERROR(__xludf.DUMMYFUNCTION("GOOGLETRANSLATE(C3938,""en"",""pl"")"),"sylas")</f>
        <v>sylas</v>
      </c>
    </row>
    <row r="3939">
      <c r="C3939" s="1" t="s">
        <v>3933</v>
      </c>
      <c r="D3939" s="3" t="str">
        <f>IFERROR(__xludf.DUMMYFUNCTION("GOOGLETRANSLATE(C3939,""en"",""pl"")"),"paranoja")</f>
        <v>paranoja</v>
      </c>
    </row>
    <row r="3940">
      <c r="C3940" s="1" t="s">
        <v>3934</v>
      </c>
      <c r="D3940" s="3" t="str">
        <f>IFERROR(__xludf.DUMMYFUNCTION("GOOGLETRANSLATE(C3940,""en"",""pl"")"),"zmuszony")</f>
        <v>zmuszony</v>
      </c>
    </row>
    <row r="3941">
      <c r="C3941" s="1" t="s">
        <v>3935</v>
      </c>
      <c r="D3941" s="3" t="str">
        <f>IFERROR(__xludf.DUMMYFUNCTION("GOOGLETRANSLATE(C3941,""en"",""pl"")"),"style")</f>
        <v>style</v>
      </c>
    </row>
    <row r="3942">
      <c r="C3942" s="1" t="s">
        <v>3936</v>
      </c>
      <c r="D3942" s="3" t="str">
        <f>IFERROR(__xludf.DUMMYFUNCTION("GOOGLETRANSLATE(C3942,""en"",""pl"")"),"przewieziony drogą lotniczą")</f>
        <v>przewieziony drogą lotniczą</v>
      </c>
    </row>
    <row r="3943">
      <c r="C3943" s="1" t="s">
        <v>3937</v>
      </c>
      <c r="D3943" s="3" t="str">
        <f>IFERROR(__xludf.DUMMYFUNCTION("GOOGLETRANSLATE(C3943,""en"",""pl"")"),"sentyment")</f>
        <v>sentyment</v>
      </c>
    </row>
    <row r="3944">
      <c r="C3944" s="1" t="s">
        <v>3938</v>
      </c>
      <c r="D3944" s="3" t="str">
        <f>IFERROR(__xludf.DUMMYFUNCTION("GOOGLETRANSLATE(C3944,""en"",""pl"")"),"Syria")</f>
        <v>Syria</v>
      </c>
    </row>
    <row r="3945">
      <c r="C3945" s="1" t="s">
        <v>3939</v>
      </c>
      <c r="D3945" s="3" t="str">
        <f>IFERROR(__xludf.DUMMYFUNCTION("GOOGLETRANSLATE(C3945,""en"",""pl"")"),"groch")</f>
        <v>groch</v>
      </c>
    </row>
    <row r="3946">
      <c r="C3946" s="1" t="s">
        <v>3940</v>
      </c>
      <c r="D3946" s="3" t="str">
        <f>IFERROR(__xludf.DUMMYFUNCTION("GOOGLETRANSLATE(C3946,""en"",""pl"")"),"opieka nad dziećmi")</f>
        <v>opieka nad dziećmi</v>
      </c>
    </row>
    <row r="3947">
      <c r="C3947" s="1" t="s">
        <v>3941</v>
      </c>
      <c r="D3947" s="3" t="str">
        <f>IFERROR(__xludf.DUMMYFUNCTION("GOOGLETRANSLATE(C3947,""en"",""pl"")"),"poprawiający się")</f>
        <v>poprawiający się</v>
      </c>
    </row>
    <row r="3948">
      <c r="C3948" s="1" t="s">
        <v>3942</v>
      </c>
      <c r="D3948" s="3" t="str">
        <f>IFERROR(__xludf.DUMMYFUNCTION("GOOGLETRANSLATE(C3948,""en"",""pl"")"),"zając")</f>
        <v>zając</v>
      </c>
    </row>
    <row r="3949">
      <c r="C3949" s="1" t="s">
        <v>3943</v>
      </c>
      <c r="D3949" s="3" t="str">
        <f>IFERROR(__xludf.DUMMYFUNCTION("GOOGLETRANSLATE(C3949,""en"",""pl"")"),"łączy")</f>
        <v>łączy</v>
      </c>
    </row>
    <row r="3950">
      <c r="C3950" s="1" t="s">
        <v>3944</v>
      </c>
      <c r="D3950" s="3" t="str">
        <f>IFERROR(__xludf.DUMMYFUNCTION("GOOGLETRANSLATE(C3950,""en"",""pl"")"),"zamknięty w sobie")</f>
        <v>zamknięty w sobie</v>
      </c>
    </row>
    <row r="3951">
      <c r="C3951" s="1" t="s">
        <v>3945</v>
      </c>
      <c r="D3951" s="3" t="str">
        <f>IFERROR(__xludf.DUMMYFUNCTION("GOOGLETRANSLATE(C3951,""en"",""pl"")"),"wystawiany na scenie")</f>
        <v>wystawiany na scenie</v>
      </c>
    </row>
    <row r="3952">
      <c r="C3952" s="1" t="s">
        <v>3946</v>
      </c>
      <c r="D3952" s="3" t="str">
        <f>IFERROR(__xludf.DUMMYFUNCTION("GOOGLETRANSLATE(C3952,""en"",""pl"")"),"Anglik")</f>
        <v>Anglik</v>
      </c>
    </row>
    <row r="3953">
      <c r="C3953" s="1" t="s">
        <v>3947</v>
      </c>
      <c r="D3953" s="3" t="str">
        <f>IFERROR(__xludf.DUMMYFUNCTION("GOOGLETRANSLATE(C3953,""en"",""pl"")"),"hopkins")</f>
        <v>hopkins</v>
      </c>
    </row>
    <row r="3954">
      <c r="C3954" s="1" t="s">
        <v>3948</v>
      </c>
      <c r="D3954" s="3" t="str">
        <f>IFERROR(__xludf.DUMMYFUNCTION("GOOGLETRANSLATE(C3954,""en"",""pl"")"),"lakierki")</f>
        <v>lakierki</v>
      </c>
    </row>
    <row r="3955">
      <c r="C3955" s="1" t="s">
        <v>3949</v>
      </c>
      <c r="D3955" s="3" t="str">
        <f>IFERROR(__xludf.DUMMYFUNCTION("GOOGLETRANSLATE(C3955,""en"",""pl"")"),"wspaniały")</f>
        <v>wspaniały</v>
      </c>
    </row>
    <row r="3956">
      <c r="C3956" s="1" t="s">
        <v>3950</v>
      </c>
      <c r="D3956" s="3" t="str">
        <f>IFERROR(__xludf.DUMMYFUNCTION("GOOGLETRANSLATE(C3956,""en"",""pl"")"),"ręczyć")</f>
        <v>ręczyć</v>
      </c>
    </row>
    <row r="3957">
      <c r="C3957" s="1" t="s">
        <v>3951</v>
      </c>
      <c r="D3957" s="3" t="str">
        <f>IFERROR(__xludf.DUMMYFUNCTION("GOOGLETRANSLATE(C3957,""en"",""pl"")"),"wskazany")</f>
        <v>wskazany</v>
      </c>
    </row>
    <row r="3958">
      <c r="C3958" s="1" t="s">
        <v>3952</v>
      </c>
      <c r="D3958" s="3" t="str">
        <f>IFERROR(__xludf.DUMMYFUNCTION("GOOGLETRANSLATE(C3958,""en"",""pl"")"),"recenzje")</f>
        <v>recenzje</v>
      </c>
    </row>
    <row r="3959">
      <c r="C3959" s="1" t="s">
        <v>3953</v>
      </c>
      <c r="D3959" s="3" t="str">
        <f>IFERROR(__xludf.DUMMYFUNCTION("GOOGLETRANSLATE(C3959,""en"",""pl"")"),"Krystyna")</f>
        <v>Krystyna</v>
      </c>
    </row>
    <row r="3960">
      <c r="C3960" s="1" t="s">
        <v>3954</v>
      </c>
      <c r="D3960" s="3" t="str">
        <f>IFERROR(__xludf.DUMMYFUNCTION("GOOGLETRANSLATE(C3960,""en"",""pl"")"),"Yukii")</f>
        <v>Yukii</v>
      </c>
    </row>
    <row r="3961">
      <c r="C3961" s="1" t="s">
        <v>3955</v>
      </c>
      <c r="D3961" s="3" t="str">
        <f>IFERROR(__xludf.DUMMYFUNCTION("GOOGLETRANSLATE(C3961,""en"",""pl"")"),"bardzo")</f>
        <v>bardzo</v>
      </c>
    </row>
    <row r="3962">
      <c r="C3962" s="1" t="s">
        <v>3956</v>
      </c>
      <c r="D3962" s="3" t="str">
        <f>IFERROR(__xludf.DUMMYFUNCTION("GOOGLETRANSLATE(C3962,""en"",""pl"")"),"trywialny")</f>
        <v>trywialny</v>
      </c>
    </row>
    <row r="3963">
      <c r="C3963" s="1" t="s">
        <v>3957</v>
      </c>
      <c r="D3963" s="3" t="str">
        <f>IFERROR(__xludf.DUMMYFUNCTION("GOOGLETRANSLATE(C3963,""en"",""pl"")"),"paczka")</f>
        <v>paczka</v>
      </c>
    </row>
    <row r="3964">
      <c r="C3964" s="1" t="s">
        <v>3958</v>
      </c>
      <c r="D3964" s="3" t="str">
        <f>IFERROR(__xludf.DUMMYFUNCTION("GOOGLETRANSLATE(C3964,""en"",""pl"")"),"zwój")</f>
        <v>zwój</v>
      </c>
    </row>
    <row r="3965">
      <c r="C3965" s="1" t="s">
        <v>3959</v>
      </c>
      <c r="D3965" s="3" t="str">
        <f>IFERROR(__xludf.DUMMYFUNCTION("GOOGLETRANSLATE(C3965,""en"",""pl"")"),"pożądany")</f>
        <v>pożądany</v>
      </c>
    </row>
    <row r="3966">
      <c r="C3966" s="1" t="s">
        <v>3960</v>
      </c>
      <c r="D3966" s="3" t="str">
        <f>IFERROR(__xludf.DUMMYFUNCTION("GOOGLETRANSLATE(C3966,""en"",""pl"")"),"pociągający")</f>
        <v>pociągający</v>
      </c>
    </row>
    <row r="3967">
      <c r="C3967" s="1" t="s">
        <v>3961</v>
      </c>
      <c r="D3967" s="3" t="str">
        <f>IFERROR(__xludf.DUMMYFUNCTION("GOOGLETRANSLATE(C3967,""en"",""pl"")"),"zważony")</f>
        <v>zważony</v>
      </c>
    </row>
    <row r="3968">
      <c r="C3968" s="4" t="s">
        <v>3962</v>
      </c>
      <c r="D3968" s="3" t="str">
        <f>IFERROR(__xludf.DUMMYFUNCTION("GOOGLETRANSLATE(C3968,""en"",""pl"")"),"ja")</f>
        <v>ja</v>
      </c>
    </row>
    <row r="3969">
      <c r="C3969" s="1" t="s">
        <v>3963</v>
      </c>
      <c r="D3969" s="3" t="str">
        <f>IFERROR(__xludf.DUMMYFUNCTION("GOOGLETRANSLATE(C3969,""en"",""pl"")"),"wyznaczony")</f>
        <v>wyznaczony</v>
      </c>
    </row>
    <row r="3970">
      <c r="C3970" s="1" t="s">
        <v>3964</v>
      </c>
      <c r="D3970" s="3" t="str">
        <f>IFERROR(__xludf.DUMMYFUNCTION("GOOGLETRANSLATE(C3970,""en"",""pl"")"),"dziecko")</f>
        <v>dziecko</v>
      </c>
    </row>
    <row r="3971">
      <c r="C3971" s="1" t="s">
        <v>3965</v>
      </c>
      <c r="D3971" s="3" t="str">
        <f>IFERROR(__xludf.DUMMYFUNCTION("GOOGLETRANSLATE(C3971,""en"",""pl"")"),"uwięzienie")</f>
        <v>uwięzienie</v>
      </c>
    </row>
    <row r="3972">
      <c r="C3972" s="1" t="s">
        <v>3966</v>
      </c>
      <c r="D3972" s="3" t="str">
        <f>IFERROR(__xludf.DUMMYFUNCTION("GOOGLETRANSLATE(C3972,""en"",""pl"")"),"diabeł")</f>
        <v>diabeł</v>
      </c>
    </row>
    <row r="3973">
      <c r="C3973" s="1" t="s">
        <v>3967</v>
      </c>
      <c r="D3973" s="3" t="str">
        <f>IFERROR(__xludf.DUMMYFUNCTION("GOOGLETRANSLATE(C3973,""en"",""pl"")"),"Flamand")</f>
        <v>Flamand</v>
      </c>
    </row>
    <row r="3974">
      <c r="C3974" s="1" t="s">
        <v>3968</v>
      </c>
      <c r="D3974" s="3" t="str">
        <f>IFERROR(__xludf.DUMMYFUNCTION("GOOGLETRANSLATE(C3974,""en"",""pl"")"),"chłodzenie")</f>
        <v>chłodzenie</v>
      </c>
    </row>
    <row r="3975">
      <c r="C3975" s="1" t="s">
        <v>3969</v>
      </c>
      <c r="D3975" s="3" t="str">
        <f>IFERROR(__xludf.DUMMYFUNCTION("GOOGLETRANSLATE(C3975,""en"",""pl"")"),"zawierający")</f>
        <v>zawierający</v>
      </c>
    </row>
    <row r="3976">
      <c r="C3976" s="1" t="s">
        <v>3970</v>
      </c>
      <c r="D3976" s="3" t="str">
        <f>IFERROR(__xludf.DUMMYFUNCTION("GOOGLETRANSLATE(C3976,""en"",""pl"")"),"Giles")</f>
        <v>Giles</v>
      </c>
    </row>
    <row r="3977">
      <c r="C3977" s="1" t="s">
        <v>3971</v>
      </c>
      <c r="D3977" s="3" t="str">
        <f>IFERROR(__xludf.DUMMYFUNCTION("GOOGLETRANSLATE(C3977,""en"",""pl"")"),"wrażenia")</f>
        <v>wrażenia</v>
      </c>
    </row>
    <row r="3978">
      <c r="C3978" s="1" t="s">
        <v>3972</v>
      </c>
      <c r="D3978" s="3" t="str">
        <f>IFERROR(__xludf.DUMMYFUNCTION("GOOGLETRANSLATE(C3978,""en"",""pl"")"),"zalety")</f>
        <v>zalety</v>
      </c>
    </row>
    <row r="3979">
      <c r="C3979" s="1" t="s">
        <v>3973</v>
      </c>
      <c r="D3979" s="3" t="str">
        <f>IFERROR(__xludf.DUMMYFUNCTION("GOOGLETRANSLATE(C3979,""en"",""pl"")"),"kołodziej")</f>
        <v>kołodziej</v>
      </c>
    </row>
    <row r="3980">
      <c r="C3980" s="1" t="s">
        <v>3974</v>
      </c>
      <c r="D3980" s="3" t="str">
        <f>IFERROR(__xludf.DUMMYFUNCTION("GOOGLETRANSLATE(C3980,""en"",""pl"")"),"niepewny")</f>
        <v>niepewny</v>
      </c>
    </row>
    <row r="3981">
      <c r="C3981" s="1" t="s">
        <v>3975</v>
      </c>
      <c r="D3981" s="3" t="str">
        <f>IFERROR(__xludf.DUMMYFUNCTION("GOOGLETRANSLATE(C3981,""en"",""pl"")"),"celowy")</f>
        <v>celowy</v>
      </c>
    </row>
    <row r="3982">
      <c r="C3982" s="1" t="s">
        <v>3976</v>
      </c>
      <c r="D3982" s="3" t="str">
        <f>IFERROR(__xludf.DUMMYFUNCTION("GOOGLETRANSLATE(C3982,""en"",""pl"")"),"oczekiwany")</f>
        <v>oczekiwany</v>
      </c>
    </row>
    <row r="3983">
      <c r="C3983" s="1" t="s">
        <v>3977</v>
      </c>
      <c r="D3983" s="3" t="str">
        <f>IFERROR(__xludf.DUMMYFUNCTION("GOOGLETRANSLATE(C3983,""en"",""pl"")"),"izolować")</f>
        <v>izolować</v>
      </c>
    </row>
    <row r="3984">
      <c r="C3984" s="1" t="s">
        <v>3978</v>
      </c>
      <c r="D3984" s="3" t="str">
        <f>IFERROR(__xludf.DUMMYFUNCTION("GOOGLETRANSLATE(C3984,""en"",""pl"")"),"dokręcać")</f>
        <v>dokręcać</v>
      </c>
    </row>
    <row r="3985">
      <c r="C3985" s="1" t="s">
        <v>3979</v>
      </c>
      <c r="D3985" s="3" t="str">
        <f>IFERROR(__xludf.DUMMYFUNCTION("GOOGLETRANSLATE(C3985,""en"",""pl"")"),"korporacje")</f>
        <v>korporacje</v>
      </c>
    </row>
    <row r="3986">
      <c r="C3986" s="1" t="s">
        <v>3980</v>
      </c>
      <c r="D3986" s="3" t="str">
        <f>IFERROR(__xludf.DUMMYFUNCTION("GOOGLETRANSLATE(C3986,""en"",""pl"")"),"Piotr")</f>
        <v>Piotr</v>
      </c>
    </row>
    <row r="3987">
      <c r="C3987" s="1" t="s">
        <v>3981</v>
      </c>
      <c r="D3987" s="3" t="str">
        <f>IFERROR(__xludf.DUMMYFUNCTION("GOOGLETRANSLATE(C3987,""en"",""pl"")"),"lokal")</f>
        <v>lokal</v>
      </c>
    </row>
    <row r="3988">
      <c r="C3988" s="1" t="s">
        <v>3982</v>
      </c>
      <c r="D3988" s="3" t="str">
        <f>IFERROR(__xludf.DUMMYFUNCTION("GOOGLETRANSLATE(C3988,""en"",""pl"")"),"irytujący")</f>
        <v>irytujący</v>
      </c>
    </row>
    <row r="3989">
      <c r="C3989" s="1" t="s">
        <v>3983</v>
      </c>
      <c r="D3989" s="3" t="str">
        <f>IFERROR(__xludf.DUMMYFUNCTION("GOOGLETRANSLATE(C3989,""en"",""pl"")"),"bunt")</f>
        <v>bunt</v>
      </c>
    </row>
    <row r="3990">
      <c r="C3990" s="1" t="s">
        <v>3984</v>
      </c>
      <c r="D3990" s="3" t="str">
        <f>IFERROR(__xludf.DUMMYFUNCTION("GOOGLETRANSLATE(C3990,""en"",""pl"")"),"co ty")</f>
        <v>co ty</v>
      </c>
    </row>
    <row r="3991">
      <c r="C3991" s="1" t="s">
        <v>3985</v>
      </c>
      <c r="D3991" s="3" t="str">
        <f>IFERROR(__xludf.DUMMYFUNCTION("GOOGLETRANSLATE(C3991,""en"",""pl"")"),"księżycowy")</f>
        <v>księżycowy</v>
      </c>
    </row>
    <row r="3992">
      <c r="C3992" s="1" t="s">
        <v>3986</v>
      </c>
      <c r="D3992" s="3" t="str">
        <f>IFERROR(__xludf.DUMMYFUNCTION("GOOGLETRANSLATE(C3992,""en"",""pl"")"),"prawowity")</f>
        <v>prawowity</v>
      </c>
    </row>
    <row r="3993">
      <c r="C3993" s="1" t="s">
        <v>3987</v>
      </c>
      <c r="D3993" s="3" t="str">
        <f>IFERROR(__xludf.DUMMYFUNCTION("GOOGLETRANSLATE(C3993,""en"",""pl"")"),"bombowce")</f>
        <v>bombowce</v>
      </c>
    </row>
    <row r="3994">
      <c r="C3994" s="1" t="s">
        <v>3988</v>
      </c>
      <c r="D3994" s="3" t="str">
        <f>IFERROR(__xludf.DUMMYFUNCTION("GOOGLETRANSLATE(C3994,""en"",""pl"")"),"południowy zachód")</f>
        <v>południowy zachód</v>
      </c>
    </row>
    <row r="3995">
      <c r="C3995" s="1" t="s">
        <v>3989</v>
      </c>
      <c r="D3995" s="3" t="str">
        <f>IFERROR(__xludf.DUMMYFUNCTION("GOOGLETRANSLATE(C3995,""en"",""pl"")"),"Maine")</f>
        <v>Maine</v>
      </c>
    </row>
    <row r="3996">
      <c r="C3996" s="1" t="s">
        <v>3990</v>
      </c>
      <c r="D3996" s="3" t="str">
        <f>IFERROR(__xludf.DUMMYFUNCTION("GOOGLETRANSLATE(C3996,""en"",""pl"")"),"podziwiać")</f>
        <v>podziwiać</v>
      </c>
    </row>
    <row r="3997">
      <c r="C3997" s="1" t="s">
        <v>3991</v>
      </c>
      <c r="D3997" s="3" t="str">
        <f>IFERROR(__xludf.DUMMYFUNCTION("GOOGLETRANSLATE(C3997,""en"",""pl"")"),"przykuty łańcuchem")</f>
        <v>przykuty łańcuchem</v>
      </c>
    </row>
    <row r="3998">
      <c r="C3998" s="1" t="s">
        <v>3992</v>
      </c>
      <c r="D3998" s="3" t="str">
        <f>IFERROR(__xludf.DUMMYFUNCTION("GOOGLETRANSLATE(C3998,""en"",""pl"")"),"zimniejszy")</f>
        <v>zimniejszy</v>
      </c>
    </row>
    <row r="3999">
      <c r="C3999" s="1" t="s">
        <v>3993</v>
      </c>
      <c r="D3999" s="3" t="str">
        <f>IFERROR(__xludf.DUMMYFUNCTION("GOOGLETRANSLATE(C3999,""en"",""pl"")"),"cycek")</f>
        <v>cycek</v>
      </c>
    </row>
    <row r="4000">
      <c r="C4000" s="1" t="s">
        <v>3994</v>
      </c>
      <c r="D4000" s="3" t="str">
        <f>IFERROR(__xludf.DUMMYFUNCTION("GOOGLETRANSLATE(C4000,""en"",""pl"")"),"wścibianie nosa")</f>
        <v>wścibianie nosa</v>
      </c>
    </row>
    <row r="4001">
      <c r="C4001" s="1" t="s">
        <v>3995</v>
      </c>
      <c r="D4001" s="3" t="str">
        <f>IFERROR(__xludf.DUMMYFUNCTION("GOOGLETRANSLATE(C4001,""en"",""pl"")"),"kąpielówki")</f>
        <v>kąpielówki</v>
      </c>
    </row>
    <row r="4002">
      <c r="C4002" s="1" t="s">
        <v>3996</v>
      </c>
      <c r="D4002" s="3" t="str">
        <f>IFERROR(__xludf.DUMMYFUNCTION("GOOGLETRANSLATE(C4002,""en"",""pl"")"),"kalać")</f>
        <v>kalać</v>
      </c>
    </row>
    <row r="4003">
      <c r="C4003" s="1" t="s">
        <v>3997</v>
      </c>
      <c r="D4003" s="3" t="str">
        <f>IFERROR(__xludf.DUMMYFUNCTION("GOOGLETRANSLATE(C4003,""en"",""pl"")"),"usprawiedliwiony")</f>
        <v>usprawiedliwiony</v>
      </c>
    </row>
    <row r="4004">
      <c r="C4004" s="1" t="s">
        <v>3998</v>
      </c>
      <c r="D4004" s="3" t="str">
        <f>IFERROR(__xludf.DUMMYFUNCTION("GOOGLETRANSLATE(C4004,""en"",""pl"")"),"uwiedziony")</f>
        <v>uwiedziony</v>
      </c>
    </row>
    <row r="4005">
      <c r="C4005" s="1" t="s">
        <v>3999</v>
      </c>
      <c r="D4005" s="3" t="str">
        <f>IFERROR(__xludf.DUMMYFUNCTION("GOOGLETRANSLATE(C4005,""en"",""pl"")"),"przyległy")</f>
        <v>przyległy</v>
      </c>
    </row>
    <row r="4006">
      <c r="C4006" s="1" t="s">
        <v>4000</v>
      </c>
      <c r="D4006" s="3" t="str">
        <f>IFERROR(__xludf.DUMMYFUNCTION("GOOGLETRANSLATE(C4006,""en"",""pl"")"),"belki")</f>
        <v>belki</v>
      </c>
    </row>
    <row r="4007">
      <c r="C4007" s="1" t="s">
        <v>4001</v>
      </c>
      <c r="D4007" s="3" t="str">
        <f>IFERROR(__xludf.DUMMYFUNCTION("GOOGLETRANSLATE(C4007,""en"",""pl"")"),"rozlew krwi")</f>
        <v>rozlew krwi</v>
      </c>
    </row>
    <row r="4008">
      <c r="C4008" s="1" t="s">
        <v>4002</v>
      </c>
      <c r="D4008" s="3" t="str">
        <f>IFERROR(__xludf.DUMMYFUNCTION("GOOGLETRANSLATE(C4008,""en"",""pl"")"),"przestępca")</f>
        <v>przestępca</v>
      </c>
    </row>
    <row r="4009">
      <c r="C4009" s="1" t="s">
        <v>4003</v>
      </c>
      <c r="D4009" s="3" t="str">
        <f>IFERROR(__xludf.DUMMYFUNCTION("GOOGLETRANSLATE(C4009,""en"",""pl"")"),"potomstwo")</f>
        <v>potomstwo</v>
      </c>
    </row>
    <row r="4010">
      <c r="C4010" s="1" t="s">
        <v>4004</v>
      </c>
      <c r="D4010" s="3" t="str">
        <f>IFERROR(__xludf.DUMMYFUNCTION("GOOGLETRANSLATE(C4010,""en"",""pl"")"),"potworny")</f>
        <v>potworny</v>
      </c>
    </row>
    <row r="4011">
      <c r="C4011" s="1" t="s">
        <v>4005</v>
      </c>
      <c r="D4011" s="3" t="str">
        <f>IFERROR(__xludf.DUMMYFUNCTION("GOOGLETRANSLATE(C4011,""en"",""pl"")"),"siniaki")</f>
        <v>siniaki</v>
      </c>
    </row>
    <row r="4012">
      <c r="C4012" s="1" t="s">
        <v>4006</v>
      </c>
      <c r="D4012" s="3" t="str">
        <f>IFERROR(__xludf.DUMMYFUNCTION("GOOGLETRANSLATE(C4012,""en"",""pl"")"),"My-")</f>
        <v>My-</v>
      </c>
    </row>
    <row r="4013">
      <c r="C4013" s="1" t="s">
        <v>4007</v>
      </c>
      <c r="D4013" s="3" t="str">
        <f>IFERROR(__xludf.DUMMYFUNCTION("GOOGLETRANSLATE(C4013,""en"",""pl"")"),"portier")</f>
        <v>portier</v>
      </c>
    </row>
    <row r="4014">
      <c r="C4014" s="1" t="s">
        <v>4008</v>
      </c>
      <c r="D4014" s="3" t="str">
        <f>IFERROR(__xludf.DUMMYFUNCTION("GOOGLETRANSLATE(C4014,""en"",""pl"")"),"zabroniony")</f>
        <v>zabroniony</v>
      </c>
    </row>
    <row r="4015">
      <c r="C4015" s="1" t="s">
        <v>4009</v>
      </c>
      <c r="D4015" s="3" t="str">
        <f>IFERROR(__xludf.DUMMYFUNCTION("GOOGLETRANSLATE(C4015,""en"",""pl"")"),"rekwizyty")</f>
        <v>rekwizyty</v>
      </c>
    </row>
    <row r="4016">
      <c r="C4016" s="1" t="s">
        <v>4010</v>
      </c>
      <c r="D4016" s="3" t="str">
        <f>IFERROR(__xludf.DUMMYFUNCTION("GOOGLETRANSLATE(C4016,""en"",""pl"")"),"przenikać")</f>
        <v>przenikać</v>
      </c>
    </row>
    <row r="4017">
      <c r="C4017" s="1" t="s">
        <v>4011</v>
      </c>
      <c r="D4017" s="3" t="str">
        <f>IFERROR(__xludf.DUMMYFUNCTION("GOOGLETRANSLATE(C4017,""en"",""pl"")"),"interweniować")</f>
        <v>interweniować</v>
      </c>
    </row>
    <row r="4018">
      <c r="C4018" s="1" t="s">
        <v>4012</v>
      </c>
      <c r="D4018" s="3" t="str">
        <f>IFERROR(__xludf.DUMMYFUNCTION("GOOGLETRANSLATE(C4018,""en"",""pl"")"),"Tobiasz")</f>
        <v>Tobiasz</v>
      </c>
    </row>
    <row r="4019">
      <c r="C4019" s="1" t="s">
        <v>4013</v>
      </c>
      <c r="D4019" s="3" t="str">
        <f>IFERROR(__xludf.DUMMYFUNCTION("GOOGLETRANSLATE(C4019,""en"",""pl"")"),"Osaka")</f>
        <v>Osaka</v>
      </c>
    </row>
    <row r="4020">
      <c r="C4020" s="1" t="s">
        <v>4014</v>
      </c>
      <c r="D4020" s="3" t="str">
        <f>IFERROR(__xludf.DUMMYFUNCTION("GOOGLETRANSLATE(C4020,""en"",""pl"")"),"Aiden- ...")</f>
        <v>Aiden- ...</v>
      </c>
    </row>
    <row r="4021">
      <c r="C4021" s="1" t="s">
        <v>4015</v>
      </c>
      <c r="D4021" s="3" t="str">
        <f>IFERROR(__xludf.DUMMYFUNCTION("GOOGLETRANSLATE(C4021,""en"",""pl"")"),"czarnuchy")</f>
        <v>czarnuchy</v>
      </c>
    </row>
    <row r="4022">
      <c r="C4022" s="1" t="s">
        <v>4016</v>
      </c>
      <c r="D4022" s="3" t="str">
        <f>IFERROR(__xludf.DUMMYFUNCTION("GOOGLETRANSLATE(C4022,""en"",""pl"")"),"Kair")</f>
        <v>Kair</v>
      </c>
    </row>
    <row r="4023">
      <c r="C4023" s="1" t="s">
        <v>4017</v>
      </c>
      <c r="D4023" s="3" t="str">
        <f>IFERROR(__xludf.DUMMYFUNCTION("GOOGLETRANSLATE(C4023,""en"",""pl"")"),"Janek")</f>
        <v>Janek</v>
      </c>
    </row>
    <row r="4024">
      <c r="C4024" s="1" t="s">
        <v>4018</v>
      </c>
      <c r="D4024" s="3" t="str">
        <f>IFERROR(__xludf.DUMMYFUNCTION("GOOGLETRANSLATE(C4024,""en"",""pl"")"),"patriota")</f>
        <v>patriota</v>
      </c>
    </row>
    <row r="4025">
      <c r="C4025" s="1" t="s">
        <v>4019</v>
      </c>
      <c r="D4025" s="3" t="str">
        <f>IFERROR(__xludf.DUMMYFUNCTION("GOOGLETRANSLATE(C4025,""en"",""pl"")"),"kręgle")</f>
        <v>kręgle</v>
      </c>
    </row>
    <row r="4026">
      <c r="C4026" s="1" t="s">
        <v>4020</v>
      </c>
      <c r="D4026" s="3" t="str">
        <f>IFERROR(__xludf.DUMMYFUNCTION("GOOGLETRANSLATE(C4026,""en"",""pl"")"),"rufus")</f>
        <v>rufus</v>
      </c>
    </row>
    <row r="4027">
      <c r="C4027" s="1" t="s">
        <v>4021</v>
      </c>
      <c r="D4027" s="3" t="str">
        <f>IFERROR(__xludf.DUMMYFUNCTION("GOOGLETRANSLATE(C4027,""en"",""pl"")"),"siedziba")</f>
        <v>siedziba</v>
      </c>
    </row>
    <row r="4028">
      <c r="C4028" s="1" t="s">
        <v>4022</v>
      </c>
      <c r="D4028" s="3" t="str">
        <f>IFERROR(__xludf.DUMMYFUNCTION("GOOGLETRANSLATE(C4028,""en"",""pl"")"),"chirurdzy")</f>
        <v>chirurdzy</v>
      </c>
    </row>
    <row r="4029">
      <c r="C4029" s="1" t="s">
        <v>4023</v>
      </c>
      <c r="D4029" s="3" t="str">
        <f>IFERROR(__xludf.DUMMYFUNCTION("GOOGLETRANSLATE(C4029,""en"",""pl"")"),"doły")</f>
        <v>doły</v>
      </c>
    </row>
    <row r="4030">
      <c r="C4030" s="1" t="s">
        <v>4024</v>
      </c>
      <c r="D4030" s="3" t="str">
        <f>IFERROR(__xludf.DUMMYFUNCTION("GOOGLETRANSLATE(C4030,""en"",""pl"")"),"niesławny")</f>
        <v>niesławny</v>
      </c>
    </row>
    <row r="4031">
      <c r="C4031" s="1" t="s">
        <v>4025</v>
      </c>
      <c r="D4031" s="3" t="str">
        <f>IFERROR(__xludf.DUMMYFUNCTION("GOOGLETRANSLATE(C4031,""en"",""pl"")"),"oszuści")</f>
        <v>oszuści</v>
      </c>
    </row>
    <row r="4032">
      <c r="C4032" s="1" t="s">
        <v>4026</v>
      </c>
      <c r="D4032" s="3" t="str">
        <f>IFERROR(__xludf.DUMMYFUNCTION("GOOGLETRANSLATE(C4032,""en"",""pl"")"),"kudły")</f>
        <v>kudły</v>
      </c>
    </row>
    <row r="4033">
      <c r="C4033" s="1" t="s">
        <v>4027</v>
      </c>
      <c r="D4033" s="3" t="str">
        <f>IFERROR(__xludf.DUMMYFUNCTION("GOOGLETRANSLATE(C4033,""en"",""pl"")"),"sałata")</f>
        <v>sałata</v>
      </c>
    </row>
    <row r="4034">
      <c r="C4034" s="1" t="s">
        <v>4028</v>
      </c>
      <c r="D4034" s="3" t="str">
        <f>IFERROR(__xludf.DUMMYFUNCTION("GOOGLETRANSLATE(C4034,""en"",""pl"")"),"przesadzanie")</f>
        <v>przesadzanie</v>
      </c>
    </row>
    <row r="4035">
      <c r="C4035" s="1" t="s">
        <v>4029</v>
      </c>
      <c r="D4035" s="3" t="str">
        <f>IFERROR(__xludf.DUMMYFUNCTION("GOOGLETRANSLATE(C4035,""en"",""pl"")"),"gorszy")</f>
        <v>gorszy</v>
      </c>
    </row>
    <row r="4036">
      <c r="C4036" s="1" t="s">
        <v>4030</v>
      </c>
      <c r="D4036" s="3" t="str">
        <f>IFERROR(__xludf.DUMMYFUNCTION("GOOGLETRANSLATE(C4036,""en"",""pl"")"),"Zac")</f>
        <v>Zac</v>
      </c>
    </row>
    <row r="4037">
      <c r="C4037" s="1" t="s">
        <v>4031</v>
      </c>
      <c r="D4037" s="3" t="str">
        <f>IFERROR(__xludf.DUMMYFUNCTION("GOOGLETRANSLATE(C4037,""en"",""pl"")"),"dla Ciebie")</f>
        <v>dla Ciebie</v>
      </c>
    </row>
    <row r="4038">
      <c r="C4038" s="1" t="s">
        <v>4032</v>
      </c>
      <c r="D4038" s="3" t="str">
        <f>IFERROR(__xludf.DUMMYFUNCTION("GOOGLETRANSLATE(C4038,""en"",""pl"")"),"nuda")</f>
        <v>nuda</v>
      </c>
    </row>
    <row r="4039">
      <c r="C4039" s="1" t="s">
        <v>4033</v>
      </c>
      <c r="D4039" s="3" t="str">
        <f>IFERROR(__xludf.DUMMYFUNCTION("GOOGLETRANSLATE(C4039,""en"",""pl"")"),"amos")</f>
        <v>amos</v>
      </c>
    </row>
    <row r="4040">
      <c r="C4040" s="1" t="s">
        <v>4034</v>
      </c>
      <c r="D4040" s="3" t="str">
        <f>IFERROR(__xludf.DUMMYFUNCTION("GOOGLETRANSLATE(C4040,""en"",""pl"")"),"tolerancja")</f>
        <v>tolerancja</v>
      </c>
    </row>
    <row r="4041">
      <c r="C4041" s="1" t="s">
        <v>4035</v>
      </c>
      <c r="D4041" s="3" t="str">
        <f>IFERROR(__xludf.DUMMYFUNCTION("GOOGLETRANSLATE(C4041,""en"",""pl"")"),"kasjer")</f>
        <v>kasjer</v>
      </c>
    </row>
    <row r="4042">
      <c r="C4042" s="1" t="s">
        <v>4036</v>
      </c>
      <c r="D4042" s="3" t="str">
        <f>IFERROR(__xludf.DUMMYFUNCTION("GOOGLETRANSLATE(C4042,""en"",""pl"")"),"ankiety")</f>
        <v>ankiety</v>
      </c>
    </row>
    <row r="4043">
      <c r="C4043" s="1" t="s">
        <v>4037</v>
      </c>
      <c r="D4043" s="3" t="str">
        <f>IFERROR(__xludf.DUMMYFUNCTION("GOOGLETRANSLATE(C4043,""en"",""pl"")"),"kaliber")</f>
        <v>kaliber</v>
      </c>
    </row>
    <row r="4044">
      <c r="C4044" s="1" t="s">
        <v>4038</v>
      </c>
      <c r="D4044" s="3" t="str">
        <f>IFERROR(__xludf.DUMMYFUNCTION("GOOGLETRANSLATE(C4044,""en"",""pl"")"),"slipy")</f>
        <v>slipy</v>
      </c>
    </row>
    <row r="4045">
      <c r="C4045" s="1" t="s">
        <v>4039</v>
      </c>
      <c r="D4045" s="3" t="str">
        <f>IFERROR(__xludf.DUMMYFUNCTION("GOOGLETRANSLATE(C4045,""en"",""pl"")"),"Katy")</f>
        <v>Katy</v>
      </c>
    </row>
    <row r="4046">
      <c r="C4046" s="1" t="s">
        <v>4040</v>
      </c>
      <c r="D4046" s="3" t="str">
        <f>IFERROR(__xludf.DUMMYFUNCTION("GOOGLETRANSLATE(C4046,""en"",""pl"")"),"sprzedający")</f>
        <v>sprzedający</v>
      </c>
    </row>
    <row r="4047">
      <c r="C4047" s="1" t="s">
        <v>4041</v>
      </c>
      <c r="D4047" s="3" t="str">
        <f>IFERROR(__xludf.DUMMYFUNCTION("GOOGLETRANSLATE(C4047,""en"",""pl"")"),"wyczułem")</f>
        <v>wyczułem</v>
      </c>
    </row>
    <row r="4048">
      <c r="C4048" s="1" t="s">
        <v>4042</v>
      </c>
      <c r="D4048" s="3" t="str">
        <f>IFERROR(__xludf.DUMMYFUNCTION("GOOGLETRANSLATE(C4048,""en"",""pl"")"),"pionowy")</f>
        <v>pionowy</v>
      </c>
    </row>
    <row r="4049">
      <c r="C4049" s="1" t="s">
        <v>4043</v>
      </c>
      <c r="D4049" s="3" t="str">
        <f>IFERROR(__xludf.DUMMYFUNCTION("GOOGLETRANSLATE(C4049,""en"",""pl"")"),"strzałka")</f>
        <v>strzałka</v>
      </c>
    </row>
    <row r="4050">
      <c r="C4050" s="1" t="s">
        <v>4044</v>
      </c>
      <c r="D4050" s="3" t="str">
        <f>IFERROR(__xludf.DUMMYFUNCTION("GOOGLETRANSLATE(C4050,""en"",""pl"")"),"sekcje")</f>
        <v>sekcje</v>
      </c>
    </row>
    <row r="4051">
      <c r="C4051" s="1" t="s">
        <v>4045</v>
      </c>
      <c r="D4051" s="3" t="str">
        <f>IFERROR(__xludf.DUMMYFUNCTION("GOOGLETRANSLATE(C4051,""en"",""pl"")"),"zamek błyskawiczny")</f>
        <v>zamek błyskawiczny</v>
      </c>
    </row>
    <row r="4052">
      <c r="C4052" s="1" t="s">
        <v>4046</v>
      </c>
      <c r="D4052" s="3" t="str">
        <f>IFERROR(__xludf.DUMMYFUNCTION("GOOGLETRANSLATE(C4052,""en"",""pl"")"),"gadatliwy")</f>
        <v>gadatliwy</v>
      </c>
    </row>
    <row r="4053">
      <c r="C4053" s="1" t="s">
        <v>4047</v>
      </c>
      <c r="D4053" s="3" t="str">
        <f>IFERROR(__xludf.DUMMYFUNCTION("GOOGLETRANSLATE(C4053,""en"",""pl"")"),"szankar")</f>
        <v>szankar</v>
      </c>
    </row>
    <row r="4054">
      <c r="C4054" s="1" t="s">
        <v>4048</v>
      </c>
      <c r="D4054" s="3" t="str">
        <f>IFERROR(__xludf.DUMMYFUNCTION("GOOGLETRANSLATE(C4054,""en"",""pl"")"),"przyjęcie")</f>
        <v>przyjęcie</v>
      </c>
    </row>
    <row r="4055">
      <c r="C4055" s="1" t="s">
        <v>4049</v>
      </c>
      <c r="D4055" s="3" t="str">
        <f>IFERROR(__xludf.DUMMYFUNCTION("GOOGLETRANSLATE(C4055,""en"",""pl"")"),"podróżny")</f>
        <v>podróżny</v>
      </c>
    </row>
    <row r="4056">
      <c r="C4056" s="1" t="s">
        <v>4050</v>
      </c>
      <c r="D4056" s="3" t="str">
        <f>IFERROR(__xludf.DUMMYFUNCTION("GOOGLETRANSLATE(C4056,""en"",""pl"")"),"oś czasu")</f>
        <v>oś czasu</v>
      </c>
    </row>
    <row r="4057">
      <c r="C4057" s="1" t="s">
        <v>4051</v>
      </c>
      <c r="D4057" s="3" t="str">
        <f>IFERROR(__xludf.DUMMYFUNCTION("GOOGLETRANSLATE(C4057,""en"",""pl"")"),"szmaragd")</f>
        <v>szmaragd</v>
      </c>
    </row>
    <row r="4058">
      <c r="C4058" s="1" t="s">
        <v>4052</v>
      </c>
      <c r="D4058" s="3" t="str">
        <f>IFERROR(__xludf.DUMMYFUNCTION("GOOGLETRANSLATE(C4058,""en"",""pl"")"),"geje")</f>
        <v>geje</v>
      </c>
    </row>
    <row r="4059">
      <c r="C4059" s="1" t="s">
        <v>4053</v>
      </c>
      <c r="D4059" s="3" t="str">
        <f>IFERROR(__xludf.DUMMYFUNCTION("GOOGLETRANSLATE(C4059,""en"",""pl"")"),"komputer")</f>
        <v>komputer</v>
      </c>
    </row>
    <row r="4060">
      <c r="C4060" s="1" t="s">
        <v>4054</v>
      </c>
      <c r="D4060" s="3" t="str">
        <f>IFERROR(__xludf.DUMMYFUNCTION("GOOGLETRANSLATE(C4060,""en"",""pl"")"),"dokuczać")</f>
        <v>dokuczać</v>
      </c>
    </row>
    <row r="4061">
      <c r="C4061" s="1" t="s">
        <v>4055</v>
      </c>
      <c r="D4061" s="3" t="str">
        <f>IFERROR(__xludf.DUMMYFUNCTION("GOOGLETRANSLATE(C4061,""en"",""pl"")"),"porywający")</f>
        <v>porywający</v>
      </c>
    </row>
    <row r="4062">
      <c r="C4062" s="1" t="s">
        <v>4056</v>
      </c>
      <c r="D4062" s="3" t="str">
        <f>IFERROR(__xludf.DUMMYFUNCTION("GOOGLETRANSLATE(C4062,""en"",""pl"")"),"pełen nadziei")</f>
        <v>pełen nadziei</v>
      </c>
    </row>
    <row r="4063">
      <c r="C4063" s="1" t="s">
        <v>4057</v>
      </c>
      <c r="D4063" s="3" t="str">
        <f>IFERROR(__xludf.DUMMYFUNCTION("GOOGLETRANSLATE(C4063,""en"",""pl"")"),"podsycać")</f>
        <v>podsycać</v>
      </c>
    </row>
    <row r="4064">
      <c r="C4064" s="1" t="s">
        <v>4058</v>
      </c>
      <c r="D4064" s="3" t="str">
        <f>IFERROR(__xludf.DUMMYFUNCTION("GOOGLETRANSLATE(C4064,""en"",""pl"")"),"adidasy")</f>
        <v>adidasy</v>
      </c>
    </row>
    <row r="4065">
      <c r="C4065" s="1" t="s">
        <v>4059</v>
      </c>
      <c r="D4065" s="3" t="str">
        <f>IFERROR(__xludf.DUMMYFUNCTION("GOOGLETRANSLATE(C4065,""en"",""pl"")"),"kondycjonowanie")</f>
        <v>kondycjonowanie</v>
      </c>
    </row>
    <row r="4066">
      <c r="C4066" s="1" t="s">
        <v>4060</v>
      </c>
      <c r="D4066" s="3" t="str">
        <f>IFERROR(__xludf.DUMMYFUNCTION("GOOGLETRANSLATE(C4066,""en"",""pl"")"),"zwolennicy")</f>
        <v>zwolennicy</v>
      </c>
    </row>
    <row r="4067">
      <c r="C4067" s="1" t="s">
        <v>4061</v>
      </c>
      <c r="D4067" s="3" t="str">
        <f>IFERROR(__xludf.DUMMYFUNCTION("GOOGLETRANSLATE(C4067,""en"",""pl"")"),"rodriquez")</f>
        <v>rodriquez</v>
      </c>
    </row>
    <row r="4068">
      <c r="C4068" s="1" t="s">
        <v>4062</v>
      </c>
      <c r="D4068" s="3" t="str">
        <f>IFERROR(__xludf.DUMMYFUNCTION("GOOGLETRANSLATE(C4068,""en"",""pl"")"),"cyraneczka")</f>
        <v>cyraneczka</v>
      </c>
    </row>
    <row r="4069">
      <c r="C4069" s="1" t="s">
        <v>4063</v>
      </c>
      <c r="D4069" s="3" t="str">
        <f>IFERROR(__xludf.DUMMYFUNCTION("GOOGLETRANSLATE(C4069,""en"",""pl"")"),"lżenie")</f>
        <v>lżenie</v>
      </c>
    </row>
    <row r="4070">
      <c r="C4070" s="1" t="s">
        <v>4064</v>
      </c>
      <c r="D4070" s="3" t="str">
        <f>IFERROR(__xludf.DUMMYFUNCTION("GOOGLETRANSLATE(C4070,""en"",""pl"")"),"instrukcja")</f>
        <v>instrukcja</v>
      </c>
    </row>
    <row r="4071">
      <c r="C4071" s="1" t="s">
        <v>4065</v>
      </c>
      <c r="D4071" s="3" t="str">
        <f>IFERROR(__xludf.DUMMYFUNCTION("GOOGLETRANSLATE(C4071,""en"",""pl"")"),"odwracanie")</f>
        <v>odwracanie</v>
      </c>
    </row>
    <row r="4072">
      <c r="C4072" s="1" t="s">
        <v>4066</v>
      </c>
      <c r="D4072" s="3" t="str">
        <f>IFERROR(__xludf.DUMMYFUNCTION("GOOGLETRANSLATE(C4072,""en"",""pl"")"),"25.")</f>
        <v>25.</v>
      </c>
    </row>
    <row r="4073">
      <c r="C4073" s="1" t="s">
        <v>4067</v>
      </c>
      <c r="D4073" s="3" t="str">
        <f>IFERROR(__xludf.DUMMYFUNCTION("GOOGLETRANSLATE(C4073,""en"",""pl"")"),"brzęk")</f>
        <v>brzęk</v>
      </c>
    </row>
    <row r="4074">
      <c r="C4074" s="1" t="s">
        <v>4068</v>
      </c>
      <c r="D4074" s="3" t="str">
        <f>IFERROR(__xludf.DUMMYFUNCTION("GOOGLETRANSLATE(C4074,""en"",""pl"")"),"ognisty")</f>
        <v>ognisty</v>
      </c>
    </row>
    <row r="4075">
      <c r="C4075" s="1" t="s">
        <v>4069</v>
      </c>
      <c r="D4075" s="3" t="str">
        <f>IFERROR(__xludf.DUMMYFUNCTION("GOOGLETRANSLATE(C4075,""en"",""pl"")"),"fracht")</f>
        <v>fracht</v>
      </c>
    </row>
    <row r="4076">
      <c r="C4076" s="1" t="s">
        <v>4070</v>
      </c>
      <c r="D4076" s="3" t="str">
        <f>IFERROR(__xludf.DUMMYFUNCTION("GOOGLETRANSLATE(C4076,""en"",""pl"")"),"przedstawiciele")</f>
        <v>przedstawiciele</v>
      </c>
    </row>
    <row r="4077">
      <c r="C4077" s="1" t="s">
        <v>4071</v>
      </c>
      <c r="D4077" s="3" t="str">
        <f>IFERROR(__xludf.DUMMYFUNCTION("GOOGLETRANSLATE(C4077,""en"",""pl"")"),"zaproszenia")</f>
        <v>zaproszenia</v>
      </c>
    </row>
    <row r="4078">
      <c r="C4078" s="1" t="s">
        <v>4072</v>
      </c>
      <c r="D4078" s="3" t="str">
        <f>IFERROR(__xludf.DUMMYFUNCTION("GOOGLETRANSLATE(C4078,""en"",""pl"")"),"rozebrany")</f>
        <v>rozebrany</v>
      </c>
    </row>
    <row r="4079">
      <c r="C4079" s="1" t="s">
        <v>4073</v>
      </c>
      <c r="D4079" s="3" t="str">
        <f>IFERROR(__xludf.DUMMYFUNCTION("GOOGLETRANSLATE(C4079,""en"",""pl"")"),"Lucyla")</f>
        <v>Lucyla</v>
      </c>
    </row>
    <row r="4080">
      <c r="C4080" s="1" t="s">
        <v>4074</v>
      </c>
      <c r="D4080" s="3" t="str">
        <f>IFERROR(__xludf.DUMMYFUNCTION("GOOGLETRANSLATE(C4080,""en"",""pl"")"),"bojler")</f>
        <v>bojler</v>
      </c>
    </row>
    <row r="4081">
      <c r="C4081" s="1" t="s">
        <v>4075</v>
      </c>
      <c r="D4081" s="3" t="str">
        <f>IFERROR(__xludf.DUMMYFUNCTION("GOOGLETRANSLATE(C4081,""en"",""pl"")"),"edo")</f>
        <v>edo</v>
      </c>
    </row>
    <row r="4082">
      <c r="C4082" s="1" t="s">
        <v>4076</v>
      </c>
      <c r="D4082" s="3" t="str">
        <f>IFERROR(__xludf.DUMMYFUNCTION("GOOGLETRANSLATE(C4082,""en"",""pl"")"),"niespokojny")</f>
        <v>niespokojny</v>
      </c>
    </row>
    <row r="4083">
      <c r="C4083" s="1" t="s">
        <v>4077</v>
      </c>
      <c r="D4083" s="3" t="str">
        <f>IFERROR(__xludf.DUMMYFUNCTION("GOOGLETRANSLATE(C4083,""en"",""pl"")"),"się")</f>
        <v>się</v>
      </c>
    </row>
    <row r="4084">
      <c r="C4084" s="1" t="s">
        <v>4078</v>
      </c>
      <c r="D4084" s="3" t="str">
        <f>IFERROR(__xludf.DUMMYFUNCTION("GOOGLETRANSLATE(C4084,""en"",""pl"")"),"Alfredo")</f>
        <v>Alfredo</v>
      </c>
    </row>
    <row r="4085">
      <c r="C4085" s="1" t="s">
        <v>4079</v>
      </c>
      <c r="D4085" s="3" t="str">
        <f>IFERROR(__xludf.DUMMYFUNCTION("GOOGLETRANSLATE(C4085,""en"",""pl"")"),"Benedykt")</f>
        <v>Benedykt</v>
      </c>
    </row>
    <row r="4086">
      <c r="C4086" s="1" t="s">
        <v>4080</v>
      </c>
      <c r="D4086" s="3" t="str">
        <f>IFERROR(__xludf.DUMMYFUNCTION("GOOGLETRANSLATE(C4086,""en"",""pl"")"),"Dawid")</f>
        <v>Dawid</v>
      </c>
    </row>
    <row r="4087">
      <c r="C4087" s="1" t="s">
        <v>4081</v>
      </c>
      <c r="D4087" s="3" t="str">
        <f>IFERROR(__xludf.DUMMYFUNCTION("GOOGLETRANSLATE(C4087,""en"",""pl"")"),"Davies")</f>
        <v>Davies</v>
      </c>
    </row>
    <row r="4088">
      <c r="C4088" s="1" t="s">
        <v>4082</v>
      </c>
      <c r="D4088" s="3" t="str">
        <f>IFERROR(__xludf.DUMMYFUNCTION("GOOGLETRANSLATE(C4088,""en"",""pl"")"),"efektywność")</f>
        <v>efektywność</v>
      </c>
    </row>
    <row r="4089">
      <c r="C4089" s="1" t="s">
        <v>4083</v>
      </c>
      <c r="D4089" s="3" t="str">
        <f>IFERROR(__xludf.DUMMYFUNCTION("GOOGLETRANSLATE(C4089,""en"",""pl"")"),"to jest")</f>
        <v>to jest</v>
      </c>
    </row>
    <row r="4090">
      <c r="C4090" s="1" t="s">
        <v>4084</v>
      </c>
      <c r="D4090" s="3" t="str">
        <f>IFERROR(__xludf.DUMMYFUNCTION("GOOGLETRANSLATE(C4090,""en"",""pl"")"),"Gomez")</f>
        <v>Gomez</v>
      </c>
    </row>
    <row r="4091">
      <c r="C4091" s="1" t="s">
        <v>4085</v>
      </c>
      <c r="D4091" s="3" t="str">
        <f>IFERROR(__xludf.DUMMYFUNCTION("GOOGLETRANSLATE(C4091,""en"",""pl"")"),"wycie")</f>
        <v>wycie</v>
      </c>
    </row>
    <row r="4092">
      <c r="C4092" s="1" t="s">
        <v>4086</v>
      </c>
      <c r="D4092" s="3" t="str">
        <f>IFERROR(__xludf.DUMMYFUNCTION("GOOGLETRANSLATE(C4092,""en"",""pl"")"),"podrobić")</f>
        <v>podrobić</v>
      </c>
    </row>
    <row r="4093">
      <c r="C4093" s="1" t="s">
        <v>4087</v>
      </c>
      <c r="D4093" s="3" t="str">
        <f>IFERROR(__xludf.DUMMYFUNCTION("GOOGLETRANSLATE(C4093,""en"",""pl"")"),"l-i")</f>
        <v>l-i</v>
      </c>
    </row>
    <row r="4094">
      <c r="C4094" s="1" t="s">
        <v>4088</v>
      </c>
      <c r="D4094" s="3" t="str">
        <f>IFERROR(__xludf.DUMMYFUNCTION("GOOGLETRANSLATE(C4094,""en"",""pl"")"),"życie pozagrobowe")</f>
        <v>życie pozagrobowe</v>
      </c>
    </row>
    <row r="4095">
      <c r="C4095" s="1" t="s">
        <v>4089</v>
      </c>
      <c r="D4095" s="3" t="str">
        <f>IFERROR(__xludf.DUMMYFUNCTION("GOOGLETRANSLATE(C4095,""en"",""pl"")"),"jednokierunkowy")</f>
        <v>jednokierunkowy</v>
      </c>
    </row>
    <row r="4096">
      <c r="C4096" s="1" t="s">
        <v>4090</v>
      </c>
      <c r="D4096" s="3" t="str">
        <f>IFERROR(__xludf.DUMMYFUNCTION("GOOGLETRANSLATE(C4096,""en"",""pl"")"),"uśmiechnięty")</f>
        <v>uśmiechnięty</v>
      </c>
    </row>
    <row r="4097">
      <c r="C4097" s="1" t="s">
        <v>4091</v>
      </c>
      <c r="D4097" s="3" t="str">
        <f>IFERROR(__xludf.DUMMYFUNCTION("GOOGLETRANSLATE(C4097,""en"",""pl"")"),"ciota")</f>
        <v>ciota</v>
      </c>
    </row>
    <row r="4098">
      <c r="C4098" s="1" t="s">
        <v>4092</v>
      </c>
      <c r="D4098" s="3" t="str">
        <f>IFERROR(__xludf.DUMMYFUNCTION("GOOGLETRANSLATE(C4098,""en"",""pl"")"),"ekscentryczny")</f>
        <v>ekscentryczny</v>
      </c>
    </row>
    <row r="4099">
      <c r="C4099" s="1" t="s">
        <v>4093</v>
      </c>
      <c r="D4099" s="3" t="str">
        <f>IFERROR(__xludf.DUMMYFUNCTION("GOOGLETRANSLATE(C4099,""en"",""pl"")"),"różdżka")</f>
        <v>różdżka</v>
      </c>
    </row>
    <row r="4100">
      <c r="C4100" s="1" t="s">
        <v>4094</v>
      </c>
      <c r="D4100" s="3" t="str">
        <f>IFERROR(__xludf.DUMMYFUNCTION("GOOGLETRANSLATE(C4100,""en"",""pl"")"),"wi")</f>
        <v>wi</v>
      </c>
    </row>
    <row r="4101">
      <c r="C4101" s="1" t="s">
        <v>4095</v>
      </c>
      <c r="D4101" s="3" t="str">
        <f>IFERROR(__xludf.DUMMYFUNCTION("GOOGLETRANSLATE(C4101,""en"",""pl"")"),"Memphis")</f>
        <v>Memphis</v>
      </c>
    </row>
    <row r="4102">
      <c r="C4102" s="1" t="s">
        <v>4096</v>
      </c>
      <c r="D4102" s="3" t="str">
        <f>IFERROR(__xludf.DUMMYFUNCTION("GOOGLETRANSLATE(C4102,""en"",""pl"")"),"konsumować")</f>
        <v>konsumować</v>
      </c>
    </row>
    <row r="4103">
      <c r="C4103" s="1" t="s">
        <v>4097</v>
      </c>
      <c r="D4103" s="3" t="str">
        <f>IFERROR(__xludf.DUMMYFUNCTION("GOOGLETRANSLATE(C4103,""en"",""pl"")"),"pochwalony")</f>
        <v>pochwalony</v>
      </c>
    </row>
    <row r="4104">
      <c r="C4104" s="1" t="s">
        <v>4098</v>
      </c>
      <c r="D4104" s="3" t="str">
        <f>IFERROR(__xludf.DUMMYFUNCTION("GOOGLETRANSLATE(C4104,""en"",""pl"")"),"potężny")</f>
        <v>potężny</v>
      </c>
    </row>
    <row r="4105">
      <c r="C4105" s="1" t="s">
        <v>4099</v>
      </c>
      <c r="D4105" s="3" t="str">
        <f>IFERROR(__xludf.DUMMYFUNCTION("GOOGLETRANSLATE(C4105,""en"",""pl"")"),"luthor")</f>
        <v>luthor</v>
      </c>
    </row>
    <row r="4106">
      <c r="C4106" s="1" t="s">
        <v>4100</v>
      </c>
      <c r="D4106" s="3" t="str">
        <f>IFERROR(__xludf.DUMMYFUNCTION("GOOGLETRANSLATE(C4106,""en"",""pl"")"),"pomniejszy")</f>
        <v>pomniejszy</v>
      </c>
    </row>
    <row r="4107">
      <c r="C4107" s="1" t="s">
        <v>4101</v>
      </c>
      <c r="D4107" s="3" t="str">
        <f>IFERROR(__xludf.DUMMYFUNCTION("GOOGLETRANSLATE(C4107,""en"",""pl"")"),"żel")</f>
        <v>żel</v>
      </c>
    </row>
    <row r="4108">
      <c r="C4108" s="1" t="s">
        <v>4102</v>
      </c>
      <c r="D4108" s="3" t="str">
        <f>IFERROR(__xludf.DUMMYFUNCTION("GOOGLETRANSLATE(C4108,""en"",""pl"")"),"poddał się")</f>
        <v>poddał się</v>
      </c>
    </row>
    <row r="4109">
      <c r="C4109" s="1" t="s">
        <v>4103</v>
      </c>
      <c r="D4109" s="3" t="str">
        <f>IFERROR(__xludf.DUMMYFUNCTION("GOOGLETRANSLATE(C4109,""en"",""pl"")"),"chffff00")</f>
        <v>chffff00</v>
      </c>
    </row>
    <row r="4110">
      <c r="C4110" s="1" t="s">
        <v>4104</v>
      </c>
      <c r="D4110" s="3" t="str">
        <f>IFERROR(__xludf.DUMMYFUNCTION("GOOGLETRANSLATE(C4110,""en"",""pl"")"),"mile widziane")</f>
        <v>mile widziane</v>
      </c>
    </row>
    <row r="4111">
      <c r="C4111" s="1" t="s">
        <v>4105</v>
      </c>
      <c r="D4111" s="3" t="str">
        <f>IFERROR(__xludf.DUMMYFUNCTION("GOOGLETRANSLATE(C4111,""en"",""pl"")"),"Wendell")</f>
        <v>Wendell</v>
      </c>
    </row>
    <row r="4112">
      <c r="C4112" s="1" t="s">
        <v>4106</v>
      </c>
      <c r="D4112" s="3" t="str">
        <f>IFERROR(__xludf.DUMMYFUNCTION("GOOGLETRANSLATE(C4112,""en"",""pl"")"),"trójnik")</f>
        <v>trójnik</v>
      </c>
    </row>
    <row r="4113">
      <c r="C4113" s="1" t="s">
        <v>4107</v>
      </c>
      <c r="D4113" s="3" t="str">
        <f>IFERROR(__xludf.DUMMYFUNCTION("GOOGLETRANSLATE(C4113,""en"",""pl"")"),"wodowanie")</f>
        <v>wodowanie</v>
      </c>
    </row>
    <row r="4114">
      <c r="C4114" s="1" t="s">
        <v>4108</v>
      </c>
      <c r="D4114" s="3" t="str">
        <f>IFERROR(__xludf.DUMMYFUNCTION("GOOGLETRANSLATE(C4114,""en"",""pl"")"),"chuj")</f>
        <v>chuj</v>
      </c>
    </row>
    <row r="4115">
      <c r="C4115" s="1" t="s">
        <v>4109</v>
      </c>
      <c r="D4115" s="3" t="str">
        <f>IFERROR(__xludf.DUMMYFUNCTION("GOOGLETRANSLATE(C4115,""en"",""pl"")"),"crores")</f>
        <v>crores</v>
      </c>
    </row>
    <row r="4116">
      <c r="C4116" s="1" t="s">
        <v>4110</v>
      </c>
      <c r="D4116" s="3" t="str">
        <f>IFERROR(__xludf.DUMMYFUNCTION("GOOGLETRANSLATE(C4116,""en"",""pl"")"),"spadki")</f>
        <v>spadki</v>
      </c>
    </row>
    <row r="4117">
      <c r="C4117" s="1" t="s">
        <v>4111</v>
      </c>
      <c r="D4117" s="3" t="str">
        <f>IFERROR(__xludf.DUMMYFUNCTION("GOOGLETRANSLATE(C4117,""en"",""pl"")"),"ustępujący")</f>
        <v>ustępujący</v>
      </c>
    </row>
    <row r="4118">
      <c r="C4118" s="1" t="s">
        <v>4112</v>
      </c>
      <c r="D4118" s="3" t="str">
        <f>IFERROR(__xludf.DUMMYFUNCTION("GOOGLETRANSLATE(C4118,""en"",""pl"")"),"włócznie")</f>
        <v>włócznie</v>
      </c>
    </row>
    <row r="4119">
      <c r="C4119" s="1" t="s">
        <v>4113</v>
      </c>
      <c r="D4119" s="3" t="str">
        <f>IFERROR(__xludf.DUMMYFUNCTION("GOOGLETRANSLATE(C4119,""en"",""pl"")"),"Wikram")</f>
        <v>Wikram</v>
      </c>
    </row>
    <row r="4120">
      <c r="C4120" s="1" t="s">
        <v>4114</v>
      </c>
      <c r="D4120" s="3" t="str">
        <f>IFERROR(__xludf.DUMMYFUNCTION("GOOGLETRANSLATE(C4120,""en"",""pl"")"),"upoważnienie")</f>
        <v>upoważnienie</v>
      </c>
    </row>
    <row r="4121">
      <c r="C4121" s="1" t="s">
        <v>4115</v>
      </c>
      <c r="D4121" s="3" t="str">
        <f>IFERROR(__xludf.DUMMYFUNCTION("GOOGLETRANSLATE(C4121,""en"",""pl"")"),"osoby z zewnątrz")</f>
        <v>osoby z zewnątrz</v>
      </c>
    </row>
    <row r="4122">
      <c r="C4122" s="1" t="s">
        <v>4116</v>
      </c>
      <c r="D4122" s="3" t="str">
        <f>IFERROR(__xludf.DUMMYFUNCTION("GOOGLETRANSLATE(C4122,""en"",""pl"")"),"naleśnik")</f>
        <v>naleśnik</v>
      </c>
    </row>
    <row r="4123">
      <c r="C4123" s="1" t="s">
        <v>4117</v>
      </c>
      <c r="D4123" s="3" t="str">
        <f>IFERROR(__xludf.DUMMYFUNCTION("GOOGLETRANSLATE(C4123,""en"",""pl"")"),"prawdopodobieństwo")</f>
        <v>prawdopodobieństwo</v>
      </c>
    </row>
    <row r="4124">
      <c r="C4124" s="1" t="s">
        <v>4118</v>
      </c>
      <c r="D4124" s="3" t="str">
        <f>IFERROR(__xludf.DUMMYFUNCTION("GOOGLETRANSLATE(C4124,""en"",""pl"")"),"akcesorium")</f>
        <v>akcesorium</v>
      </c>
    </row>
    <row r="4125">
      <c r="C4125" s="1" t="s">
        <v>4119</v>
      </c>
      <c r="D4125" s="3" t="str">
        <f>IFERROR(__xludf.DUMMYFUNCTION("GOOGLETRANSLATE(C4125,""en"",""pl"")"),"Piotr")</f>
        <v>Piotr</v>
      </c>
    </row>
    <row r="4126">
      <c r="C4126" s="1" t="s">
        <v>4120</v>
      </c>
      <c r="D4126" s="3" t="str">
        <f>IFERROR(__xludf.DUMMYFUNCTION("GOOGLETRANSLATE(C4126,""en"",""pl"")"),"deportowany")</f>
        <v>deportowany</v>
      </c>
    </row>
    <row r="4127">
      <c r="C4127" s="1" t="s">
        <v>4121</v>
      </c>
      <c r="D4127" s="3" t="str">
        <f>IFERROR(__xludf.DUMMYFUNCTION("GOOGLETRANSLATE(C4127,""en"",""pl"")"),"kontrast")</f>
        <v>kontrast</v>
      </c>
    </row>
    <row r="4128">
      <c r="C4128" s="1" t="s">
        <v>4122</v>
      </c>
      <c r="D4128" s="3" t="str">
        <f>IFERROR(__xludf.DUMMYFUNCTION("GOOGLETRANSLATE(C4128,""en"",""pl"")"),"haki")</f>
        <v>haki</v>
      </c>
    </row>
    <row r="4129">
      <c r="C4129" s="1" t="s">
        <v>4123</v>
      </c>
      <c r="D4129" s="3" t="str">
        <f>IFERROR(__xludf.DUMMYFUNCTION("GOOGLETRANSLATE(C4129,""en"",""pl"")"),"uwagi")</f>
        <v>uwagi</v>
      </c>
    </row>
    <row r="4130">
      <c r="C4130" s="1" t="s">
        <v>4124</v>
      </c>
      <c r="D4130" s="3" t="str">
        <f>IFERROR(__xludf.DUMMYFUNCTION("GOOGLETRANSLATE(C4130,""en"",""pl"")"),"łączność")</f>
        <v>łączność</v>
      </c>
    </row>
    <row r="4131">
      <c r="C4131" s="1" t="s">
        <v>4125</v>
      </c>
      <c r="D4131" s="3" t="str">
        <f>IFERROR(__xludf.DUMMYFUNCTION("GOOGLETRANSLATE(C4131,""en"",""pl"")"),"faceci")</f>
        <v>faceci</v>
      </c>
    </row>
    <row r="4132">
      <c r="C4132" s="1" t="s">
        <v>4126</v>
      </c>
      <c r="D4132" s="3" t="str">
        <f>IFERROR(__xludf.DUMMYFUNCTION("GOOGLETRANSLATE(C4132,""en"",""pl"")"),"krater")</f>
        <v>krater</v>
      </c>
    </row>
    <row r="4133">
      <c r="C4133" s="1" t="s">
        <v>4127</v>
      </c>
      <c r="D4133" s="3" t="str">
        <f>IFERROR(__xludf.DUMMYFUNCTION("GOOGLETRANSLATE(C4133,""en"",""pl"")"),"rozkładać")</f>
        <v>rozkładać</v>
      </c>
    </row>
    <row r="4134">
      <c r="C4134" s="1" t="s">
        <v>4128</v>
      </c>
      <c r="D4134" s="3" t="str">
        <f>IFERROR(__xludf.DUMMYFUNCTION("GOOGLETRANSLATE(C4134,""en"",""pl"")"),"wokalizowanie")</f>
        <v>wokalizowanie</v>
      </c>
    </row>
    <row r="4135">
      <c r="C4135" s="1" t="s">
        <v>4129</v>
      </c>
      <c r="D4135" s="3" t="str">
        <f>IFERROR(__xludf.DUMMYFUNCTION("GOOGLETRANSLATE(C4135,""en"",""pl"")"),"Adele")</f>
        <v>Adele</v>
      </c>
    </row>
    <row r="4136">
      <c r="C4136" s="1" t="s">
        <v>4130</v>
      </c>
      <c r="D4136" s="3" t="str">
        <f>IFERROR(__xludf.DUMMYFUNCTION("GOOGLETRANSLATE(C4136,""en"",""pl"")"),"wodzowie")</f>
        <v>wodzowie</v>
      </c>
    </row>
    <row r="4137">
      <c r="C4137" s="1" t="s">
        <v>4131</v>
      </c>
      <c r="D4137" s="3" t="str">
        <f>IFERROR(__xludf.DUMMYFUNCTION("GOOGLETRANSLATE(C4137,""en"",""pl"")"),"sfotografowany")</f>
        <v>sfotografowany</v>
      </c>
    </row>
    <row r="4138">
      <c r="C4138" s="1" t="s">
        <v>4132</v>
      </c>
      <c r="D4138" s="3" t="str">
        <f>IFERROR(__xludf.DUMMYFUNCTION("GOOGLETRANSLATE(C4138,""en"",""pl"")"),"Próby")</f>
        <v>Próby</v>
      </c>
    </row>
    <row r="4139">
      <c r="C4139" s="1" t="s">
        <v>4133</v>
      </c>
      <c r="D4139" s="3" t="str">
        <f>IFERROR(__xludf.DUMMYFUNCTION("GOOGLETRANSLATE(C4139,""en"",""pl"")"),"Zbawiciel")</f>
        <v>Zbawiciel</v>
      </c>
    </row>
    <row r="4140">
      <c r="C4140" s="1" t="s">
        <v>4134</v>
      </c>
      <c r="D4140" s="3" t="str">
        <f>IFERROR(__xludf.DUMMYFUNCTION("GOOGLETRANSLATE(C4140,""en"",""pl"")"),"wydać okrzyk radości")</f>
        <v>wydać okrzyk radości</v>
      </c>
    </row>
    <row r="4141">
      <c r="C4141" s="1" t="s">
        <v>4135</v>
      </c>
      <c r="D4141" s="3" t="str">
        <f>IFERROR(__xludf.DUMMYFUNCTION("GOOGLETRANSLATE(C4141,""en"",""pl"")"),"kredyty")</f>
        <v>kredyty</v>
      </c>
    </row>
    <row r="4142">
      <c r="C4142" s="1" t="s">
        <v>4136</v>
      </c>
      <c r="D4142" s="3" t="str">
        <f>IFERROR(__xludf.DUMMYFUNCTION("GOOGLETRANSLATE(C4142,""en"",""pl"")"),"szalupa")</f>
        <v>szalupa</v>
      </c>
    </row>
    <row r="4143">
      <c r="C4143" s="1" t="s">
        <v>4137</v>
      </c>
      <c r="D4143" s="3" t="str">
        <f>IFERROR(__xludf.DUMMYFUNCTION("GOOGLETRANSLATE(C4143,""en"",""pl"")"),"hup")</f>
        <v>hup</v>
      </c>
    </row>
    <row r="4144">
      <c r="C4144" s="1" t="s">
        <v>4138</v>
      </c>
      <c r="D4144" s="3" t="str">
        <f>IFERROR(__xludf.DUMMYFUNCTION("GOOGLETRANSLATE(C4144,""en"",""pl"")"),"stabilność")</f>
        <v>stabilność</v>
      </c>
    </row>
    <row r="4145">
      <c r="C4145" s="1" t="s">
        <v>4139</v>
      </c>
      <c r="D4145" s="3" t="str">
        <f>IFERROR(__xludf.DUMMYFUNCTION("GOOGLETRANSLATE(C4145,""en"",""pl"")"),"obudzony")</f>
        <v>obudzony</v>
      </c>
    </row>
    <row r="4146">
      <c r="C4146" s="1" t="s">
        <v>4140</v>
      </c>
      <c r="D4146" s="3" t="str">
        <f>IFERROR(__xludf.DUMMYFUNCTION("GOOGLETRANSLATE(C4146,""en"",""pl"")"),"smród")</f>
        <v>smród</v>
      </c>
    </row>
    <row r="4147">
      <c r="C4147" s="1" t="s">
        <v>4141</v>
      </c>
      <c r="D4147" s="3" t="str">
        <f>IFERROR(__xludf.DUMMYFUNCTION("GOOGLETRANSLATE(C4147,""en"",""pl"")"),"opukanie")</f>
        <v>opukanie</v>
      </c>
    </row>
    <row r="4148">
      <c r="C4148" s="1" t="s">
        <v>4142</v>
      </c>
      <c r="D4148" s="3" t="str">
        <f>IFERROR(__xludf.DUMMYFUNCTION("GOOGLETRANSLATE(C4148,""en"",""pl"")"),"pchła")</f>
        <v>pchła</v>
      </c>
    </row>
    <row r="4149">
      <c r="C4149" s="4" t="s">
        <v>4143</v>
      </c>
      <c r="D4149" s="3" t="str">
        <f>IFERROR(__xludf.DUMMYFUNCTION("GOOGLETRANSLATE(C4149,""en"",""pl"")"),"siedzieć")</f>
        <v>siedzieć</v>
      </c>
    </row>
    <row r="4150">
      <c r="C4150" s="1" t="s">
        <v>4144</v>
      </c>
      <c r="D4150" s="3" t="str">
        <f>IFERROR(__xludf.DUMMYFUNCTION("GOOGLETRANSLATE(C4150,""en"",""pl"")"),"zniewalający")</f>
        <v>zniewalający</v>
      </c>
    </row>
    <row r="4151">
      <c r="C4151" s="1" t="s">
        <v>4145</v>
      </c>
      <c r="D4151" s="3" t="str">
        <f>IFERROR(__xludf.DUMMYFUNCTION("GOOGLETRANSLATE(C4151,""en"",""pl"")"),"dolores")</f>
        <v>dolores</v>
      </c>
    </row>
    <row r="4152">
      <c r="C4152" s="1" t="s">
        <v>4146</v>
      </c>
      <c r="D4152" s="3" t="str">
        <f>IFERROR(__xludf.DUMMYFUNCTION("GOOGLETRANSLATE(C4152,""en"",""pl"")"),"truskawki")</f>
        <v>truskawki</v>
      </c>
    </row>
    <row r="4153">
      <c r="C4153" s="1" t="s">
        <v>4147</v>
      </c>
      <c r="D4153" s="3" t="str">
        <f>IFERROR(__xludf.DUMMYFUNCTION("GOOGLETRANSLATE(C4153,""en"",""pl"")"),"W porządku")</f>
        <v>W porządku</v>
      </c>
    </row>
    <row r="4154">
      <c r="C4154" s="1" t="s">
        <v>4148</v>
      </c>
      <c r="D4154" s="3" t="str">
        <f>IFERROR(__xludf.DUMMYFUNCTION("GOOGLETRANSLATE(C4154,""en"",""pl"")"),"przekonania")</f>
        <v>przekonania</v>
      </c>
    </row>
    <row r="4155">
      <c r="C4155" s="1" t="s">
        <v>4149</v>
      </c>
      <c r="D4155" s="3" t="str">
        <f>IFERROR(__xludf.DUMMYFUNCTION("GOOGLETRANSLATE(C4155,""en"",""pl"")"),"mężulek")</f>
        <v>mężulek</v>
      </c>
    </row>
    <row r="4156">
      <c r="C4156" s="1" t="s">
        <v>4150</v>
      </c>
      <c r="D4156" s="3" t="str">
        <f>IFERROR(__xludf.DUMMYFUNCTION("GOOGLETRANSLATE(C4156,""en"",""pl"")"),"poczucie własnej wartości")</f>
        <v>poczucie własnej wartości</v>
      </c>
    </row>
    <row r="4157">
      <c r="C4157" s="1" t="s">
        <v>4151</v>
      </c>
      <c r="D4157" s="3" t="str">
        <f>IFERROR(__xludf.DUMMYFUNCTION("GOOGLETRANSLATE(C4157,""en"",""pl"")"),"grozi")</f>
        <v>grozi</v>
      </c>
    </row>
    <row r="4158">
      <c r="C4158" s="1" t="s">
        <v>4152</v>
      </c>
      <c r="D4158" s="3" t="str">
        <f>IFERROR(__xludf.DUMMYFUNCTION("GOOGLETRANSLATE(C4158,""en"",""pl"")"),"przedmieścia")</f>
        <v>przedmieścia</v>
      </c>
    </row>
    <row r="4159">
      <c r="C4159" s="1" t="s">
        <v>4153</v>
      </c>
      <c r="D4159" s="3" t="str">
        <f>IFERROR(__xludf.DUMMYFUNCTION("GOOGLETRANSLATE(C4159,""en"",""pl"")"),"zegary")</f>
        <v>zegary</v>
      </c>
    </row>
    <row r="4160">
      <c r="C4160" s="1" t="s">
        <v>4154</v>
      </c>
      <c r="D4160" s="3" t="str">
        <f>IFERROR(__xludf.DUMMYFUNCTION("GOOGLETRANSLATE(C4160,""en"",""pl"")"),"paw")</f>
        <v>paw</v>
      </c>
    </row>
    <row r="4161">
      <c r="C4161" s="1" t="s">
        <v>4155</v>
      </c>
      <c r="D4161" s="3" t="str">
        <f>IFERROR(__xludf.DUMMYFUNCTION("GOOGLETRANSLATE(C4161,""en"",""pl"")"),"chwalenie się")</f>
        <v>chwalenie się</v>
      </c>
    </row>
    <row r="4162">
      <c r="C4162" s="1" t="s">
        <v>4156</v>
      </c>
      <c r="D4162" s="3" t="str">
        <f>IFERROR(__xludf.DUMMYFUNCTION("GOOGLETRANSLATE(C4162,""en"",""pl"")"),"gabi")</f>
        <v>gabi</v>
      </c>
    </row>
    <row r="4163">
      <c r="C4163" s="1" t="s">
        <v>4157</v>
      </c>
      <c r="D4163" s="3" t="str">
        <f>IFERROR(__xludf.DUMMYFUNCTION("GOOGLETRANSLATE(C4163,""en"",""pl"")"),"Hurra")</f>
        <v>Hurra</v>
      </c>
    </row>
    <row r="4164">
      <c r="C4164" s="1" t="s">
        <v>4158</v>
      </c>
      <c r="D4164" s="3" t="str">
        <f>IFERROR(__xludf.DUMMYFUNCTION("GOOGLETRANSLATE(C4164,""en"",""pl"")"),"muczeć")</f>
        <v>muczeć</v>
      </c>
    </row>
    <row r="4165">
      <c r="C4165" s="1" t="s">
        <v>4159</v>
      </c>
      <c r="D4165" s="3" t="str">
        <f>IFERROR(__xludf.DUMMYFUNCTION("GOOGLETRANSLATE(C4165,""en"",""pl"")"),"bezgłośnie")</f>
        <v>bezgłośnie</v>
      </c>
    </row>
    <row r="4166">
      <c r="C4166" s="1" t="s">
        <v>4160</v>
      </c>
      <c r="D4166" s="3" t="str">
        <f>IFERROR(__xludf.DUMMYFUNCTION("GOOGLETRANSLATE(C4166,""en"",""pl"")"),"podświadomy")</f>
        <v>podświadomy</v>
      </c>
    </row>
    <row r="4167">
      <c r="C4167" s="1" t="s">
        <v>4161</v>
      </c>
      <c r="D4167" s="3" t="str">
        <f>IFERROR(__xludf.DUMMYFUNCTION("GOOGLETRANSLATE(C4167,""en"",""pl"")"),"grubasek")</f>
        <v>grubasek</v>
      </c>
    </row>
    <row r="4168">
      <c r="C4168" s="1" t="s">
        <v>4162</v>
      </c>
      <c r="D4168" s="3" t="str">
        <f>IFERROR(__xludf.DUMMYFUNCTION("GOOGLETRANSLATE(C4168,""en"",""pl"")"),"podroby")</f>
        <v>podroby</v>
      </c>
    </row>
    <row r="4169">
      <c r="C4169" s="1" t="s">
        <v>4163</v>
      </c>
      <c r="D4169" s="3" t="str">
        <f>IFERROR(__xludf.DUMMYFUNCTION("GOOGLETRANSLATE(C4169,""en"",""pl"")"),"reakcje")</f>
        <v>reakcje</v>
      </c>
    </row>
    <row r="4170">
      <c r="C4170" s="1" t="s">
        <v>4164</v>
      </c>
      <c r="D4170" s="3" t="str">
        <f>IFERROR(__xludf.DUMMYFUNCTION("GOOGLETRANSLATE(C4170,""en"",""pl"")"),"braki")</f>
        <v>braki</v>
      </c>
    </row>
    <row r="4171">
      <c r="C4171" s="1" t="s">
        <v>4165</v>
      </c>
      <c r="D4171" s="3" t="str">
        <f>IFERROR(__xludf.DUMMYFUNCTION("GOOGLETRANSLATE(C4171,""en"",""pl"")"),"Adolf")</f>
        <v>Adolf</v>
      </c>
    </row>
    <row r="4172">
      <c r="C4172" s="1" t="s">
        <v>4166</v>
      </c>
      <c r="D4172" s="3" t="str">
        <f>IFERROR(__xludf.DUMMYFUNCTION("GOOGLETRANSLATE(C4172,""en"",""pl"")"),"cud")</f>
        <v>cud</v>
      </c>
    </row>
    <row r="4173">
      <c r="C4173" s="1" t="s">
        <v>4167</v>
      </c>
      <c r="D4173" s="3" t="str">
        <f>IFERROR(__xludf.DUMMYFUNCTION("GOOGLETRANSLATE(C4173,""en"",""pl"")"),"rafinowany")</f>
        <v>rafinowany</v>
      </c>
    </row>
    <row r="4174">
      <c r="C4174" s="1" t="s">
        <v>4168</v>
      </c>
      <c r="D4174" s="3" t="str">
        <f>IFERROR(__xludf.DUMMYFUNCTION("GOOGLETRANSLATE(C4174,""en"",""pl"")"),"kładzie")</f>
        <v>kładzie</v>
      </c>
    </row>
    <row r="4175">
      <c r="C4175" s="1" t="s">
        <v>4169</v>
      </c>
      <c r="D4175" s="3" t="str">
        <f>IFERROR(__xludf.DUMMYFUNCTION("GOOGLETRANSLATE(C4175,""en"",""pl"")"),"dom parterowy")</f>
        <v>dom parterowy</v>
      </c>
    </row>
    <row r="4176">
      <c r="C4176" s="1" t="s">
        <v>4170</v>
      </c>
      <c r="D4176" s="3" t="str">
        <f>IFERROR(__xludf.DUMMYFUNCTION("GOOGLETRANSLATE(C4176,""en"",""pl"")"),"wzrost")</f>
        <v>wzrost</v>
      </c>
    </row>
    <row r="4177">
      <c r="C4177" s="1" t="s">
        <v>4171</v>
      </c>
      <c r="D4177" s="3" t="str">
        <f>IFERROR(__xludf.DUMMYFUNCTION("GOOGLETRANSLATE(C4177,""en"",""pl"")"),"23.")</f>
        <v>23.</v>
      </c>
    </row>
    <row r="4178">
      <c r="C4178" s="1" t="s">
        <v>4172</v>
      </c>
      <c r="D4178" s="3" t="str">
        <f>IFERROR(__xludf.DUMMYFUNCTION("GOOGLETRANSLATE(C4178,""en"",""pl"")"),"Praktyki")</f>
        <v>Praktyki</v>
      </c>
    </row>
    <row r="4179">
      <c r="C4179" s="1" t="s">
        <v>4173</v>
      </c>
      <c r="D4179" s="3" t="str">
        <f>IFERROR(__xludf.DUMMYFUNCTION("GOOGLETRANSLATE(C4179,""en"",""pl"")"),"środki ostrożności")</f>
        <v>środki ostrożności</v>
      </c>
    </row>
    <row r="4180">
      <c r="C4180" s="1" t="s">
        <v>4174</v>
      </c>
      <c r="D4180" s="3" t="str">
        <f>IFERROR(__xludf.DUMMYFUNCTION("GOOGLETRANSLATE(C4180,""en"",""pl"")"),"podziękował")</f>
        <v>podziękował</v>
      </c>
    </row>
    <row r="4181">
      <c r="C4181" s="1" t="s">
        <v>4175</v>
      </c>
      <c r="D4181" s="3" t="str">
        <f>IFERROR(__xludf.DUMMYFUNCTION("GOOGLETRANSLATE(C4181,""en"",""pl"")"),"wesoły")</f>
        <v>wesoły</v>
      </c>
    </row>
    <row r="4182">
      <c r="C4182" s="1" t="s">
        <v>4176</v>
      </c>
      <c r="D4182" s="3" t="str">
        <f>IFERROR(__xludf.DUMMYFUNCTION("GOOGLETRANSLATE(C4182,""en"",""pl"")"),"uran")</f>
        <v>uran</v>
      </c>
    </row>
    <row r="4183">
      <c r="C4183" s="1" t="s">
        <v>4177</v>
      </c>
      <c r="D4183" s="3" t="str">
        <f>IFERROR(__xludf.DUMMYFUNCTION("GOOGLETRANSLATE(C4183,""en"",""pl"")"),"Karolina")</f>
        <v>Karolina</v>
      </c>
    </row>
    <row r="4184">
      <c r="C4184" s="1" t="s">
        <v>4178</v>
      </c>
      <c r="D4184" s="3" t="str">
        <f>IFERROR(__xludf.DUMMYFUNCTION("GOOGLETRANSLATE(C4184,""en"",""pl"")"),"groźba")</f>
        <v>groźba</v>
      </c>
    </row>
    <row r="4185">
      <c r="C4185" s="1" t="s">
        <v>4179</v>
      </c>
      <c r="D4185" s="3" t="str">
        <f>IFERROR(__xludf.DUMMYFUNCTION("GOOGLETRANSLATE(C4185,""en"",""pl"")"),"Ernesto")</f>
        <v>Ernesto</v>
      </c>
    </row>
    <row r="4186">
      <c r="C4186" s="1" t="s">
        <v>4180</v>
      </c>
      <c r="D4186" s="3" t="str">
        <f>IFERROR(__xludf.DUMMYFUNCTION("GOOGLETRANSLATE(C4186,""en"",""pl"")"),"złamany")</f>
        <v>złamany</v>
      </c>
    </row>
    <row r="4187">
      <c r="C4187" s="1" t="s">
        <v>4181</v>
      </c>
      <c r="D4187" s="3" t="str">
        <f>IFERROR(__xludf.DUMMYFUNCTION("GOOGLETRANSLATE(C4187,""en"",""pl"")"),"chrzest")</f>
        <v>chrzest</v>
      </c>
    </row>
    <row r="4188">
      <c r="C4188" s="1" t="s">
        <v>4182</v>
      </c>
      <c r="D4188" s="3" t="str">
        <f>IFERROR(__xludf.DUMMYFUNCTION("GOOGLETRANSLATE(C4188,""en"",""pl"")"),"znany również jako")</f>
        <v>znany również jako</v>
      </c>
    </row>
    <row r="4189">
      <c r="C4189" s="1" t="s">
        <v>4183</v>
      </c>
      <c r="D4189" s="3" t="str">
        <f>IFERROR(__xludf.DUMMYFUNCTION("GOOGLETRANSLATE(C4189,""en"",""pl"")"),"stożek")</f>
        <v>stożek</v>
      </c>
    </row>
    <row r="4190">
      <c r="C4190" s="1" t="s">
        <v>4184</v>
      </c>
      <c r="D4190" s="3" t="str">
        <f>IFERROR(__xludf.DUMMYFUNCTION("GOOGLETRANSLATE(C4190,""en"",""pl"")"),"sauna")</f>
        <v>sauna</v>
      </c>
    </row>
    <row r="4191">
      <c r="C4191" s="1" t="s">
        <v>4185</v>
      </c>
      <c r="D4191" s="3" t="str">
        <f>IFERROR(__xludf.DUMMYFUNCTION("GOOGLETRANSLATE(C4191,""en"",""pl"")"),"wygaśnięcie")</f>
        <v>wygaśnięcie</v>
      </c>
    </row>
    <row r="4192">
      <c r="C4192" s="1" t="s">
        <v>4186</v>
      </c>
      <c r="D4192" s="3" t="str">
        <f>IFERROR(__xludf.DUMMYFUNCTION("GOOGLETRANSLATE(C4192,""en"",""pl"")"),"Randolph-")</f>
        <v>Randolph-</v>
      </c>
    </row>
    <row r="4193">
      <c r="C4193" s="1" t="s">
        <v>4187</v>
      </c>
      <c r="D4193" s="3" t="str">
        <f>IFERROR(__xludf.DUMMYFUNCTION("GOOGLETRANSLATE(C4193,""en"",""pl"")"),"wiązanie")</f>
        <v>wiązanie</v>
      </c>
    </row>
    <row r="4194">
      <c r="C4194" s="1" t="s">
        <v>4188</v>
      </c>
      <c r="D4194" s="3" t="str">
        <f>IFERROR(__xludf.DUMMYFUNCTION("GOOGLETRANSLATE(C4194,""en"",""pl"")"),"równość")</f>
        <v>równość</v>
      </c>
    </row>
    <row r="4195">
      <c r="C4195" s="1" t="s">
        <v>4189</v>
      </c>
      <c r="D4195" s="3" t="str">
        <f>IFERROR(__xludf.DUMMYFUNCTION("GOOGLETRANSLATE(C4195,""en"",""pl"")"),"burżuazyjny")</f>
        <v>burżuazyjny</v>
      </c>
    </row>
    <row r="4196">
      <c r="C4196" s="1" t="s">
        <v>4190</v>
      </c>
      <c r="D4196" s="3" t="str">
        <f>IFERROR(__xludf.DUMMYFUNCTION("GOOGLETRANSLATE(C4196,""en"",""pl"")"),"wstawić")</f>
        <v>wstawić</v>
      </c>
    </row>
    <row r="4197">
      <c r="C4197" s="1" t="s">
        <v>4191</v>
      </c>
      <c r="D4197" s="3" t="str">
        <f>IFERROR(__xludf.DUMMYFUNCTION("GOOGLETRANSLATE(C4197,""en"",""pl"")"),"csi")</f>
        <v>csi</v>
      </c>
    </row>
    <row r="4198">
      <c r="C4198" s="1" t="s">
        <v>4192</v>
      </c>
      <c r="D4198" s="3" t="str">
        <f>IFERROR(__xludf.DUMMYFUNCTION("GOOGLETRANSLATE(C4198,""en"",""pl"")"),"Kiki")</f>
        <v>Kiki</v>
      </c>
    </row>
    <row r="4199">
      <c r="C4199" s="1" t="s">
        <v>4193</v>
      </c>
      <c r="D4199" s="3" t="str">
        <f>IFERROR(__xludf.DUMMYFUNCTION("GOOGLETRANSLATE(C4199,""en"",""pl"")"),"wiek dojrzewania")</f>
        <v>wiek dojrzewania</v>
      </c>
    </row>
    <row r="4200">
      <c r="C4200" s="1" t="s">
        <v>4194</v>
      </c>
      <c r="D4200" s="3" t="str">
        <f>IFERROR(__xludf.DUMMYFUNCTION("GOOGLETRANSLATE(C4200,""en"",""pl"")"),"spadek")</f>
        <v>spadek</v>
      </c>
    </row>
    <row r="4201">
      <c r="C4201" s="1" t="s">
        <v>4195</v>
      </c>
      <c r="D4201" s="3" t="str">
        <f>IFERROR(__xludf.DUMMYFUNCTION("GOOGLETRANSLATE(C4201,""en"",""pl"")"),"pedał")</f>
        <v>pedał</v>
      </c>
    </row>
    <row r="4202">
      <c r="C4202" s="1" t="s">
        <v>4196</v>
      </c>
      <c r="D4202" s="3" t="str">
        <f>IFERROR(__xludf.DUMMYFUNCTION("GOOGLETRANSLATE(C4202,""en"",""pl"")"),"Lewy")</f>
        <v>Lewy</v>
      </c>
    </row>
    <row r="4203">
      <c r="C4203" s="1" t="s">
        <v>4197</v>
      </c>
      <c r="D4203" s="3" t="str">
        <f>IFERROR(__xludf.DUMMYFUNCTION("GOOGLETRANSLATE(C4203,""en"",""pl"")"),"Peru")</f>
        <v>Peru</v>
      </c>
    </row>
    <row r="4204">
      <c r="C4204" s="1" t="s">
        <v>4198</v>
      </c>
      <c r="D4204" s="3" t="str">
        <f>IFERROR(__xludf.DUMMYFUNCTION("GOOGLETRANSLATE(C4204,""en"",""pl"")"),"stajnie")</f>
        <v>stajnie</v>
      </c>
    </row>
    <row r="4205">
      <c r="C4205" s="1" t="s">
        <v>4199</v>
      </c>
      <c r="D4205" s="3" t="str">
        <f>IFERROR(__xludf.DUMMYFUNCTION("GOOGLETRANSLATE(C4205,""en"",""pl"")"),"Irving")</f>
        <v>Irving</v>
      </c>
    </row>
    <row r="4206">
      <c r="C4206" s="1" t="s">
        <v>4200</v>
      </c>
      <c r="D4206" s="3" t="str">
        <f>IFERROR(__xludf.DUMMYFUNCTION("GOOGLETRANSLATE(C4206,""en"",""pl"")"),"buddyjski")</f>
        <v>buddyjski</v>
      </c>
    </row>
    <row r="4207">
      <c r="C4207" s="1" t="s">
        <v>4201</v>
      </c>
      <c r="D4207" s="3" t="str">
        <f>IFERROR(__xludf.DUMMYFUNCTION("GOOGLETRANSLATE(C4207,""en"",""pl"")"),"ambicje")</f>
        <v>ambicje</v>
      </c>
    </row>
    <row r="4208">
      <c r="C4208" s="1" t="s">
        <v>4202</v>
      </c>
      <c r="D4208" s="3" t="str">
        <f>IFERROR(__xludf.DUMMYFUNCTION("GOOGLETRANSLATE(C4208,""en"",""pl"")"),"teren")</f>
        <v>teren</v>
      </c>
    </row>
    <row r="4209">
      <c r="C4209" s="1" t="s">
        <v>4203</v>
      </c>
      <c r="D4209" s="3" t="str">
        <f>IFERROR(__xludf.DUMMYFUNCTION("GOOGLETRANSLATE(C4209,""en"",""pl"")"),"turbo")</f>
        <v>turbo</v>
      </c>
    </row>
    <row r="4210">
      <c r="C4210" s="1" t="s">
        <v>4204</v>
      </c>
      <c r="D4210" s="3" t="str">
        <f>IFERROR(__xludf.DUMMYFUNCTION("GOOGLETRANSLATE(C4210,""en"",""pl"")"),"Hej")</f>
        <v>Hej</v>
      </c>
    </row>
    <row r="4211">
      <c r="C4211" s="1" t="s">
        <v>4205</v>
      </c>
      <c r="D4211" s="3" t="str">
        <f>IFERROR(__xludf.DUMMYFUNCTION("GOOGLETRANSLATE(C4211,""en"",""pl"")"),"ekranizacja")</f>
        <v>ekranizacja</v>
      </c>
    </row>
    <row r="4212">
      <c r="C4212" s="1" t="s">
        <v>4206</v>
      </c>
      <c r="D4212" s="3" t="str">
        <f>IFERROR(__xludf.DUMMYFUNCTION("GOOGLETRANSLATE(C4212,""en"",""pl"")"),"mam")</f>
        <v>mam</v>
      </c>
    </row>
    <row r="4213">
      <c r="C4213" s="1" t="s">
        <v>4207</v>
      </c>
      <c r="D4213" s="3" t="str">
        <f>IFERROR(__xludf.DUMMYFUNCTION("GOOGLETRANSLATE(C4213,""en"",""pl"")"),"zamieszki")</f>
        <v>zamieszki</v>
      </c>
    </row>
    <row r="4214">
      <c r="C4214" s="1" t="s">
        <v>4208</v>
      </c>
      <c r="D4214" s="3" t="str">
        <f>IFERROR(__xludf.DUMMYFUNCTION("GOOGLETRANSLATE(C4214,""en"",""pl"")"),"Trening")</f>
        <v>Trening</v>
      </c>
    </row>
    <row r="4215">
      <c r="C4215" s="1" t="s">
        <v>4209</v>
      </c>
      <c r="D4215" s="3" t="str">
        <f>IFERROR(__xludf.DUMMYFUNCTION("GOOGLETRANSLATE(C4215,""en"",""pl"")"),"eksploduje")</f>
        <v>eksploduje</v>
      </c>
    </row>
    <row r="4216">
      <c r="C4216" s="1" t="s">
        <v>4210</v>
      </c>
      <c r="D4216" s="3" t="str">
        <f>IFERROR(__xludf.DUMMYFUNCTION("GOOGLETRANSLATE(C4216,""en"",""pl"")"),"przedwczesny")</f>
        <v>przedwczesny</v>
      </c>
    </row>
    <row r="4217">
      <c r="C4217" s="1" t="s">
        <v>4211</v>
      </c>
      <c r="D4217" s="3" t="str">
        <f>IFERROR(__xludf.DUMMYFUNCTION("GOOGLETRANSLATE(C4217,""en"",""pl"")"),"lsn")</f>
        <v>lsn</v>
      </c>
    </row>
    <row r="4218">
      <c r="C4218" s="1" t="s">
        <v>4212</v>
      </c>
      <c r="D4218" s="3" t="str">
        <f>IFERROR(__xludf.DUMMYFUNCTION("GOOGLETRANSLATE(C4218,""en"",""pl"")"),"nie spełniony")</f>
        <v>nie spełniony</v>
      </c>
    </row>
    <row r="4219">
      <c r="C4219" s="1" t="s">
        <v>4213</v>
      </c>
      <c r="D4219" s="3" t="str">
        <f>IFERROR(__xludf.DUMMYFUNCTION("GOOGLETRANSLATE(C4219,""en"",""pl"")"),"qi")</f>
        <v>qi</v>
      </c>
    </row>
    <row r="4220">
      <c r="C4220" s="1" t="s">
        <v>4214</v>
      </c>
      <c r="D4220" s="3" t="str">
        <f>IFERROR(__xludf.DUMMYFUNCTION("GOOGLETRANSLATE(C4220,""en"",""pl"")"),"komunizm")</f>
        <v>komunizm</v>
      </c>
    </row>
    <row r="4221">
      <c r="C4221" s="1" t="s">
        <v>4215</v>
      </c>
      <c r="D4221" s="3" t="str">
        <f>IFERROR(__xludf.DUMMYFUNCTION("GOOGLETRANSLATE(C4221,""en"",""pl"")"),"dopasowany")</f>
        <v>dopasowany</v>
      </c>
    </row>
    <row r="4222">
      <c r="C4222" s="1" t="s">
        <v>4216</v>
      </c>
      <c r="D4222" s="3" t="str">
        <f>IFERROR(__xludf.DUMMYFUNCTION("GOOGLETRANSLATE(C4222,""en"",""pl"")"),"zdradziecki")</f>
        <v>zdradziecki</v>
      </c>
    </row>
    <row r="4223">
      <c r="C4223" s="1" t="s">
        <v>4217</v>
      </c>
      <c r="D4223" s="3" t="str">
        <f>IFERROR(__xludf.DUMMYFUNCTION("GOOGLETRANSLATE(C4223,""en"",""pl"")"),"sprawdzać")</f>
        <v>sprawdzać</v>
      </c>
    </row>
    <row r="4224">
      <c r="C4224" s="1" t="s">
        <v>4218</v>
      </c>
      <c r="D4224" s="3" t="str">
        <f>IFERROR(__xludf.DUMMYFUNCTION("GOOGLETRANSLATE(C4224,""en"",""pl"")"),"Hurra")</f>
        <v>Hurra</v>
      </c>
    </row>
    <row r="4225">
      <c r="C4225" s="1" t="s">
        <v>4219</v>
      </c>
      <c r="D4225" s="3" t="str">
        <f>IFERROR(__xludf.DUMMYFUNCTION("GOOGLETRANSLATE(C4225,""en"",""pl"")"),"nieodparty")</f>
        <v>nieodparty</v>
      </c>
    </row>
    <row r="4226">
      <c r="C4226" s="1" t="s">
        <v>4220</v>
      </c>
      <c r="D4226" s="3" t="str">
        <f>IFERROR(__xludf.DUMMYFUNCTION("GOOGLETRANSLATE(C4226,""en"",""pl"")"),"Joanna")</f>
        <v>Joanna</v>
      </c>
    </row>
    <row r="4227">
      <c r="C4227" s="1" t="s">
        <v>4221</v>
      </c>
      <c r="D4227" s="3" t="str">
        <f>IFERROR(__xludf.DUMMYFUNCTION("GOOGLETRANSLATE(C4227,""en"",""pl"")"),"Eliasz")</f>
        <v>Eliasz</v>
      </c>
    </row>
    <row r="4228">
      <c r="C4228" s="1" t="s">
        <v>4222</v>
      </c>
      <c r="D4228" s="3" t="str">
        <f>IFERROR(__xludf.DUMMYFUNCTION("GOOGLETRANSLATE(C4228,""en"",""pl"")"),"północny wschód")</f>
        <v>północny wschód</v>
      </c>
    </row>
    <row r="4229">
      <c r="C4229" s="1" t="s">
        <v>4223</v>
      </c>
      <c r="D4229" s="3" t="str">
        <f>IFERROR(__xludf.DUMMYFUNCTION("GOOGLETRANSLATE(C4229,""en"",""pl"")"),"wróbel")</f>
        <v>wróbel</v>
      </c>
    </row>
    <row r="4230">
      <c r="C4230" s="1" t="s">
        <v>4224</v>
      </c>
      <c r="D4230" s="3" t="str">
        <f>IFERROR(__xludf.DUMMYFUNCTION("GOOGLETRANSLATE(C4230,""en"",""pl"")"),"Cyganie")</f>
        <v>Cyganie</v>
      </c>
    </row>
    <row r="4231">
      <c r="C4231" s="1" t="s">
        <v>4225</v>
      </c>
      <c r="D4231" s="3" t="str">
        <f>IFERROR(__xludf.DUMMYFUNCTION("GOOGLETRANSLATE(C4231,""en"",""pl"")"),"wykonawca")</f>
        <v>wykonawca</v>
      </c>
    </row>
    <row r="4232">
      <c r="C4232" s="1" t="s">
        <v>4226</v>
      </c>
      <c r="D4232" s="3" t="str">
        <f>IFERROR(__xludf.DUMMYFUNCTION("GOOGLETRANSLATE(C4232,""en"",""pl"")"),"napar")</f>
        <v>napar</v>
      </c>
    </row>
    <row r="4233">
      <c r="C4233" s="1" t="s">
        <v>4227</v>
      </c>
      <c r="D4233" s="3" t="str">
        <f>IFERROR(__xludf.DUMMYFUNCTION("GOOGLETRANSLATE(C4233,""en"",""pl"")"),"Dobrze.")</f>
        <v>Dobrze.</v>
      </c>
    </row>
    <row r="4234">
      <c r="C4234" s="1" t="s">
        <v>4228</v>
      </c>
      <c r="D4234" s="3" t="str">
        <f>IFERROR(__xludf.DUMMYFUNCTION("GOOGLETRANSLATE(C4234,""en"",""pl"")"),"tytuły")</f>
        <v>tytuły</v>
      </c>
    </row>
    <row r="4235">
      <c r="C4235" s="1" t="s">
        <v>4229</v>
      </c>
      <c r="D4235" s="3" t="str">
        <f>IFERROR(__xludf.DUMMYFUNCTION("GOOGLETRANSLATE(C4235,""en"",""pl"")"),"pomysłowy")</f>
        <v>pomysłowy</v>
      </c>
    </row>
    <row r="4236">
      <c r="C4236" s="1" t="s">
        <v>4230</v>
      </c>
      <c r="D4236" s="3" t="str">
        <f>IFERROR(__xludf.DUMMYFUNCTION("GOOGLETRANSLATE(C4236,""en"",""pl"")"),"pękanie")</f>
        <v>pękanie</v>
      </c>
    </row>
    <row r="4237">
      <c r="C4237" s="1" t="s">
        <v>4231</v>
      </c>
      <c r="D4237" s="3" t="str">
        <f>IFERROR(__xludf.DUMMYFUNCTION("GOOGLETRANSLATE(C4237,""en"",""pl"")"),"łajno")</f>
        <v>łajno</v>
      </c>
    </row>
    <row r="4238">
      <c r="C4238" s="1" t="s">
        <v>4232</v>
      </c>
      <c r="D4238" s="3" t="str">
        <f>IFERROR(__xludf.DUMMYFUNCTION("GOOGLETRANSLATE(C4238,""en"",""pl"")"),"pretendent")</f>
        <v>pretendent</v>
      </c>
    </row>
    <row r="4239">
      <c r="C4239" s="1" t="s">
        <v>4233</v>
      </c>
      <c r="D4239" s="3" t="str">
        <f>IFERROR(__xludf.DUMMYFUNCTION("GOOGLETRANSLATE(C4239,""en"",""pl"")"),"Bagdad")</f>
        <v>Bagdad</v>
      </c>
    </row>
    <row r="4240">
      <c r="C4240" s="1" t="s">
        <v>4234</v>
      </c>
      <c r="D4240" s="3" t="str">
        <f>IFERROR(__xludf.DUMMYFUNCTION("GOOGLETRANSLATE(C4240,""en"",""pl"")"),"biuletyn")</f>
        <v>biuletyn</v>
      </c>
    </row>
    <row r="4241">
      <c r="C4241" s="1" t="s">
        <v>4235</v>
      </c>
      <c r="D4241" s="3" t="str">
        <f>IFERROR(__xludf.DUMMYFUNCTION("GOOGLETRANSLATE(C4241,""en"",""pl"")"),"zapowiedź")</f>
        <v>zapowiedź</v>
      </c>
    </row>
    <row r="4242">
      <c r="C4242" s="1" t="s">
        <v>4236</v>
      </c>
      <c r="D4242" s="3" t="str">
        <f>IFERROR(__xludf.DUMMYFUNCTION("GOOGLETRANSLATE(C4242,""en"",""pl"")"),"pech")</f>
        <v>pech</v>
      </c>
    </row>
    <row r="4243">
      <c r="C4243" s="1" t="s">
        <v>4237</v>
      </c>
      <c r="D4243" s="3" t="str">
        <f>IFERROR(__xludf.DUMMYFUNCTION("GOOGLETRANSLATE(C4243,""en"",""pl"")"),"nieśmiertelność")</f>
        <v>nieśmiertelność</v>
      </c>
    </row>
    <row r="4244">
      <c r="C4244" s="1" t="s">
        <v>4238</v>
      </c>
      <c r="D4244" s="3" t="str">
        <f>IFERROR(__xludf.DUMMYFUNCTION("GOOGLETRANSLATE(C4244,""en"",""pl"")"),"rekrutuje")</f>
        <v>rekrutuje</v>
      </c>
    </row>
    <row r="4245">
      <c r="C4245" s="1" t="s">
        <v>4239</v>
      </c>
      <c r="D4245" s="3" t="str">
        <f>IFERROR(__xludf.DUMMYFUNCTION("GOOGLETRANSLATE(C4245,""en"",""pl"")"),"Andrzej")</f>
        <v>Andrzej</v>
      </c>
    </row>
    <row r="4246">
      <c r="C4246" s="1" t="s">
        <v>4240</v>
      </c>
      <c r="D4246" s="3" t="str">
        <f>IFERROR(__xludf.DUMMYFUNCTION("GOOGLETRANSLATE(C4246,""en"",""pl"")"),"porzucony")</f>
        <v>porzucony</v>
      </c>
    </row>
    <row r="4247">
      <c r="C4247" s="1" t="s">
        <v>4241</v>
      </c>
      <c r="D4247" s="3" t="str">
        <f>IFERROR(__xludf.DUMMYFUNCTION("GOOGLETRANSLATE(C4247,""en"",""pl"")"),"kusić")</f>
        <v>kusić</v>
      </c>
    </row>
    <row r="4248">
      <c r="C4248" s="1" t="s">
        <v>4242</v>
      </c>
      <c r="D4248" s="3" t="str">
        <f>IFERROR(__xludf.DUMMYFUNCTION("GOOGLETRANSLATE(C4248,""en"",""pl"")"),"procesja")</f>
        <v>procesja</v>
      </c>
    </row>
    <row r="4249">
      <c r="C4249" s="1" t="s">
        <v>4243</v>
      </c>
      <c r="D4249" s="3" t="str">
        <f>IFERROR(__xludf.DUMMYFUNCTION("GOOGLETRANSLATE(C4249,""en"",""pl"")"),"Eduardo")</f>
        <v>Eduardo</v>
      </c>
    </row>
    <row r="4250">
      <c r="C4250" s="1" t="s">
        <v>4244</v>
      </c>
      <c r="D4250" s="3" t="str">
        <f>IFERROR(__xludf.DUMMYFUNCTION("GOOGLETRANSLATE(C4250,""en"",""pl"")"),"melon")</f>
        <v>melon</v>
      </c>
    </row>
    <row r="4251">
      <c r="C4251" s="1" t="s">
        <v>4245</v>
      </c>
      <c r="D4251" s="3" t="str">
        <f>IFERROR(__xludf.DUMMYFUNCTION("GOOGLETRANSLATE(C4251,""en"",""pl"")"),"słabości")</f>
        <v>słabości</v>
      </c>
    </row>
    <row r="4252">
      <c r="C4252" s="1" t="s">
        <v>4246</v>
      </c>
      <c r="D4252" s="3" t="str">
        <f>IFERROR(__xludf.DUMMYFUNCTION("GOOGLETRANSLATE(C4252,""en"",""pl"")"),"powietrze")</f>
        <v>powietrze</v>
      </c>
    </row>
    <row r="4253">
      <c r="C4253" s="1" t="s">
        <v>4247</v>
      </c>
      <c r="D4253" s="3" t="str">
        <f>IFERROR(__xludf.DUMMYFUNCTION("GOOGLETRANSLATE(C4253,""en"",""pl"")"),"pokrętło")</f>
        <v>pokrętło</v>
      </c>
    </row>
    <row r="4254">
      <c r="C4254" s="1" t="s">
        <v>4248</v>
      </c>
      <c r="D4254" s="3" t="str">
        <f>IFERROR(__xludf.DUMMYFUNCTION("GOOGLETRANSLATE(C4254,""en"",""pl"")"),"domena")</f>
        <v>domena</v>
      </c>
    </row>
    <row r="4255">
      <c r="C4255" s="1" t="s">
        <v>4249</v>
      </c>
      <c r="D4255" s="3" t="str">
        <f>IFERROR(__xludf.DUMMYFUNCTION("GOOGLETRANSLATE(C4255,""en"",""pl"")"),"zakończyć")</f>
        <v>zakończyć</v>
      </c>
    </row>
    <row r="4256">
      <c r="C4256" s="1" t="s">
        <v>4250</v>
      </c>
      <c r="D4256" s="3" t="str">
        <f>IFERROR(__xludf.DUMMYFUNCTION("GOOGLETRANSLATE(C4256,""en"",""pl"")"),"kredens")</f>
        <v>kredens</v>
      </c>
    </row>
    <row r="4257">
      <c r="C4257" s="1" t="s">
        <v>4251</v>
      </c>
      <c r="D4257" s="3" t="str">
        <f>IFERROR(__xludf.DUMMYFUNCTION("GOOGLETRANSLATE(C4257,""en"",""pl"")"),"Bao-bao")</f>
        <v>Bao-bao</v>
      </c>
    </row>
    <row r="4258">
      <c r="C4258" s="1" t="s">
        <v>4252</v>
      </c>
      <c r="D4258" s="3" t="str">
        <f>IFERROR(__xludf.DUMMYFUNCTION("GOOGLETRANSLATE(C4258,""en"",""pl"")"),"jagody")</f>
        <v>jagody</v>
      </c>
    </row>
    <row r="4259">
      <c r="C4259" s="1" t="s">
        <v>4253</v>
      </c>
      <c r="D4259" s="3" t="str">
        <f>IFERROR(__xludf.DUMMYFUNCTION("GOOGLETRANSLATE(C4259,""en"",""pl"")"),"naciągnięcie")</f>
        <v>naciągnięcie</v>
      </c>
    </row>
    <row r="4260">
      <c r="C4260" s="1" t="s">
        <v>4254</v>
      </c>
      <c r="D4260" s="3" t="str">
        <f>IFERROR(__xludf.DUMMYFUNCTION("GOOGLETRANSLATE(C4260,""en"",""pl"")"),"sieczka")</f>
        <v>sieczka</v>
      </c>
    </row>
    <row r="4261">
      <c r="C4261" s="1" t="s">
        <v>4255</v>
      </c>
      <c r="D4261" s="3" t="str">
        <f>IFERROR(__xludf.DUMMYFUNCTION("GOOGLETRANSLATE(C4261,""en"",""pl"")"),"wietrzny")</f>
        <v>wietrzny</v>
      </c>
    </row>
    <row r="4262">
      <c r="C4262" s="1" t="s">
        <v>4256</v>
      </c>
      <c r="D4262" s="3" t="str">
        <f>IFERROR(__xludf.DUMMYFUNCTION("GOOGLETRANSLATE(C4262,""en"",""pl"")"),"patent")</f>
        <v>patent</v>
      </c>
    </row>
    <row r="4263">
      <c r="C4263" s="1" t="s">
        <v>4257</v>
      </c>
      <c r="D4263" s="3" t="str">
        <f>IFERROR(__xludf.DUMMYFUNCTION("GOOGLETRANSLATE(C4263,""en"",""pl"")"),"kupcy")</f>
        <v>kupcy</v>
      </c>
    </row>
    <row r="4264">
      <c r="C4264" s="1" t="s">
        <v>4258</v>
      </c>
      <c r="D4264" s="3" t="str">
        <f>IFERROR(__xludf.DUMMYFUNCTION("GOOGLETRANSLATE(C4264,""en"",""pl"")"),"opłacalny")</f>
        <v>opłacalny</v>
      </c>
    </row>
    <row r="4265">
      <c r="C4265" s="1" t="s">
        <v>4259</v>
      </c>
      <c r="D4265" s="3" t="str">
        <f>IFERROR(__xludf.DUMMYFUNCTION("GOOGLETRANSLATE(C4265,""en"",""pl"")"),"Ryder")</f>
        <v>Ryder</v>
      </c>
    </row>
    <row r="4266">
      <c r="C4266" s="1" t="s">
        <v>4260</v>
      </c>
      <c r="D4266" s="3" t="str">
        <f>IFERROR(__xludf.DUMMYFUNCTION("GOOGLETRANSLATE(C4266,""en"",""pl"")"),"więzienia")</f>
        <v>więzienia</v>
      </c>
    </row>
    <row r="4267">
      <c r="C4267" s="1" t="s">
        <v>4261</v>
      </c>
      <c r="D4267" s="3" t="str">
        <f>IFERROR(__xludf.DUMMYFUNCTION("GOOGLETRANSLATE(C4267,""en"",""pl"")"),"odzysk")</f>
        <v>odzysk</v>
      </c>
    </row>
    <row r="4268">
      <c r="C4268" s="1" t="s">
        <v>4262</v>
      </c>
      <c r="D4268" s="3" t="str">
        <f>IFERROR(__xludf.DUMMYFUNCTION("GOOGLETRANSLATE(C4268,""en"",""pl"")"),"wspominając")</f>
        <v>wspominając</v>
      </c>
    </row>
    <row r="4269">
      <c r="C4269" s="1" t="s">
        <v>4263</v>
      </c>
      <c r="D4269" s="3" t="str">
        <f>IFERROR(__xludf.DUMMYFUNCTION("GOOGLETRANSLATE(C4269,""en"",""pl"")"),"dziewczyna")</f>
        <v>dziewczyna</v>
      </c>
    </row>
    <row r="4270">
      <c r="C4270" s="1" t="s">
        <v>4264</v>
      </c>
      <c r="D4270" s="3" t="str">
        <f>IFERROR(__xludf.DUMMYFUNCTION("GOOGLETRANSLATE(C4270,""en"",""pl"")"),"toksyczny")</f>
        <v>toksyczny</v>
      </c>
    </row>
    <row r="4271">
      <c r="C4271" s="1" t="s">
        <v>4265</v>
      </c>
      <c r="D4271" s="3" t="str">
        <f>IFERROR(__xludf.DUMMYFUNCTION("GOOGLETRANSLATE(C4271,""en"",""pl"")"),"Sonia")</f>
        <v>Sonia</v>
      </c>
    </row>
    <row r="4272">
      <c r="C4272" s="1" t="s">
        <v>4266</v>
      </c>
      <c r="D4272" s="3" t="str">
        <f>IFERROR(__xludf.DUMMYFUNCTION("GOOGLETRANSLATE(C4272,""en"",""pl"")"),"puf")</f>
        <v>puf</v>
      </c>
    </row>
    <row r="4273">
      <c r="C4273" s="1" t="s">
        <v>4267</v>
      </c>
      <c r="D4273" s="3" t="str">
        <f>IFERROR(__xludf.DUMMYFUNCTION("GOOGLETRANSLATE(C4273,""en"",""pl"")"),"produktywny")</f>
        <v>produktywny</v>
      </c>
    </row>
    <row r="4274">
      <c r="C4274" s="1" t="s">
        <v>4268</v>
      </c>
      <c r="D4274" s="3" t="str">
        <f>IFERROR(__xludf.DUMMYFUNCTION("GOOGLETRANSLATE(C4274,""en"",""pl"")"),"hosting")</f>
        <v>hosting</v>
      </c>
    </row>
    <row r="4275">
      <c r="C4275" s="1" t="s">
        <v>4269</v>
      </c>
      <c r="D4275" s="3" t="str">
        <f>IFERROR(__xludf.DUMMYFUNCTION("GOOGLETRANSLATE(C4275,""en"",""pl"")"),"czynić")</f>
        <v>czynić</v>
      </c>
    </row>
    <row r="4276">
      <c r="C4276" s="1" t="s">
        <v>4270</v>
      </c>
      <c r="D4276" s="3" t="str">
        <f>IFERROR(__xludf.DUMMYFUNCTION("GOOGLETRANSLATE(C4276,""en"",""pl"")"),"swędzenie")</f>
        <v>swędzenie</v>
      </c>
    </row>
    <row r="4277">
      <c r="C4277" s="1" t="s">
        <v>4271</v>
      </c>
      <c r="D4277" s="3" t="str">
        <f>IFERROR(__xludf.DUMMYFUNCTION("GOOGLETRANSLATE(C4277,""en"",""pl"")"),"derby")</f>
        <v>derby</v>
      </c>
    </row>
    <row r="4278">
      <c r="C4278" s="1" t="s">
        <v>4272</v>
      </c>
      <c r="D4278" s="3" t="str">
        <f>IFERROR(__xludf.DUMMYFUNCTION("GOOGLETRANSLATE(C4278,""en"",""pl"")"),"złota rybka")</f>
        <v>złota rybka</v>
      </c>
    </row>
    <row r="4279">
      <c r="C4279" s="1" t="s">
        <v>4273</v>
      </c>
      <c r="D4279" s="3" t="str">
        <f>IFERROR(__xludf.DUMMYFUNCTION("GOOGLETRANSLATE(C4279,""en"",""pl"")"),"stolica")</f>
        <v>stolica</v>
      </c>
    </row>
    <row r="4280">
      <c r="C4280" s="1" t="s">
        <v>4274</v>
      </c>
      <c r="D4280" s="3" t="str">
        <f>IFERROR(__xludf.DUMMYFUNCTION("GOOGLETRANSLATE(C4280,""en"",""pl"")"),"wypoczynek")</f>
        <v>wypoczynek</v>
      </c>
    </row>
    <row r="4281">
      <c r="C4281" s="1" t="s">
        <v>4275</v>
      </c>
      <c r="D4281" s="3" t="str">
        <f>IFERROR(__xludf.DUMMYFUNCTION("GOOGLETRANSLATE(C4281,""en"",""pl"")"),"polerować")</f>
        <v>polerować</v>
      </c>
    </row>
    <row r="4282">
      <c r="C4282" s="1" t="s">
        <v>4276</v>
      </c>
      <c r="D4282" s="3" t="str">
        <f>IFERROR(__xludf.DUMMYFUNCTION("GOOGLETRANSLATE(C4282,""en"",""pl"")"),"iluzje")</f>
        <v>iluzje</v>
      </c>
    </row>
    <row r="4283">
      <c r="C4283" s="1" t="s">
        <v>4277</v>
      </c>
      <c r="D4283" s="3" t="str">
        <f>IFERROR(__xludf.DUMMYFUNCTION("GOOGLETRANSLATE(C4283,""en"",""pl"")"),"zawiadomienia")</f>
        <v>zawiadomienia</v>
      </c>
    </row>
    <row r="4284">
      <c r="C4284" s="1" t="s">
        <v>4278</v>
      </c>
      <c r="D4284" s="3" t="str">
        <f>IFERROR(__xludf.DUMMYFUNCTION("GOOGLETRANSLATE(C4284,""en"",""pl"")"),"Odyn")</f>
        <v>Odyn</v>
      </c>
    </row>
    <row r="4285">
      <c r="C4285" s="1" t="s">
        <v>4279</v>
      </c>
      <c r="D4285" s="3" t="str">
        <f>IFERROR(__xludf.DUMMYFUNCTION("GOOGLETRANSLATE(C4285,""en"",""pl"")"),"wiosna")</f>
        <v>wiosna</v>
      </c>
    </row>
    <row r="4286">
      <c r="C4286" s="1" t="s">
        <v>4280</v>
      </c>
      <c r="D4286" s="3" t="str">
        <f>IFERROR(__xludf.DUMMYFUNCTION("GOOGLETRANSLATE(C4286,""en"",""pl"")"),"abstrakt")</f>
        <v>abstrakt</v>
      </c>
    </row>
    <row r="4287">
      <c r="C4287" s="1" t="s">
        <v>4281</v>
      </c>
      <c r="D4287" s="3" t="str">
        <f>IFERROR(__xludf.DUMMYFUNCTION("GOOGLETRANSLATE(C4287,""en"",""pl"")"),"Kioto")</f>
        <v>Kioto</v>
      </c>
    </row>
    <row r="4288">
      <c r="C4288" s="1" t="s">
        <v>4282</v>
      </c>
      <c r="D4288" s="3" t="str">
        <f>IFERROR(__xludf.DUMMYFUNCTION("GOOGLETRANSLATE(C4288,""en"",""pl"")"),"sikać")</f>
        <v>sikać</v>
      </c>
    </row>
    <row r="4289">
      <c r="C4289" s="1" t="s">
        <v>4283</v>
      </c>
      <c r="D4289" s="3" t="str">
        <f>IFERROR(__xludf.DUMMYFUNCTION("GOOGLETRANSLATE(C4289,""en"",""pl"")"),"witamina")</f>
        <v>witamina</v>
      </c>
    </row>
    <row r="4290">
      <c r="C4290" s="1" t="s">
        <v>4284</v>
      </c>
      <c r="D4290" s="3" t="str">
        <f>IFERROR(__xludf.DUMMYFUNCTION("GOOGLETRANSLATE(C4290,""en"",""pl"")"),"falowanie")</f>
        <v>falowanie</v>
      </c>
    </row>
    <row r="4291">
      <c r="C4291" s="1" t="s">
        <v>4285</v>
      </c>
      <c r="D4291" s="3" t="str">
        <f>IFERROR(__xludf.DUMMYFUNCTION("GOOGLETRANSLATE(C4291,""en"",""pl"")"),"Bryant")</f>
        <v>Bryant</v>
      </c>
    </row>
    <row r="4292">
      <c r="C4292" s="1" t="s">
        <v>4286</v>
      </c>
      <c r="D4292" s="3" t="str">
        <f>IFERROR(__xludf.DUMMYFUNCTION("GOOGLETRANSLATE(C4292,""en"",""pl"")"),"chujowy")</f>
        <v>chujowy</v>
      </c>
    </row>
    <row r="4293">
      <c r="C4293" s="1" t="s">
        <v>4287</v>
      </c>
      <c r="D4293" s="3" t="str">
        <f>IFERROR(__xludf.DUMMYFUNCTION("GOOGLETRANSLATE(C4293,""en"",""pl"")"),"dobra wola")</f>
        <v>dobra wola</v>
      </c>
    </row>
    <row r="4294">
      <c r="C4294" s="1" t="s">
        <v>4288</v>
      </c>
      <c r="D4294" s="3" t="str">
        <f>IFERROR(__xludf.DUMMYFUNCTION("GOOGLETRANSLATE(C4294,""en"",""pl"")"),"euro")</f>
        <v>euro</v>
      </c>
    </row>
    <row r="4295">
      <c r="C4295" s="1" t="s">
        <v>4289</v>
      </c>
      <c r="D4295" s="3" t="str">
        <f>IFERROR(__xludf.DUMMYFUNCTION("GOOGLETRANSLATE(C4295,""en"",""pl"")"),"przywiązany")</f>
        <v>przywiązany</v>
      </c>
    </row>
    <row r="4296">
      <c r="C4296" s="1" t="s">
        <v>4290</v>
      </c>
      <c r="D4296" s="3" t="str">
        <f>IFERROR(__xludf.DUMMYFUNCTION("GOOGLETRANSLATE(C4296,""en"",""pl"")"),"dzik")</f>
        <v>dzik</v>
      </c>
    </row>
    <row r="4297">
      <c r="C4297" s="1" t="s">
        <v>4291</v>
      </c>
      <c r="D4297" s="3" t="str">
        <f>IFERROR(__xludf.DUMMYFUNCTION("GOOGLETRANSLATE(C4297,""en"",""pl"")"),"łupkarz")</f>
        <v>łupkarz</v>
      </c>
    </row>
    <row r="4298">
      <c r="C4298" s="1" t="s">
        <v>4292</v>
      </c>
      <c r="D4298" s="3" t="str">
        <f>IFERROR(__xludf.DUMMYFUNCTION("GOOGLETRANSLATE(C4298,""en"",""pl"")"),"podrobiony")</f>
        <v>podrobiony</v>
      </c>
    </row>
    <row r="4299">
      <c r="C4299" s="1" t="s">
        <v>4293</v>
      </c>
      <c r="D4299" s="3" t="str">
        <f>IFERROR(__xludf.DUMMYFUNCTION("GOOGLETRANSLATE(C4299,""en"",""pl"")"),"rymy")</f>
        <v>rymy</v>
      </c>
    </row>
    <row r="4300">
      <c r="C4300" s="1" t="s">
        <v>4294</v>
      </c>
      <c r="D4300" s="3" t="str">
        <f>IFERROR(__xludf.DUMMYFUNCTION("GOOGLETRANSLATE(C4300,""en"",""pl"")"),"brunetka")</f>
        <v>brunetka</v>
      </c>
    </row>
    <row r="4301">
      <c r="C4301" s="1" t="s">
        <v>4295</v>
      </c>
      <c r="D4301" s="3" t="str">
        <f>IFERROR(__xludf.DUMMYFUNCTION("GOOGLETRANSLATE(C4301,""en"",""pl"")"),"ukłucie")</f>
        <v>ukłucie</v>
      </c>
    </row>
    <row r="4302">
      <c r="C4302" s="1" t="s">
        <v>4296</v>
      </c>
      <c r="D4302" s="3" t="str">
        <f>IFERROR(__xludf.DUMMYFUNCTION("GOOGLETRANSLATE(C4302,""en"",""pl"")"),"hipis")</f>
        <v>hipis</v>
      </c>
    </row>
    <row r="4303">
      <c r="C4303" s="1" t="s">
        <v>4297</v>
      </c>
      <c r="D4303" s="3" t="str">
        <f>IFERROR(__xludf.DUMMYFUNCTION("GOOGLETRANSLATE(C4303,""en"",""pl"")"),"dzwonienie")</f>
        <v>dzwonienie</v>
      </c>
    </row>
    <row r="4304">
      <c r="C4304" s="1" t="s">
        <v>4298</v>
      </c>
      <c r="D4304" s="3" t="str">
        <f>IFERROR(__xludf.DUMMYFUNCTION("GOOGLETRANSLATE(C4304,""en"",""pl"")"),"nawiasem mówiąc")</f>
        <v>nawiasem mówiąc</v>
      </c>
    </row>
    <row r="4305">
      <c r="C4305" s="1" t="s">
        <v>4299</v>
      </c>
      <c r="D4305" s="3" t="str">
        <f>IFERROR(__xludf.DUMMYFUNCTION("GOOGLETRANSLATE(C4305,""en"",""pl"")"),"twarzą w twarz")</f>
        <v>twarzą w twarz</v>
      </c>
    </row>
    <row r="4306">
      <c r="C4306" s="1" t="s">
        <v>4300</v>
      </c>
      <c r="D4306" s="3" t="str">
        <f>IFERROR(__xludf.DUMMYFUNCTION("GOOGLETRANSLATE(C4306,""en"",""pl"")"),"żołnierz amerykański")</f>
        <v>żołnierz amerykański</v>
      </c>
    </row>
    <row r="4307">
      <c r="C4307" s="1" t="s">
        <v>4301</v>
      </c>
      <c r="D4307" s="3" t="str">
        <f>IFERROR(__xludf.DUMMYFUNCTION("GOOGLETRANSLATE(C4307,""en"",""pl"")"),"sieć")</f>
        <v>sieć</v>
      </c>
    </row>
    <row r="4308">
      <c r="C4308" s="1" t="s">
        <v>4302</v>
      </c>
      <c r="D4308" s="3" t="str">
        <f>IFERROR(__xludf.DUMMYFUNCTION("GOOGLETRANSLATE(C4308,""en"",""pl"")"),"kompensować")</f>
        <v>kompensować</v>
      </c>
    </row>
    <row r="4309">
      <c r="C4309" s="1" t="s">
        <v>4303</v>
      </c>
      <c r="D4309" s="3" t="str">
        <f>IFERROR(__xludf.DUMMYFUNCTION("GOOGLETRANSLATE(C4309,""en"",""pl"")"),"smakujący")</f>
        <v>smakujący</v>
      </c>
    </row>
    <row r="4310">
      <c r="C4310" s="1" t="s">
        <v>4304</v>
      </c>
      <c r="D4310" s="3" t="str">
        <f>IFERROR(__xludf.DUMMYFUNCTION("GOOGLETRANSLATE(C4310,""en"",""pl"")"),"wybuch")</f>
        <v>wybuch</v>
      </c>
    </row>
    <row r="4311">
      <c r="C4311" s="1" t="s">
        <v>4305</v>
      </c>
      <c r="D4311" s="3" t="str">
        <f>IFERROR(__xludf.DUMMYFUNCTION("GOOGLETRANSLATE(C4311,""en"",""pl"")"),"siać")</f>
        <v>siać</v>
      </c>
    </row>
    <row r="4312">
      <c r="C4312" s="1" t="s">
        <v>4306</v>
      </c>
      <c r="D4312" s="3" t="str">
        <f>IFERROR(__xludf.DUMMYFUNCTION("GOOGLETRANSLATE(C4312,""en"",""pl"")"),"halucynacje")</f>
        <v>halucynacje</v>
      </c>
    </row>
    <row r="4313">
      <c r="C4313" s="1" t="s">
        <v>4307</v>
      </c>
      <c r="D4313" s="3" t="str">
        <f>IFERROR(__xludf.DUMMYFUNCTION("GOOGLETRANSLATE(C4313,""en"",""pl"")"),"kurczę")</f>
        <v>kurczę</v>
      </c>
    </row>
    <row r="4314">
      <c r="C4314" s="1" t="s">
        <v>4308</v>
      </c>
      <c r="D4314" s="3" t="str">
        <f>IFERROR(__xludf.DUMMYFUNCTION("GOOGLETRANSLATE(C4314,""en"",""pl"")"),"czynniki")</f>
        <v>czynniki</v>
      </c>
    </row>
    <row r="4315">
      <c r="C4315" s="1" t="s">
        <v>4309</v>
      </c>
      <c r="D4315" s="3" t="str">
        <f>IFERROR(__xludf.DUMMYFUNCTION("GOOGLETRANSLATE(C4315,""en"",""pl"")"),"piramidy")</f>
        <v>piramidy</v>
      </c>
    </row>
    <row r="4316">
      <c r="C4316" s="1" t="s">
        <v>4310</v>
      </c>
      <c r="D4316" s="3" t="str">
        <f>IFERROR(__xludf.DUMMYFUNCTION("GOOGLETRANSLATE(C4316,""en"",""pl"")"),"Kopenhaga")</f>
        <v>Kopenhaga</v>
      </c>
    </row>
    <row r="4317">
      <c r="C4317" s="1" t="s">
        <v>4311</v>
      </c>
      <c r="D4317" s="3" t="str">
        <f>IFERROR(__xludf.DUMMYFUNCTION("GOOGLETRANSLATE(C4317,""en"",""pl"")"),"HIV")</f>
        <v>HIV</v>
      </c>
    </row>
    <row r="4318">
      <c r="C4318" s="1" t="s">
        <v>4312</v>
      </c>
      <c r="D4318" s="3" t="str">
        <f>IFERROR(__xludf.DUMMYFUNCTION("GOOGLETRANSLATE(C4318,""en"",""pl"")"),"elegant")</f>
        <v>elegant</v>
      </c>
    </row>
    <row r="4319">
      <c r="C4319" s="1" t="s">
        <v>4313</v>
      </c>
      <c r="D4319" s="3" t="str">
        <f>IFERROR(__xludf.DUMMYFUNCTION("GOOGLETRANSLATE(C4319,""en"",""pl"")"),"objazd")</f>
        <v>objazd</v>
      </c>
    </row>
    <row r="4320">
      <c r="C4320" s="1" t="s">
        <v>4314</v>
      </c>
      <c r="D4320" s="3" t="str">
        <f>IFERROR(__xludf.DUMMYFUNCTION("GOOGLETRANSLATE(C4320,""en"",""pl"")"),"desperacja")</f>
        <v>desperacja</v>
      </c>
    </row>
    <row r="4321">
      <c r="C4321" s="1" t="s">
        <v>4315</v>
      </c>
      <c r="D4321" s="3" t="str">
        <f>IFERROR(__xludf.DUMMYFUNCTION("GOOGLETRANSLATE(C4321,""en"",""pl"")"),"zmagać się")</f>
        <v>zmagać się</v>
      </c>
    </row>
    <row r="4322">
      <c r="C4322" s="1" t="s">
        <v>4316</v>
      </c>
      <c r="D4322" s="3" t="str">
        <f>IFERROR(__xludf.DUMMYFUNCTION("GOOGLETRANSLATE(C4322,""en"",""pl"")"),"powierzony")</f>
        <v>powierzony</v>
      </c>
    </row>
    <row r="4323">
      <c r="C4323" s="1" t="s">
        <v>4317</v>
      </c>
      <c r="D4323" s="3" t="str">
        <f>IFERROR(__xludf.DUMMYFUNCTION("GOOGLETRANSLATE(C4323,""en"",""pl"")"),"rozstanie")</f>
        <v>rozstanie</v>
      </c>
    </row>
    <row r="4324">
      <c r="C4324" s="1" t="s">
        <v>4318</v>
      </c>
      <c r="D4324" s="3" t="str">
        <f>IFERROR(__xludf.DUMMYFUNCTION("GOOGLETRANSLATE(C4324,""en"",""pl"")"),"oporowy")</f>
        <v>oporowy</v>
      </c>
    </row>
    <row r="4325">
      <c r="C4325" s="1" t="s">
        <v>4319</v>
      </c>
      <c r="D4325" s="3" t="str">
        <f>IFERROR(__xludf.DUMMYFUNCTION("GOOGLETRANSLATE(C4325,""en"",""pl"")"),"błądzić")</f>
        <v>błądzić</v>
      </c>
    </row>
    <row r="4326">
      <c r="C4326" s="1" t="s">
        <v>4320</v>
      </c>
      <c r="D4326" s="3" t="str">
        <f>IFERROR(__xludf.DUMMYFUNCTION("GOOGLETRANSLATE(C4326,""en"",""pl"")"),"pękający")</f>
        <v>pękający</v>
      </c>
    </row>
    <row r="4327">
      <c r="C4327" s="1" t="s">
        <v>4321</v>
      </c>
      <c r="D4327" s="3" t="str">
        <f>IFERROR(__xludf.DUMMYFUNCTION("GOOGLETRANSLATE(C4327,""en"",""pl"")"),"nakazy")</f>
        <v>nakazy</v>
      </c>
    </row>
    <row r="4328">
      <c r="C4328" s="1" t="s">
        <v>4322</v>
      </c>
      <c r="D4328" s="3" t="str">
        <f>IFERROR(__xludf.DUMMYFUNCTION("GOOGLETRANSLATE(C4328,""en"",""pl"")"),"sawanna")</f>
        <v>sawanna</v>
      </c>
    </row>
    <row r="4329">
      <c r="C4329" s="1" t="s">
        <v>4323</v>
      </c>
      <c r="D4329" s="3" t="str">
        <f>IFERROR(__xludf.DUMMYFUNCTION("GOOGLETRANSLATE(C4329,""en"",""pl"")"),"ukryty")</f>
        <v>ukryty</v>
      </c>
    </row>
    <row r="4330">
      <c r="C4330" s="1" t="s">
        <v>4324</v>
      </c>
      <c r="D4330" s="3" t="str">
        <f>IFERROR(__xludf.DUMMYFUNCTION("GOOGLETRANSLATE(C4330,""en"",""pl"")"),"marzyciel")</f>
        <v>marzyciel</v>
      </c>
    </row>
    <row r="4331">
      <c r="C4331" s="1" t="s">
        <v>4325</v>
      </c>
      <c r="D4331" s="3" t="str">
        <f>IFERROR(__xludf.DUMMYFUNCTION("GOOGLETRANSLATE(C4331,""en"",""pl"")"),"obowiązkowy")</f>
        <v>obowiązkowy</v>
      </c>
    </row>
    <row r="4332">
      <c r="C4332" s="1" t="s">
        <v>4326</v>
      </c>
      <c r="D4332" s="3" t="str">
        <f>IFERROR(__xludf.DUMMYFUNCTION("GOOGLETRANSLATE(C4332,""en"",""pl"")"),"kneblowanie")</f>
        <v>kneblowanie</v>
      </c>
    </row>
    <row r="4333">
      <c r="C4333" s="1" t="s">
        <v>4327</v>
      </c>
      <c r="D4333" s="3" t="str">
        <f>IFERROR(__xludf.DUMMYFUNCTION("GOOGLETRANSLATE(C4333,""en"",""pl"")"),"finanse")</f>
        <v>finanse</v>
      </c>
    </row>
    <row r="4334">
      <c r="C4334" s="1" t="s">
        <v>4328</v>
      </c>
      <c r="D4334" s="3" t="str">
        <f>IFERROR(__xludf.DUMMYFUNCTION("GOOGLETRANSLATE(C4334,""en"",""pl"")"),"słowik")</f>
        <v>słowik</v>
      </c>
    </row>
    <row r="4335">
      <c r="C4335" s="1" t="s">
        <v>4329</v>
      </c>
      <c r="D4335" s="3" t="str">
        <f>IFERROR(__xludf.DUMMYFUNCTION("GOOGLETRANSLATE(C4335,""en"",""pl"")"),"oczy")</f>
        <v>oczy</v>
      </c>
    </row>
    <row r="4336">
      <c r="C4336" s="1" t="s">
        <v>4330</v>
      </c>
      <c r="D4336" s="3" t="str">
        <f>IFERROR(__xludf.DUMMYFUNCTION("GOOGLETRANSLATE(C4336,""en"",""pl"")"),"granaty")</f>
        <v>granaty</v>
      </c>
    </row>
    <row r="4337">
      <c r="C4337" s="1" t="s">
        <v>4331</v>
      </c>
      <c r="D4337" s="3" t="str">
        <f>IFERROR(__xludf.DUMMYFUNCTION("GOOGLETRANSLATE(C4337,""en"",""pl"")"),"premier")</f>
        <v>premier</v>
      </c>
    </row>
    <row r="4338">
      <c r="C4338" s="1" t="s">
        <v>4332</v>
      </c>
      <c r="D4338" s="3" t="str">
        <f>IFERROR(__xludf.DUMMYFUNCTION("GOOGLETRANSLATE(C4338,""en"",""pl"")"),"dziedzic")</f>
        <v>dziedzic</v>
      </c>
    </row>
    <row r="4339">
      <c r="C4339" s="1" t="s">
        <v>4333</v>
      </c>
      <c r="D4339" s="3" t="str">
        <f>IFERROR(__xludf.DUMMYFUNCTION("GOOGLETRANSLATE(C4339,""en"",""pl"")"),"okresy")</f>
        <v>okresy</v>
      </c>
    </row>
    <row r="4340">
      <c r="C4340" s="1" t="s">
        <v>4334</v>
      </c>
      <c r="D4340" s="3" t="str">
        <f>IFERROR(__xludf.DUMMYFUNCTION("GOOGLETRANSLATE(C4340,""en"",""pl"")"),"eee")</f>
        <v>eee</v>
      </c>
    </row>
    <row r="4341">
      <c r="C4341" s="1" t="s">
        <v>4335</v>
      </c>
      <c r="D4341" s="3" t="str">
        <f>IFERROR(__xludf.DUMMYFUNCTION("GOOGLETRANSLATE(C4341,""en"",""pl"")"),"kgb")</f>
        <v>kgb</v>
      </c>
    </row>
    <row r="4342">
      <c r="C4342" s="1" t="s">
        <v>4336</v>
      </c>
      <c r="D4342" s="3" t="str">
        <f>IFERROR(__xludf.DUMMYFUNCTION("GOOGLETRANSLATE(C4342,""en"",""pl"")"),"pasożyt")</f>
        <v>pasożyt</v>
      </c>
    </row>
    <row r="4343">
      <c r="C4343" s="1" t="s">
        <v>4337</v>
      </c>
      <c r="D4343" s="3" t="str">
        <f>IFERROR(__xludf.DUMMYFUNCTION("GOOGLETRANSLATE(C4343,""en"",""pl"")"),"pożyczanie")</f>
        <v>pożyczanie</v>
      </c>
    </row>
    <row r="4344">
      <c r="C4344" s="1" t="s">
        <v>4338</v>
      </c>
      <c r="D4344" s="3" t="str">
        <f>IFERROR(__xludf.DUMMYFUNCTION("GOOGLETRANSLATE(C4344,""en"",""pl"")"),"rodrygo")</f>
        <v>rodrygo</v>
      </c>
    </row>
    <row r="4345">
      <c r="C4345" s="1" t="s">
        <v>4339</v>
      </c>
      <c r="D4345" s="3" t="str">
        <f>IFERROR(__xludf.DUMMYFUNCTION("GOOGLETRANSLATE(C4345,""en"",""pl"")"),"wpływowy")</f>
        <v>wpływowy</v>
      </c>
    </row>
    <row r="4346">
      <c r="C4346" s="1" t="s">
        <v>4340</v>
      </c>
      <c r="D4346" s="3" t="str">
        <f>IFERROR(__xludf.DUMMYFUNCTION("GOOGLETRANSLATE(C4346,""en"",""pl"")"),"mamusia")</f>
        <v>mamusia</v>
      </c>
    </row>
    <row r="4347">
      <c r="C4347" s="1" t="s">
        <v>4341</v>
      </c>
      <c r="D4347" s="3" t="str">
        <f>IFERROR(__xludf.DUMMYFUNCTION("GOOGLETRANSLATE(C4347,""en"",""pl"")"),"absorbować")</f>
        <v>absorbować</v>
      </c>
    </row>
    <row r="4348">
      <c r="C4348" s="1" t="s">
        <v>4342</v>
      </c>
      <c r="D4348" s="3" t="str">
        <f>IFERROR(__xludf.DUMMYFUNCTION("GOOGLETRANSLATE(C4348,""en"",""pl"")"),"inwestycje")</f>
        <v>inwestycje</v>
      </c>
    </row>
    <row r="4349">
      <c r="C4349" s="1" t="s">
        <v>4343</v>
      </c>
      <c r="D4349" s="3" t="str">
        <f>IFERROR(__xludf.DUMMYFUNCTION("GOOGLETRANSLATE(C4349,""en"",""pl"")"),"cece")</f>
        <v>cece</v>
      </c>
    </row>
    <row r="4350">
      <c r="C4350" s="1" t="s">
        <v>4344</v>
      </c>
      <c r="D4350" s="3" t="str">
        <f>IFERROR(__xludf.DUMMYFUNCTION("GOOGLETRANSLATE(C4350,""en"",""pl"")"),"stężony")</f>
        <v>stężony</v>
      </c>
    </row>
    <row r="4351">
      <c r="C4351" s="1" t="s">
        <v>4345</v>
      </c>
      <c r="D4351" s="3" t="str">
        <f>IFERROR(__xludf.DUMMYFUNCTION("GOOGLETRANSLATE(C4351,""en"",""pl"")"),"tyran")</f>
        <v>tyran</v>
      </c>
    </row>
    <row r="4352">
      <c r="C4352" s="1" t="s">
        <v>4346</v>
      </c>
      <c r="D4352" s="3" t="str">
        <f>IFERROR(__xludf.DUMMYFUNCTION("GOOGLETRANSLATE(C4352,""en"",""pl"")"),"okrążenia")</f>
        <v>okrążenia</v>
      </c>
    </row>
    <row r="4353">
      <c r="C4353" s="1" t="s">
        <v>4347</v>
      </c>
      <c r="D4353" s="3" t="str">
        <f>IFERROR(__xludf.DUMMYFUNCTION("GOOGLETRANSLATE(C4353,""en"",""pl"")"),"niedoceniony")</f>
        <v>niedoceniony</v>
      </c>
    </row>
    <row r="4354">
      <c r="C4354" s="1" t="s">
        <v>4348</v>
      </c>
      <c r="D4354" s="3" t="str">
        <f>IFERROR(__xludf.DUMMYFUNCTION("GOOGLETRANSLATE(C4354,""en"",""pl"")"),"zmierzenie")</f>
        <v>zmierzenie</v>
      </c>
    </row>
    <row r="4355">
      <c r="C4355" s="1" t="s">
        <v>4349</v>
      </c>
      <c r="D4355" s="3" t="str">
        <f>IFERROR(__xludf.DUMMYFUNCTION("GOOGLETRANSLATE(C4355,""en"",""pl"")"),"pochodzenie")</f>
        <v>pochodzenie</v>
      </c>
    </row>
    <row r="4356">
      <c r="C4356" s="1" t="s">
        <v>4350</v>
      </c>
      <c r="D4356" s="3" t="str">
        <f>IFERROR(__xludf.DUMMYFUNCTION("GOOGLETRANSLATE(C4356,""en"",""pl"")"),"dotyczy")</f>
        <v>dotyczy</v>
      </c>
    </row>
    <row r="4357">
      <c r="C4357" s="1" t="s">
        <v>4351</v>
      </c>
      <c r="D4357" s="3" t="str">
        <f>IFERROR(__xludf.DUMMYFUNCTION("GOOGLETRANSLATE(C4357,""en"",""pl"")"),"Brytyjka")</f>
        <v>Brytyjka</v>
      </c>
    </row>
    <row r="4358">
      <c r="C4358" s="1" t="s">
        <v>4352</v>
      </c>
      <c r="D4358" s="3" t="str">
        <f>IFERROR(__xludf.DUMMYFUNCTION("GOOGLETRANSLATE(C4358,""en"",""pl"")"),"Wymieniony")</f>
        <v>Wymieniony</v>
      </c>
    </row>
    <row r="4359">
      <c r="C4359" s="1" t="s">
        <v>4353</v>
      </c>
      <c r="D4359" s="3" t="str">
        <f>IFERROR(__xludf.DUMMYFUNCTION("GOOGLETRANSLATE(C4359,""en"",""pl"")"),"Portugalia")</f>
        <v>Portugalia</v>
      </c>
    </row>
    <row r="4360">
      <c r="C4360" s="1" t="s">
        <v>4354</v>
      </c>
      <c r="D4360" s="3" t="str">
        <f>IFERROR(__xludf.DUMMYFUNCTION("GOOGLETRANSLATE(C4360,""en"",""pl"")"),"czarnuchy")</f>
        <v>czarnuchy</v>
      </c>
    </row>
    <row r="4361">
      <c r="C4361" s="1" t="s">
        <v>4355</v>
      </c>
      <c r="D4361" s="3" t="str">
        <f>IFERROR(__xludf.DUMMYFUNCTION("GOOGLETRANSLATE(C4361,""en"",""pl"")"),"matematyka")</f>
        <v>matematyka</v>
      </c>
    </row>
    <row r="4362">
      <c r="C4362" s="1" t="s">
        <v>4356</v>
      </c>
      <c r="D4362" s="3" t="str">
        <f>IFERROR(__xludf.DUMMYFUNCTION("GOOGLETRANSLATE(C4362,""en"",""pl"")"),"dekoracje")</f>
        <v>dekoracje</v>
      </c>
    </row>
    <row r="4363">
      <c r="C4363" s="1" t="s">
        <v>4357</v>
      </c>
      <c r="D4363" s="3" t="str">
        <f>IFERROR(__xludf.DUMMYFUNCTION("GOOGLETRANSLATE(C4363,""en"",""pl"")"),"Orion")</f>
        <v>Orion</v>
      </c>
    </row>
    <row r="4364">
      <c r="C4364" s="1" t="s">
        <v>4358</v>
      </c>
      <c r="D4364" s="3" t="str">
        <f>IFERROR(__xludf.DUMMYFUNCTION("GOOGLETRANSLATE(C4364,""en"",""pl"")"),"Pepe")</f>
        <v>Pepe</v>
      </c>
    </row>
    <row r="4365">
      <c r="C4365" s="1" t="s">
        <v>4359</v>
      </c>
      <c r="D4365" s="3" t="str">
        <f>IFERROR(__xludf.DUMMYFUNCTION("GOOGLETRANSLATE(C4365,""en"",""pl"")"),"Kyung")</f>
        <v>Kyung</v>
      </c>
    </row>
    <row r="4366">
      <c r="C4366" s="1" t="s">
        <v>4360</v>
      </c>
      <c r="D4366" s="3" t="str">
        <f>IFERROR(__xludf.DUMMYFUNCTION("GOOGLETRANSLATE(C4366,""en"",""pl"")"),"własność")</f>
        <v>własność</v>
      </c>
    </row>
    <row r="4367">
      <c r="C4367" s="1" t="s">
        <v>4361</v>
      </c>
      <c r="D4367" s="3" t="str">
        <f>IFERROR(__xludf.DUMMYFUNCTION("GOOGLETRANSLATE(C4367,""en"",""pl"")"),"ćwierkać")</f>
        <v>ćwierkać</v>
      </c>
    </row>
    <row r="4368">
      <c r="C4368" s="1" t="s">
        <v>4362</v>
      </c>
      <c r="D4368" s="3" t="str">
        <f>IFERROR(__xludf.DUMMYFUNCTION("GOOGLETRANSLATE(C4368,""en"",""pl"")"),"malina")</f>
        <v>malina</v>
      </c>
    </row>
    <row r="4369">
      <c r="C4369" s="1" t="s">
        <v>4363</v>
      </c>
      <c r="D4369" s="3" t="str">
        <f>IFERROR(__xludf.DUMMYFUNCTION("GOOGLETRANSLATE(C4369,""en"",""pl"")"),"rasowy")</f>
        <v>rasowy</v>
      </c>
    </row>
    <row r="4370">
      <c r="C4370" s="1" t="s">
        <v>4364</v>
      </c>
      <c r="D4370" s="3" t="str">
        <f>IFERROR(__xludf.DUMMYFUNCTION("GOOGLETRANSLATE(C4370,""en"",""pl"")"),"Po pierwsze")</f>
        <v>Po pierwsze</v>
      </c>
    </row>
    <row r="4371">
      <c r="C4371" s="1" t="s">
        <v>4365</v>
      </c>
      <c r="D4371" s="3" t="str">
        <f>IFERROR(__xludf.DUMMYFUNCTION("GOOGLETRANSLATE(C4371,""en"",""pl"")"),"samochód terenowy")</f>
        <v>samochód terenowy</v>
      </c>
    </row>
    <row r="4372">
      <c r="C4372" s="1" t="s">
        <v>4366</v>
      </c>
      <c r="D4372" s="3" t="str">
        <f>IFERROR(__xludf.DUMMYFUNCTION("GOOGLETRANSLATE(C4372,""en"",""pl"")"),"zastraszony")</f>
        <v>zastraszony</v>
      </c>
    </row>
    <row r="4373">
      <c r="C4373" s="1" t="s">
        <v>4367</v>
      </c>
      <c r="D4373" s="3" t="str">
        <f>IFERROR(__xludf.DUMMYFUNCTION("GOOGLETRANSLATE(C4373,""en"",""pl"")"),"skunks")</f>
        <v>skunks</v>
      </c>
    </row>
    <row r="4374">
      <c r="C4374" s="1" t="s">
        <v>4368</v>
      </c>
      <c r="D4374" s="3" t="str">
        <f>IFERROR(__xludf.DUMMYFUNCTION("GOOGLETRANSLATE(C4374,""en"",""pl"")"),"proboszczowie")</f>
        <v>proboszczowie</v>
      </c>
    </row>
    <row r="4375">
      <c r="C4375" s="1" t="s">
        <v>4369</v>
      </c>
      <c r="D4375" s="3" t="str">
        <f>IFERROR(__xludf.DUMMYFUNCTION("GOOGLETRANSLATE(C4375,""en"",""pl"")"),"bliższy")</f>
        <v>bliższy</v>
      </c>
    </row>
    <row r="4376">
      <c r="C4376" s="1" t="s">
        <v>4370</v>
      </c>
      <c r="D4376" s="3" t="str">
        <f>IFERROR(__xludf.DUMMYFUNCTION("GOOGLETRANSLATE(C4376,""en"",""pl"")"),"Młody")</f>
        <v>Młody</v>
      </c>
    </row>
    <row r="4377">
      <c r="C4377" s="1" t="s">
        <v>4371</v>
      </c>
      <c r="D4377" s="3" t="str">
        <f>IFERROR(__xludf.DUMMYFUNCTION("GOOGLETRANSLATE(C4377,""en"",""pl"")"),"słyszalny")</f>
        <v>słyszalny</v>
      </c>
    </row>
    <row r="4378">
      <c r="C4378" s="1" t="s">
        <v>4372</v>
      </c>
      <c r="D4378" s="3" t="str">
        <f>IFERROR(__xludf.DUMMYFUNCTION("GOOGLETRANSLATE(C4378,""en"",""pl"")"),"bmw")</f>
        <v>bmw</v>
      </c>
    </row>
    <row r="4379">
      <c r="C4379" s="1" t="s">
        <v>4373</v>
      </c>
      <c r="D4379" s="3" t="str">
        <f>IFERROR(__xludf.DUMMYFUNCTION("GOOGLETRANSLATE(C4379,""en"",""pl"")"),"komunia")</f>
        <v>komunia</v>
      </c>
    </row>
    <row r="4380">
      <c r="C4380" s="1" t="s">
        <v>4374</v>
      </c>
      <c r="D4380" s="3" t="str">
        <f>IFERROR(__xludf.DUMMYFUNCTION("GOOGLETRANSLATE(C4380,""en"",""pl"")"),"rżenie")</f>
        <v>rżenie</v>
      </c>
    </row>
    <row r="4381">
      <c r="C4381" s="1" t="s">
        <v>4375</v>
      </c>
      <c r="D4381" s="3" t="str">
        <f>IFERROR(__xludf.DUMMYFUNCTION("GOOGLETRANSLATE(C4381,""en"",""pl"")"),"Hindus")</f>
        <v>Hindus</v>
      </c>
    </row>
    <row r="4382">
      <c r="C4382" s="1" t="s">
        <v>4376</v>
      </c>
      <c r="D4382" s="3" t="str">
        <f>IFERROR(__xludf.DUMMYFUNCTION("GOOGLETRANSLATE(C4382,""en"",""pl"")"),"Leroy")</f>
        <v>Leroy</v>
      </c>
    </row>
    <row r="4383">
      <c r="C4383" s="1" t="s">
        <v>4377</v>
      </c>
      <c r="D4383" s="3" t="str">
        <f>IFERROR(__xludf.DUMMYFUNCTION("GOOGLETRANSLATE(C4383,""en"",""pl"")"),"kula")</f>
        <v>kula</v>
      </c>
    </row>
    <row r="4384">
      <c r="C4384" s="1" t="s">
        <v>4378</v>
      </c>
      <c r="D4384" s="3" t="str">
        <f>IFERROR(__xludf.DUMMYFUNCTION("GOOGLETRANSLATE(C4384,""en"",""pl"")"),"renesans")</f>
        <v>renesans</v>
      </c>
    </row>
    <row r="4385">
      <c r="C4385" s="1" t="s">
        <v>4379</v>
      </c>
      <c r="D4385" s="3" t="str">
        <f>IFERROR(__xludf.DUMMYFUNCTION("GOOGLETRANSLATE(C4385,""en"",""pl"")"),"anomalia")</f>
        <v>anomalia</v>
      </c>
    </row>
    <row r="4386">
      <c r="C4386" s="1" t="s">
        <v>4380</v>
      </c>
      <c r="D4386" s="3" t="str">
        <f>IFERROR(__xludf.DUMMYFUNCTION("GOOGLETRANSLATE(C4386,""en"",""pl"")"),"kontynuowany")</f>
        <v>kontynuowany</v>
      </c>
    </row>
    <row r="4387">
      <c r="C4387" s="1" t="s">
        <v>4381</v>
      </c>
      <c r="D4387" s="3" t="str">
        <f>IFERROR(__xludf.DUMMYFUNCTION("GOOGLETRANSLATE(C4387,""en"",""pl"")"),"mały")</f>
        <v>mały</v>
      </c>
    </row>
    <row r="4388">
      <c r="C4388" s="1" t="s">
        <v>4382</v>
      </c>
      <c r="D4388" s="3" t="str">
        <f>IFERROR(__xludf.DUMMYFUNCTION("GOOGLETRANSLATE(C4388,""en"",""pl"")"),"intonować")</f>
        <v>intonować</v>
      </c>
    </row>
    <row r="4389">
      <c r="C4389" s="1" t="s">
        <v>4383</v>
      </c>
      <c r="D4389" s="3" t="str">
        <f>IFERROR(__xludf.DUMMYFUNCTION("GOOGLETRANSLATE(C4389,""en"",""pl"")"),"banita")</f>
        <v>banita</v>
      </c>
    </row>
    <row r="4390">
      <c r="C4390" s="1" t="s">
        <v>4384</v>
      </c>
      <c r="D4390" s="3" t="str">
        <f>IFERROR(__xludf.DUMMYFUNCTION("GOOGLETRANSLATE(C4390,""en"",""pl"")"),"On-")</f>
        <v>On-</v>
      </c>
    </row>
    <row r="4391">
      <c r="C4391" s="1" t="s">
        <v>4385</v>
      </c>
      <c r="D4391" s="3" t="str">
        <f>IFERROR(__xludf.DUMMYFUNCTION("GOOGLETRANSLATE(C4391,""en"",""pl"")"),"nazwisko")</f>
        <v>nazwisko</v>
      </c>
    </row>
    <row r="4392">
      <c r="C4392" s="1" t="s">
        <v>4386</v>
      </c>
      <c r="D4392" s="3" t="str">
        <f>IFERROR(__xludf.DUMMYFUNCTION("GOOGLETRANSLATE(C4392,""en"",""pl"")"),"pingwiny")</f>
        <v>pingwiny</v>
      </c>
    </row>
    <row r="4393">
      <c r="C4393" s="1" t="s">
        <v>4387</v>
      </c>
      <c r="D4393" s="3" t="str">
        <f>IFERROR(__xludf.DUMMYFUNCTION("GOOGLETRANSLATE(C4393,""en"",""pl"")"),"wyróżniony")</f>
        <v>wyróżniony</v>
      </c>
    </row>
    <row r="4394">
      <c r="C4394" s="1" t="s">
        <v>4388</v>
      </c>
      <c r="D4394" s="3" t="str">
        <f>IFERROR(__xludf.DUMMYFUNCTION("GOOGLETRANSLATE(C4394,""en"",""pl"")"),"średni")</f>
        <v>średni</v>
      </c>
    </row>
    <row r="4395">
      <c r="C4395" s="1" t="s">
        <v>4389</v>
      </c>
      <c r="D4395" s="3" t="str">
        <f>IFERROR(__xludf.DUMMYFUNCTION("GOOGLETRANSLATE(C4395,""en"",""pl"")"),"kolega z klasy")</f>
        <v>kolega z klasy</v>
      </c>
    </row>
    <row r="4396">
      <c r="C4396" s="1" t="s">
        <v>4390</v>
      </c>
      <c r="D4396" s="3" t="str">
        <f>IFERROR(__xludf.DUMMYFUNCTION("GOOGLETRANSLATE(C4396,""en"",""pl"")"),"aplikacje")</f>
        <v>aplikacje</v>
      </c>
    </row>
    <row r="4397">
      <c r="C4397" s="1" t="s">
        <v>4391</v>
      </c>
      <c r="D4397" s="3" t="str">
        <f>IFERROR(__xludf.DUMMYFUNCTION("GOOGLETRANSLATE(C4397,""en"",""pl"")"),"Emmy")</f>
        <v>Emmy</v>
      </c>
    </row>
    <row r="4398">
      <c r="C4398" s="1" t="s">
        <v>4392</v>
      </c>
      <c r="D4398" s="3" t="str">
        <f>IFERROR(__xludf.DUMMYFUNCTION("GOOGLETRANSLATE(C4398,""en"",""pl"")"),"podtytuł")</f>
        <v>podtytuł</v>
      </c>
    </row>
    <row r="4399">
      <c r="C4399" s="1" t="s">
        <v>4393</v>
      </c>
      <c r="D4399" s="3" t="str">
        <f>IFERROR(__xludf.DUMMYFUNCTION("GOOGLETRANSLATE(C4399,""en"",""pl"")"),"obciążony")</f>
        <v>obciążony</v>
      </c>
    </row>
    <row r="4400">
      <c r="C4400" s="1" t="s">
        <v>4394</v>
      </c>
      <c r="D4400" s="3" t="str">
        <f>IFERROR(__xludf.DUMMYFUNCTION("GOOGLETRANSLATE(C4400,""en"",""pl"")"),"ekonomika")</f>
        <v>ekonomika</v>
      </c>
    </row>
    <row r="4401">
      <c r="C4401" s="1" t="s">
        <v>4395</v>
      </c>
      <c r="D4401" s="3" t="str">
        <f>IFERROR(__xludf.DUMMYFUNCTION("GOOGLETRANSLATE(C4401,""en"",""pl"")"),"Dobrze-")</f>
        <v>Dobrze-</v>
      </c>
    </row>
    <row r="4402">
      <c r="C4402" s="1" t="s">
        <v>4396</v>
      </c>
      <c r="D4402" s="3" t="str">
        <f>IFERROR(__xludf.DUMMYFUNCTION("GOOGLETRANSLATE(C4402,""en"",""pl"")"),"sala balowa")</f>
        <v>sala balowa</v>
      </c>
    </row>
    <row r="4403">
      <c r="C4403" s="1" t="s">
        <v>4397</v>
      </c>
      <c r="D4403" s="3" t="str">
        <f>IFERROR(__xludf.DUMMYFUNCTION("GOOGLETRANSLATE(C4403,""en"",""pl"")"),"zgrzeszył")</f>
        <v>zgrzeszył</v>
      </c>
    </row>
    <row r="4404">
      <c r="C4404" s="1" t="s">
        <v>4398</v>
      </c>
      <c r="D4404" s="3" t="str">
        <f>IFERROR(__xludf.DUMMYFUNCTION("GOOGLETRANSLATE(C4404,""en"",""pl"")"),"brak")</f>
        <v>brak</v>
      </c>
    </row>
    <row r="4405">
      <c r="C4405" s="1" t="s">
        <v>4399</v>
      </c>
      <c r="D4405" s="3" t="str">
        <f>IFERROR(__xludf.DUMMYFUNCTION("GOOGLETRANSLATE(C4405,""en"",""pl"")"),"zgon")</f>
        <v>zgon</v>
      </c>
    </row>
    <row r="4406">
      <c r="C4406" s="1" t="s">
        <v>4400</v>
      </c>
      <c r="D4406" s="3" t="str">
        <f>IFERROR(__xludf.DUMMYFUNCTION("GOOGLETRANSLATE(C4406,""en"",""pl"")"),"fenomenalny")</f>
        <v>fenomenalny</v>
      </c>
    </row>
    <row r="4407">
      <c r="C4407" s="1" t="s">
        <v>4401</v>
      </c>
      <c r="D4407" s="3" t="str">
        <f>IFERROR(__xludf.DUMMYFUNCTION("GOOGLETRANSLATE(C4407,""en"",""pl"")"),"czeski")</f>
        <v>czeski</v>
      </c>
    </row>
    <row r="4408">
      <c r="C4408" s="1" t="s">
        <v>4402</v>
      </c>
      <c r="D4408" s="3" t="str">
        <f>IFERROR(__xludf.DUMMYFUNCTION("GOOGLETRANSLATE(C4408,""en"",""pl"")"),"manewr")</f>
        <v>manewr</v>
      </c>
    </row>
    <row r="4409">
      <c r="C4409" s="1" t="s">
        <v>4403</v>
      </c>
      <c r="D4409" s="3" t="str">
        <f>IFERROR(__xludf.DUMMYFUNCTION("GOOGLETRANSLATE(C4409,""en"",""pl"")"),"drżenie")</f>
        <v>drżenie</v>
      </c>
    </row>
    <row r="4410">
      <c r="C4410" s="1" t="s">
        <v>4404</v>
      </c>
      <c r="D4410" s="3" t="str">
        <f>IFERROR(__xludf.DUMMYFUNCTION("GOOGLETRANSLATE(C4410,""en"",""pl"")"),"zaczepianie")</f>
        <v>zaczepianie</v>
      </c>
    </row>
    <row r="4411">
      <c r="C4411" s="1" t="s">
        <v>4405</v>
      </c>
      <c r="D4411" s="3" t="str">
        <f>IFERROR(__xludf.DUMMYFUNCTION("GOOGLETRANSLATE(C4411,""en"",""pl"")"),"piski")</f>
        <v>piski</v>
      </c>
    </row>
    <row r="4412">
      <c r="C4412" s="1" t="s">
        <v>4406</v>
      </c>
      <c r="D4412" s="3" t="str">
        <f>IFERROR(__xludf.DUMMYFUNCTION("GOOGLETRANSLATE(C4412,""en"",""pl"")"),"księżyce")</f>
        <v>księżyce</v>
      </c>
    </row>
    <row r="4413">
      <c r="C4413" s="1" t="s">
        <v>4407</v>
      </c>
      <c r="D4413" s="3" t="str">
        <f>IFERROR(__xludf.DUMMYFUNCTION("GOOGLETRANSLATE(C4413,""en"",""pl"")"),"aj ...")</f>
        <v>aj ...</v>
      </c>
    </row>
    <row r="4414">
      <c r="C4414" s="1" t="s">
        <v>4408</v>
      </c>
      <c r="D4414" s="3" t="str">
        <f>IFERROR(__xludf.DUMMYFUNCTION("GOOGLETRANSLATE(C4414,""en"",""pl"")"),"słodycz")</f>
        <v>słodycz</v>
      </c>
    </row>
    <row r="4415">
      <c r="C4415" s="1" t="s">
        <v>4409</v>
      </c>
      <c r="D4415" s="3" t="str">
        <f>IFERROR(__xludf.DUMMYFUNCTION("GOOGLETRANSLATE(C4415,""en"",""pl"")"),"lekceważący")</f>
        <v>lekceważący</v>
      </c>
    </row>
    <row r="4416">
      <c r="C4416" s="1" t="s">
        <v>4410</v>
      </c>
      <c r="D4416" s="3" t="str">
        <f>IFERROR(__xludf.DUMMYFUNCTION("GOOGLETRANSLATE(C4416,""en"",""pl"")"),"Duńczyk")</f>
        <v>Duńczyk</v>
      </c>
    </row>
    <row r="4417">
      <c r="C4417" s="1" t="s">
        <v>4411</v>
      </c>
      <c r="D4417" s="3" t="str">
        <f>IFERROR(__xludf.DUMMYFUNCTION("GOOGLETRANSLATE(C4417,""en"",""pl"")"),"konsulat")</f>
        <v>konsulat</v>
      </c>
    </row>
    <row r="4418">
      <c r="C4418" s="1" t="s">
        <v>4412</v>
      </c>
      <c r="D4418" s="3" t="str">
        <f>IFERROR(__xludf.DUMMYFUNCTION("GOOGLETRANSLATE(C4418,""en"",""pl"")"),"odbił się")</f>
        <v>odbił się</v>
      </c>
    </row>
    <row r="4419">
      <c r="C4419" s="1" t="s">
        <v>4413</v>
      </c>
      <c r="D4419" s="3" t="str">
        <f>IFERROR(__xludf.DUMMYFUNCTION("GOOGLETRANSLATE(C4419,""en"",""pl"")"),"rodzicielstwo")</f>
        <v>rodzicielstwo</v>
      </c>
    </row>
    <row r="4420">
      <c r="C4420" s="1" t="s">
        <v>4414</v>
      </c>
      <c r="D4420" s="3" t="str">
        <f>IFERROR(__xludf.DUMMYFUNCTION("GOOGLETRANSLATE(C4420,""en"",""pl"")"),"rabunki")</f>
        <v>rabunki</v>
      </c>
    </row>
    <row r="4421">
      <c r="C4421" s="1" t="s">
        <v>4415</v>
      </c>
      <c r="D4421" s="3" t="str">
        <f>IFERROR(__xludf.DUMMYFUNCTION("GOOGLETRANSLATE(C4421,""en"",""pl"")"),"uwaga")</f>
        <v>uwaga</v>
      </c>
    </row>
    <row r="4422">
      <c r="C4422" s="1" t="s">
        <v>4416</v>
      </c>
      <c r="D4422" s="3" t="str">
        <f>IFERROR(__xludf.DUMMYFUNCTION("GOOGLETRANSLATE(C4422,""en"",""pl"")"),"Hilary")</f>
        <v>Hilary</v>
      </c>
    </row>
    <row r="4423">
      <c r="C4423" s="1" t="s">
        <v>4417</v>
      </c>
      <c r="D4423" s="3" t="str">
        <f>IFERROR(__xludf.DUMMYFUNCTION("GOOGLETRANSLATE(C4423,""en"",""pl"")"),"logo")</f>
        <v>logo</v>
      </c>
    </row>
    <row r="4424">
      <c r="C4424" s="1" t="s">
        <v>4418</v>
      </c>
      <c r="D4424" s="3" t="str">
        <f>IFERROR(__xludf.DUMMYFUNCTION("GOOGLETRANSLATE(C4424,""en"",""pl"")"),"opisując")</f>
        <v>opisując</v>
      </c>
    </row>
    <row r="4425">
      <c r="C4425" s="1" t="s">
        <v>4419</v>
      </c>
      <c r="D4425" s="3" t="str">
        <f>IFERROR(__xludf.DUMMYFUNCTION("GOOGLETRANSLATE(C4425,""en"",""pl"")"),"skalpel")</f>
        <v>skalpel</v>
      </c>
    </row>
    <row r="4426">
      <c r="C4426" s="1" t="s">
        <v>4420</v>
      </c>
      <c r="D4426" s="3" t="str">
        <f>IFERROR(__xludf.DUMMYFUNCTION("GOOGLETRANSLATE(C4426,""en"",""pl"")"),"Cecylia")</f>
        <v>Cecylia</v>
      </c>
    </row>
    <row r="4427">
      <c r="C4427" s="1" t="s">
        <v>4421</v>
      </c>
      <c r="D4427" s="3" t="str">
        <f>IFERROR(__xludf.DUMMYFUNCTION("GOOGLETRANSLATE(C4427,""en"",""pl"")"),"najdziwniejszy")</f>
        <v>najdziwniejszy</v>
      </c>
    </row>
    <row r="4428">
      <c r="C4428" s="1" t="s">
        <v>4422</v>
      </c>
      <c r="D4428" s="3" t="str">
        <f>IFERROR(__xludf.DUMMYFUNCTION("GOOGLETRANSLATE(C4428,""en"",""pl"")"),"Jaime")</f>
        <v>Jaime</v>
      </c>
    </row>
    <row r="4429">
      <c r="C4429" s="1" t="s">
        <v>4423</v>
      </c>
      <c r="D4429" s="3" t="str">
        <f>IFERROR(__xludf.DUMMYFUNCTION("GOOGLETRANSLATE(C4429,""en"",""pl"")"),"Seymour")</f>
        <v>Seymour</v>
      </c>
    </row>
    <row r="4430">
      <c r="C4430" s="1" t="s">
        <v>4424</v>
      </c>
      <c r="D4430" s="3" t="str">
        <f>IFERROR(__xludf.DUMMYFUNCTION("GOOGLETRANSLATE(C4430,""en"",""pl"")"),"duży")</f>
        <v>duży</v>
      </c>
    </row>
    <row r="4431">
      <c r="C4431" s="1" t="s">
        <v>4425</v>
      </c>
      <c r="D4431" s="3" t="str">
        <f>IFERROR(__xludf.DUMMYFUNCTION("GOOGLETRANSLATE(C4431,""en"",""pl"")"),"kompetentny")</f>
        <v>kompetentny</v>
      </c>
    </row>
    <row r="4432">
      <c r="C4432" s="1" t="s">
        <v>4426</v>
      </c>
      <c r="D4432" s="3" t="str">
        <f>IFERROR(__xludf.DUMMYFUNCTION("GOOGLETRANSLATE(C4432,""en"",""pl"")"),"być")</f>
        <v>być</v>
      </c>
    </row>
    <row r="4433">
      <c r="C4433" s="1" t="s">
        <v>4427</v>
      </c>
      <c r="D4433" s="3" t="str">
        <f>IFERROR(__xludf.DUMMYFUNCTION("GOOGLETRANSLATE(C4433,""en"",""pl"")"),"dwa")</f>
        <v>dwa</v>
      </c>
    </row>
    <row r="4434">
      <c r="C4434" s="1" t="s">
        <v>4428</v>
      </c>
      <c r="D4434" s="3" t="str">
        <f>IFERROR(__xludf.DUMMYFUNCTION("GOOGLETRANSLATE(C4434,""en"",""pl"")"),"wykłady")</f>
        <v>wykłady</v>
      </c>
    </row>
    <row r="4435">
      <c r="C4435" s="1" t="s">
        <v>4429</v>
      </c>
      <c r="D4435" s="3" t="str">
        <f>IFERROR(__xludf.DUMMYFUNCTION("GOOGLETRANSLATE(C4435,""en"",""pl"")"),"podstawy")</f>
        <v>podstawy</v>
      </c>
    </row>
    <row r="4436">
      <c r="C4436" s="1" t="s">
        <v>4430</v>
      </c>
      <c r="D4436" s="3" t="str">
        <f>IFERROR(__xludf.DUMMYFUNCTION("GOOGLETRANSLATE(C4436,""en"",""pl"")"),"tekstura")</f>
        <v>tekstura</v>
      </c>
    </row>
    <row r="4437">
      <c r="C4437" s="1" t="s">
        <v>4431</v>
      </c>
      <c r="D4437" s="3" t="str">
        <f>IFERROR(__xludf.DUMMYFUNCTION("GOOGLETRANSLATE(C4437,""en"",""pl"")"),"resztki")</f>
        <v>resztki</v>
      </c>
    </row>
    <row r="4438">
      <c r="C4438" s="1" t="s">
        <v>4432</v>
      </c>
      <c r="D4438" s="3" t="str">
        <f>IFERROR(__xludf.DUMMYFUNCTION("GOOGLETRANSLATE(C4438,""en"",""pl"")"),"mięczak")</f>
        <v>mięczak</v>
      </c>
    </row>
    <row r="4439">
      <c r="C4439" s="1" t="s">
        <v>4433</v>
      </c>
      <c r="D4439" s="3" t="str">
        <f>IFERROR(__xludf.DUMMYFUNCTION("GOOGLETRANSLATE(C4439,""en"",""pl"")"),"podbój")</f>
        <v>podbój</v>
      </c>
    </row>
    <row r="4440">
      <c r="C4440" s="1" t="s">
        <v>4434</v>
      </c>
      <c r="D4440" s="3" t="str">
        <f>IFERROR(__xludf.DUMMYFUNCTION("GOOGLETRANSLATE(C4440,""en"",""pl"")"),"Norris")</f>
        <v>Norris</v>
      </c>
    </row>
    <row r="4441">
      <c r="C4441" s="1" t="s">
        <v>4435</v>
      </c>
      <c r="D4441" s="3" t="str">
        <f>IFERROR(__xludf.DUMMYFUNCTION("GOOGLETRANSLATE(C4441,""en"",""pl"")"),"zmontowany")</f>
        <v>zmontowany</v>
      </c>
    </row>
    <row r="4442">
      <c r="C4442" s="1" t="s">
        <v>4436</v>
      </c>
      <c r="D4442" s="3" t="str">
        <f>IFERROR(__xludf.DUMMYFUNCTION("GOOGLETRANSLATE(C4442,""en"",""pl"")"),"długopisy")</f>
        <v>długopisy</v>
      </c>
    </row>
    <row r="4443">
      <c r="C4443" s="1" t="s">
        <v>4437</v>
      </c>
      <c r="D4443" s="3" t="str">
        <f>IFERROR(__xludf.DUMMYFUNCTION("GOOGLETRANSLATE(C4443,""en"",""pl"")"),"zawodnik")</f>
        <v>zawodnik</v>
      </c>
    </row>
    <row r="4444">
      <c r="C4444" s="1" t="s">
        <v>4438</v>
      </c>
      <c r="D4444" s="3" t="str">
        <f>IFERROR(__xludf.DUMMYFUNCTION("GOOGLETRANSLATE(C4444,""en"",""pl"")"),"algorytm")</f>
        <v>algorytm</v>
      </c>
    </row>
    <row r="4445">
      <c r="C4445" s="1" t="s">
        <v>4439</v>
      </c>
      <c r="D4445" s="3" t="str">
        <f>IFERROR(__xludf.DUMMYFUNCTION("GOOGLETRANSLATE(C4445,""en"",""pl"")"),"kolumny")</f>
        <v>kolumny</v>
      </c>
    </row>
    <row r="4446">
      <c r="C4446" s="1" t="s">
        <v>4440</v>
      </c>
      <c r="D4446" s="3" t="str">
        <f>IFERROR(__xludf.DUMMYFUNCTION("GOOGLETRANSLATE(C4446,""en"",""pl"")"),"Chile")</f>
        <v>Chile</v>
      </c>
    </row>
    <row r="4447">
      <c r="C4447" s="1" t="s">
        <v>4441</v>
      </c>
      <c r="D4447" s="3" t="str">
        <f>IFERROR(__xludf.DUMMYFUNCTION("GOOGLETRANSLATE(C4447,""en"",""pl"")"),"narzekania")</f>
        <v>narzekania</v>
      </c>
    </row>
    <row r="4448">
      <c r="C4448" s="1" t="s">
        <v>4442</v>
      </c>
      <c r="D4448" s="3" t="str">
        <f>IFERROR(__xludf.DUMMYFUNCTION("GOOGLETRANSLATE(C4448,""en"",""pl"")"),"dekret")</f>
        <v>dekret</v>
      </c>
    </row>
    <row r="4449">
      <c r="C4449" s="1" t="s">
        <v>4443</v>
      </c>
      <c r="D4449" s="3" t="str">
        <f>IFERROR(__xludf.DUMMYFUNCTION("GOOGLETRANSLATE(C4449,""en"",""pl"")"),"Jeremiasz")</f>
        <v>Jeremiasz</v>
      </c>
    </row>
    <row r="4450">
      <c r="C4450" s="1" t="s">
        <v>4444</v>
      </c>
      <c r="D4450" s="3" t="str">
        <f>IFERROR(__xludf.DUMMYFUNCTION("GOOGLETRANSLATE(C4450,""en"",""pl"")"),"przepisać")</f>
        <v>przepisać</v>
      </c>
    </row>
    <row r="4451">
      <c r="C4451" s="4" t="s">
        <v>4445</v>
      </c>
      <c r="D4451" s="3" t="str">
        <f>IFERROR(__xludf.DUMMYFUNCTION("GOOGLETRANSLATE(C4451,""en"",""pl"")"),"Więc")</f>
        <v>Więc</v>
      </c>
    </row>
    <row r="4452">
      <c r="C4452" s="1" t="s">
        <v>4446</v>
      </c>
      <c r="D4452" s="3" t="str">
        <f>IFERROR(__xludf.DUMMYFUNCTION("GOOGLETRANSLATE(C4452,""en"",""pl"")"),"pęd")</f>
        <v>pęd</v>
      </c>
    </row>
    <row r="4453">
      <c r="C4453" s="1" t="s">
        <v>4447</v>
      </c>
      <c r="D4453" s="3" t="str">
        <f>IFERROR(__xludf.DUMMYFUNCTION("GOOGLETRANSLATE(C4453,""en"",""pl"")"),"cadillac")</f>
        <v>cadillac</v>
      </c>
    </row>
    <row r="4454">
      <c r="C4454" s="1" t="s">
        <v>4448</v>
      </c>
      <c r="D4454" s="3" t="str">
        <f>IFERROR(__xludf.DUMMYFUNCTION("GOOGLETRANSLATE(C4454,""en"",""pl"")"),"prawnicy")</f>
        <v>prawnicy</v>
      </c>
    </row>
    <row r="4455">
      <c r="C4455" s="1" t="s">
        <v>4449</v>
      </c>
      <c r="D4455" s="3" t="str">
        <f>IFERROR(__xludf.DUMMYFUNCTION("GOOGLETRANSLATE(C4455,""en"",""pl"")"),"małpy")</f>
        <v>małpy</v>
      </c>
    </row>
    <row r="4456">
      <c r="C4456" s="1" t="s">
        <v>4450</v>
      </c>
      <c r="D4456" s="3" t="str">
        <f>IFERROR(__xludf.DUMMYFUNCTION("GOOGLETRANSLATE(C4456,""en"",""pl"")"),"napisy")</f>
        <v>napisy</v>
      </c>
    </row>
    <row r="4457">
      <c r="C4457" s="1" t="s">
        <v>4451</v>
      </c>
      <c r="D4457" s="3" t="str">
        <f>IFERROR(__xludf.DUMMYFUNCTION("GOOGLETRANSLATE(C4457,""en"",""pl"")"),"desmond")</f>
        <v>desmond</v>
      </c>
    </row>
    <row r="4458">
      <c r="C4458" s="1" t="s">
        <v>4452</v>
      </c>
      <c r="D4458" s="3" t="str">
        <f>IFERROR(__xludf.DUMMYFUNCTION("GOOGLETRANSLATE(C4458,""en"",""pl"")"),"lesbijki")</f>
        <v>lesbijki</v>
      </c>
    </row>
    <row r="4459">
      <c r="C4459" s="1" t="s">
        <v>4453</v>
      </c>
      <c r="D4459" s="3" t="str">
        <f>IFERROR(__xludf.DUMMYFUNCTION("GOOGLETRANSLATE(C4459,""en"",""pl"")"),"wróżki")</f>
        <v>wróżki</v>
      </c>
    </row>
    <row r="4460">
      <c r="C4460" s="1" t="s">
        <v>4454</v>
      </c>
      <c r="D4460" s="3" t="str">
        <f>IFERROR(__xludf.DUMMYFUNCTION("GOOGLETRANSLATE(C4460,""en"",""pl"")"),"monitory")</f>
        <v>monitory</v>
      </c>
    </row>
    <row r="4461">
      <c r="C4461" s="1" t="s">
        <v>4455</v>
      </c>
      <c r="D4461" s="3" t="str">
        <f>IFERROR(__xludf.DUMMYFUNCTION("GOOGLETRANSLATE(C4461,""en"",""pl"")"),"hua")</f>
        <v>hua</v>
      </c>
    </row>
    <row r="4462">
      <c r="C4462" s="1" t="s">
        <v>4456</v>
      </c>
      <c r="D4462" s="3" t="str">
        <f>IFERROR(__xludf.DUMMYFUNCTION("GOOGLETRANSLATE(C4462,""en"",""pl"")"),"ważenie")</f>
        <v>ważenie</v>
      </c>
    </row>
    <row r="4463">
      <c r="C4463" s="1" t="s">
        <v>4457</v>
      </c>
      <c r="D4463" s="3" t="str">
        <f>IFERROR(__xludf.DUMMYFUNCTION("GOOGLETRANSLATE(C4463,""en"",""pl"")"),"pieczony")</f>
        <v>pieczony</v>
      </c>
    </row>
    <row r="4464">
      <c r="C4464" s="1" t="s">
        <v>4458</v>
      </c>
      <c r="D4464" s="3" t="str">
        <f>IFERROR(__xludf.DUMMYFUNCTION("GOOGLETRANSLATE(C4464,""en"",""pl"")"),"odkrywanie")</f>
        <v>odkrywanie</v>
      </c>
    </row>
    <row r="4465">
      <c r="C4465" s="1" t="s">
        <v>4459</v>
      </c>
      <c r="D4465" s="3" t="str">
        <f>IFERROR(__xludf.DUMMYFUNCTION("GOOGLETRANSLATE(C4465,""en"",""pl"")"),"choroba Alzheimera")</f>
        <v>choroba Alzheimera</v>
      </c>
    </row>
    <row r="4466">
      <c r="C4466" s="1" t="s">
        <v>4460</v>
      </c>
      <c r="D4466" s="3" t="str">
        <f>IFERROR(__xludf.DUMMYFUNCTION("GOOGLETRANSLATE(C4466,""en"",""pl"")"),"wezwanie sądowe")</f>
        <v>wezwanie sądowe</v>
      </c>
    </row>
    <row r="4467">
      <c r="C4467" s="1" t="s">
        <v>4461</v>
      </c>
      <c r="D4467" s="3" t="str">
        <f>IFERROR(__xludf.DUMMYFUNCTION("GOOGLETRANSLATE(C4467,""en"",""pl"")"),"wróg")</f>
        <v>wróg</v>
      </c>
    </row>
    <row r="4468">
      <c r="C4468" s="1" t="s">
        <v>4462</v>
      </c>
      <c r="D4468" s="3" t="str">
        <f>IFERROR(__xludf.DUMMYFUNCTION("GOOGLETRANSLATE(C4468,""en"",""pl"")"),"wieśniak")</f>
        <v>wieśniak</v>
      </c>
    </row>
    <row r="4469">
      <c r="C4469" s="1" t="s">
        <v>4463</v>
      </c>
      <c r="D4469" s="3" t="str">
        <f>IFERROR(__xludf.DUMMYFUNCTION("GOOGLETRANSLATE(C4469,""en"",""pl"")"),"cm")</f>
        <v>cm</v>
      </c>
    </row>
    <row r="4470">
      <c r="C4470" s="1" t="s">
        <v>4464</v>
      </c>
      <c r="D4470" s="3" t="str">
        <f>IFERROR(__xludf.DUMMYFUNCTION("GOOGLETRANSLATE(C4470,""en"",""pl"")"),"obwody")</f>
        <v>obwody</v>
      </c>
    </row>
    <row r="4471">
      <c r="C4471" s="1" t="s">
        <v>4465</v>
      </c>
      <c r="D4471" s="3" t="str">
        <f>IFERROR(__xludf.DUMMYFUNCTION("GOOGLETRANSLATE(C4471,""en"",""pl"")"),"gderać")</f>
        <v>gderać</v>
      </c>
    </row>
    <row r="4472">
      <c r="C4472" s="1" t="s">
        <v>4466</v>
      </c>
      <c r="D4472" s="3" t="str">
        <f>IFERROR(__xludf.DUMMYFUNCTION("GOOGLETRANSLATE(C4472,""en"",""pl"")"),"turystyka piesza")</f>
        <v>turystyka piesza</v>
      </c>
    </row>
    <row r="4473">
      <c r="C4473" s="1" t="s">
        <v>4467</v>
      </c>
      <c r="D4473" s="3" t="str">
        <f>IFERROR(__xludf.DUMMYFUNCTION("GOOGLETRANSLATE(C4473,""en"",""pl"")"),"macocha")</f>
        <v>macocha</v>
      </c>
    </row>
    <row r="4474">
      <c r="C4474" s="1" t="s">
        <v>4468</v>
      </c>
      <c r="D4474" s="3" t="str">
        <f>IFERROR(__xludf.DUMMYFUNCTION("GOOGLETRANSLATE(C4474,""en"",""pl"")"),"osobowości")</f>
        <v>osobowości</v>
      </c>
    </row>
    <row r="4475">
      <c r="C4475" s="1" t="s">
        <v>4469</v>
      </c>
      <c r="D4475" s="3" t="str">
        <f>IFERROR(__xludf.DUMMYFUNCTION("GOOGLETRANSLATE(C4475,""en"",""pl"")"),"formalnie")</f>
        <v>formalnie</v>
      </c>
    </row>
    <row r="4476">
      <c r="C4476" s="1" t="s">
        <v>4470</v>
      </c>
      <c r="D4476" s="3" t="str">
        <f>IFERROR(__xludf.DUMMYFUNCTION("GOOGLETRANSLATE(C4476,""en"",""pl"")"),"wskrzesić")</f>
        <v>wskrzesić</v>
      </c>
    </row>
    <row r="4477">
      <c r="C4477" s="1" t="s">
        <v>4471</v>
      </c>
      <c r="D4477" s="3" t="str">
        <f>IFERROR(__xludf.DUMMYFUNCTION("GOOGLETRANSLATE(C4477,""en"",""pl"")"),"nienaturalny")</f>
        <v>nienaturalny</v>
      </c>
    </row>
    <row r="4478">
      <c r="C4478" s="1" t="s">
        <v>4472</v>
      </c>
      <c r="D4478" s="3" t="str">
        <f>IFERROR(__xludf.DUMMYFUNCTION("GOOGLETRANSLATE(C4478,""en"",""pl"")"),"pypeć")</f>
        <v>pypeć</v>
      </c>
    </row>
    <row r="4479">
      <c r="C4479" s="1" t="s">
        <v>4473</v>
      </c>
      <c r="D4479" s="3" t="str">
        <f>IFERROR(__xludf.DUMMYFUNCTION("GOOGLETRANSLATE(C4479,""en"",""pl"")"),"zdradzanie")</f>
        <v>zdradzanie</v>
      </c>
    </row>
    <row r="4480">
      <c r="C4480" s="1" t="s">
        <v>4474</v>
      </c>
      <c r="D4480" s="3" t="str">
        <f>IFERROR(__xludf.DUMMYFUNCTION("GOOGLETRANSLATE(C4480,""en"",""pl"")"),"najem")</f>
        <v>najem</v>
      </c>
    </row>
    <row r="4481">
      <c r="C4481" s="1" t="s">
        <v>4475</v>
      </c>
      <c r="D4481" s="3" t="str">
        <f>IFERROR(__xludf.DUMMYFUNCTION("GOOGLETRANSLATE(C4481,""en"",""pl"")"),"nagrody")</f>
        <v>nagrody</v>
      </c>
    </row>
    <row r="4482">
      <c r="C4482" s="1" t="s">
        <v>4476</v>
      </c>
      <c r="D4482" s="3" t="str">
        <f>IFERROR(__xludf.DUMMYFUNCTION("GOOGLETRANSLATE(C4482,""en"",""pl"")"),"na scenie")</f>
        <v>na scenie</v>
      </c>
    </row>
    <row r="4483">
      <c r="C4483" s="1" t="s">
        <v>4477</v>
      </c>
      <c r="D4483" s="3" t="str">
        <f>IFERROR(__xludf.DUMMYFUNCTION("GOOGLETRANSLATE(C4483,""en"",""pl"")"),"wygodny")</f>
        <v>wygodny</v>
      </c>
    </row>
    <row r="4484">
      <c r="C4484" s="1" t="s">
        <v>4478</v>
      </c>
      <c r="D4484" s="3" t="str">
        <f>IFERROR(__xludf.DUMMYFUNCTION("GOOGLETRANSLATE(C4484,""en"",""pl"")"),"wrzosowisko")</f>
        <v>wrzosowisko</v>
      </c>
    </row>
    <row r="4485">
      <c r="C4485" s="1" t="s">
        <v>4479</v>
      </c>
      <c r="D4485" s="3" t="str">
        <f>IFERROR(__xludf.DUMMYFUNCTION("GOOGLETRANSLATE(C4485,""en"",""pl"")"),"szpik kostny")</f>
        <v>szpik kostny</v>
      </c>
    </row>
    <row r="4486">
      <c r="C4486" s="1" t="s">
        <v>4480</v>
      </c>
      <c r="D4486" s="3" t="str">
        <f>IFERROR(__xludf.DUMMYFUNCTION("GOOGLETRANSLATE(C4486,""en"",""pl"")"),"Blaine'a")</f>
        <v>Blaine'a</v>
      </c>
    </row>
    <row r="4487">
      <c r="C4487" s="1" t="s">
        <v>4481</v>
      </c>
      <c r="D4487" s="3" t="str">
        <f>IFERROR(__xludf.DUMMYFUNCTION("GOOGLETRANSLATE(C4487,""en"",""pl"")"),"mniejszość")</f>
        <v>mniejszość</v>
      </c>
    </row>
    <row r="4488">
      <c r="C4488" s="1" t="s">
        <v>4482</v>
      </c>
      <c r="D4488" s="3" t="str">
        <f>IFERROR(__xludf.DUMMYFUNCTION("GOOGLETRANSLATE(C4488,""en"",""pl"")"),"Marcos")</f>
        <v>Marcos</v>
      </c>
    </row>
    <row r="4489">
      <c r="C4489" s="1" t="s">
        <v>4483</v>
      </c>
      <c r="D4489" s="3" t="str">
        <f>IFERROR(__xludf.DUMMYFUNCTION("GOOGLETRANSLATE(C4489,""en"",""pl"")"),"przenośny")</f>
        <v>przenośny</v>
      </c>
    </row>
    <row r="4490">
      <c r="C4490" s="1" t="s">
        <v>4484</v>
      </c>
      <c r="D4490" s="3" t="str">
        <f>IFERROR(__xludf.DUMMYFUNCTION("GOOGLETRANSLATE(C4490,""en"",""pl"")"),"popularność")</f>
        <v>popularność</v>
      </c>
    </row>
    <row r="4491">
      <c r="C4491" s="1" t="s">
        <v>4485</v>
      </c>
      <c r="D4491" s="3" t="str">
        <f>IFERROR(__xludf.DUMMYFUNCTION("GOOGLETRANSLATE(C4491,""en"",""pl"")"),"telegraf")</f>
        <v>telegraf</v>
      </c>
    </row>
    <row r="4492">
      <c r="C4492" s="1" t="s">
        <v>4486</v>
      </c>
      <c r="D4492" s="3" t="str">
        <f>IFERROR(__xludf.DUMMYFUNCTION("GOOGLETRANSLATE(C4492,""en"",""pl"")"),"Hayden")</f>
        <v>Hayden</v>
      </c>
    </row>
    <row r="4493">
      <c r="C4493" s="1" t="s">
        <v>4487</v>
      </c>
      <c r="D4493" s="3" t="str">
        <f>IFERROR(__xludf.DUMMYFUNCTION("GOOGLETRANSLATE(C4493,""en"",""pl"")"),"wahanie")</f>
        <v>wahanie</v>
      </c>
    </row>
    <row r="4494">
      <c r="C4494" s="1" t="s">
        <v>4488</v>
      </c>
      <c r="D4494" s="3" t="str">
        <f>IFERROR(__xludf.DUMMYFUNCTION("GOOGLETRANSLATE(C4494,""en"",""pl"")"),"Sylwester")</f>
        <v>Sylwester</v>
      </c>
    </row>
    <row r="4495">
      <c r="C4495" s="1" t="s">
        <v>4489</v>
      </c>
      <c r="D4495" s="3" t="str">
        <f>IFERROR(__xludf.DUMMYFUNCTION("GOOGLETRANSLATE(C4495,""en"",""pl"")"),"Alistair")</f>
        <v>Alistair</v>
      </c>
    </row>
    <row r="4496">
      <c r="C4496" s="1" t="s">
        <v>4490</v>
      </c>
      <c r="D4496" s="3" t="str">
        <f>IFERROR(__xludf.DUMMYFUNCTION("GOOGLETRANSLATE(C4496,""en"",""pl"")"),"grupa")</f>
        <v>grupa</v>
      </c>
    </row>
    <row r="4497">
      <c r="C4497" s="1" t="s">
        <v>4491</v>
      </c>
      <c r="D4497" s="3" t="str">
        <f>IFERROR(__xludf.DUMMYFUNCTION("GOOGLETRANSLATE(C4497,""en"",""pl"")"),"dziadek")</f>
        <v>dziadek</v>
      </c>
    </row>
    <row r="4498">
      <c r="C4498" s="1" t="s">
        <v>4492</v>
      </c>
      <c r="D4498" s="3" t="str">
        <f>IFERROR(__xludf.DUMMYFUNCTION("GOOGLETRANSLATE(C4498,""en"",""pl"")"),"biec truchtem")</f>
        <v>biec truchtem</v>
      </c>
    </row>
    <row r="4499">
      <c r="C4499" s="1" t="s">
        <v>4493</v>
      </c>
      <c r="D4499" s="3" t="str">
        <f>IFERROR(__xludf.DUMMYFUNCTION("GOOGLETRANSLATE(C4499,""en"",""pl"")"),"zabić")</f>
        <v>zabić</v>
      </c>
    </row>
    <row r="4500">
      <c r="C4500" s="1" t="s">
        <v>4494</v>
      </c>
      <c r="D4500" s="3" t="str">
        <f>IFERROR(__xludf.DUMMYFUNCTION("GOOGLETRANSLATE(C4500,""en"",""pl"")"),"musujący")</f>
        <v>musujący</v>
      </c>
    </row>
    <row r="4501">
      <c r="C4501" s="1" t="s">
        <v>4495</v>
      </c>
      <c r="D4501" s="3" t="str">
        <f>IFERROR(__xludf.DUMMYFUNCTION("GOOGLETRANSLATE(C4501,""en"",""pl"")"),"dureń")</f>
        <v>dureń</v>
      </c>
    </row>
    <row r="4502">
      <c r="C4502" s="1" t="s">
        <v>4496</v>
      </c>
      <c r="D4502" s="3" t="str">
        <f>IFERROR(__xludf.DUMMYFUNCTION("GOOGLETRANSLATE(C4502,""en"",""pl"")"),"męczący")</f>
        <v>męczący</v>
      </c>
    </row>
    <row r="4503">
      <c r="C4503" s="1" t="s">
        <v>4497</v>
      </c>
      <c r="D4503" s="3" t="str">
        <f>IFERROR(__xludf.DUMMYFUNCTION("GOOGLETRANSLATE(C4503,""en"",""pl"")"),"ooo")</f>
        <v>ooo</v>
      </c>
    </row>
    <row r="4504">
      <c r="C4504" s="1" t="s">
        <v>4498</v>
      </c>
      <c r="D4504" s="3" t="str">
        <f>IFERROR(__xludf.DUMMYFUNCTION("GOOGLETRANSLATE(C4504,""en"",""pl"")"),"zarazki")</f>
        <v>zarazki</v>
      </c>
    </row>
    <row r="4505">
      <c r="C4505" s="1" t="s">
        <v>4499</v>
      </c>
      <c r="D4505" s="3" t="str">
        <f>IFERROR(__xludf.DUMMYFUNCTION("GOOGLETRANSLATE(C4505,""en"",""pl"")"),"führer")</f>
        <v>führer</v>
      </c>
    </row>
    <row r="4506">
      <c r="C4506" s="1" t="s">
        <v>4500</v>
      </c>
      <c r="D4506" s="3" t="str">
        <f>IFERROR(__xludf.DUMMYFUNCTION("GOOGLETRANSLATE(C4506,""en"",""pl"")"),"torebka")</f>
        <v>torebka</v>
      </c>
    </row>
    <row r="4507">
      <c r="C4507" s="1" t="s">
        <v>4501</v>
      </c>
      <c r="D4507" s="3" t="str">
        <f>IFERROR(__xludf.DUMMYFUNCTION("GOOGLETRANSLATE(C4507,""en"",""pl"")"),"nieograniczony")</f>
        <v>nieograniczony</v>
      </c>
    </row>
    <row r="4508">
      <c r="C4508" s="1" t="s">
        <v>4502</v>
      </c>
      <c r="D4508" s="3" t="str">
        <f>IFERROR(__xludf.DUMMYFUNCTION("GOOGLETRANSLATE(C4508,""en"",""pl"")"),"cholerny")</f>
        <v>cholerny</v>
      </c>
    </row>
    <row r="4509">
      <c r="C4509" s="1" t="s">
        <v>4503</v>
      </c>
      <c r="D4509" s="3" t="str">
        <f>IFERROR(__xludf.DUMMYFUNCTION("GOOGLETRANSLATE(C4509,""en"",""pl"")"),"ocet")</f>
        <v>ocet</v>
      </c>
    </row>
    <row r="4510">
      <c r="C4510" s="1" t="s">
        <v>4504</v>
      </c>
      <c r="D4510" s="3" t="str">
        <f>IFERROR(__xludf.DUMMYFUNCTION("GOOGLETRANSLATE(C4510,""en"",""pl"")"),"drzazga")</f>
        <v>drzazga</v>
      </c>
    </row>
    <row r="4511">
      <c r="C4511" s="1" t="s">
        <v>4505</v>
      </c>
      <c r="D4511" s="3" t="str">
        <f>IFERROR(__xludf.DUMMYFUNCTION("GOOGLETRANSLATE(C4511,""en"",""pl"")"),"jeżeli")</f>
        <v>jeżeli</v>
      </c>
    </row>
    <row r="4512">
      <c r="C4512" s="1" t="s">
        <v>4506</v>
      </c>
      <c r="D4512" s="3" t="str">
        <f>IFERROR(__xludf.DUMMYFUNCTION("GOOGLETRANSLATE(C4512,""en"",""pl"")"),"usterki")</f>
        <v>usterki</v>
      </c>
    </row>
    <row r="4513">
      <c r="C4513" s="1" t="s">
        <v>4507</v>
      </c>
      <c r="D4513" s="3" t="str">
        <f>IFERROR(__xludf.DUMMYFUNCTION("GOOGLETRANSLATE(C4513,""en"",""pl"")"),"wybitnie")</f>
        <v>wybitnie</v>
      </c>
    </row>
    <row r="4514">
      <c r="C4514" s="1" t="s">
        <v>4508</v>
      </c>
      <c r="D4514" s="3" t="str">
        <f>IFERROR(__xludf.DUMMYFUNCTION("GOOGLETRANSLATE(C4514,""en"",""pl"")"),"szkice")</f>
        <v>szkice</v>
      </c>
    </row>
    <row r="4515">
      <c r="C4515" s="1" t="s">
        <v>4509</v>
      </c>
      <c r="D4515" s="3" t="str">
        <f>IFERROR(__xludf.DUMMYFUNCTION("GOOGLETRANSLATE(C4515,""en"",""pl"")"),"dziewiętnaście")</f>
        <v>dziewiętnaście</v>
      </c>
    </row>
    <row r="4516">
      <c r="C4516" s="1" t="s">
        <v>4510</v>
      </c>
      <c r="D4516" s="3" t="str">
        <f>IFERROR(__xludf.DUMMYFUNCTION("GOOGLETRANSLATE(C4516,""en"",""pl"")"),"zaczarowany")</f>
        <v>zaczarowany</v>
      </c>
    </row>
    <row r="4517">
      <c r="C4517" s="1" t="s">
        <v>4511</v>
      </c>
      <c r="D4517" s="3" t="str">
        <f>IFERROR(__xludf.DUMMYFUNCTION("GOOGLETRANSLATE(C4517,""en"",""pl"")"),"dzień")</f>
        <v>dzień</v>
      </c>
    </row>
    <row r="4518">
      <c r="C4518" s="1" t="s">
        <v>4512</v>
      </c>
      <c r="D4518" s="3" t="str">
        <f>IFERROR(__xludf.DUMMYFUNCTION("GOOGLETRANSLATE(C4518,""en"",""pl"")"),"pełen szacunku")</f>
        <v>pełen szacunku</v>
      </c>
    </row>
    <row r="4519">
      <c r="C4519" s="1" t="s">
        <v>4513</v>
      </c>
      <c r="D4519" s="3" t="str">
        <f>IFERROR(__xludf.DUMMYFUNCTION("GOOGLETRANSLATE(C4519,""en"",""pl"")"),"dobrze")</f>
        <v>dobrze</v>
      </c>
    </row>
    <row r="4520">
      <c r="C4520" s="1" t="s">
        <v>4514</v>
      </c>
      <c r="D4520" s="3" t="str">
        <f>IFERROR(__xludf.DUMMYFUNCTION("GOOGLETRANSLATE(C4520,""en"",""pl"")"),"trąbić")</f>
        <v>trąbić</v>
      </c>
    </row>
    <row r="4521">
      <c r="C4521" s="1" t="s">
        <v>4515</v>
      </c>
      <c r="D4521" s="3" t="str">
        <f>IFERROR(__xludf.DUMMYFUNCTION("GOOGLETRANSLATE(C4521,""en"",""pl"")"),"pączek")</f>
        <v>pączek</v>
      </c>
    </row>
    <row r="4522">
      <c r="C4522" s="1" t="s">
        <v>4516</v>
      </c>
      <c r="D4522" s="3" t="str">
        <f>IFERROR(__xludf.DUMMYFUNCTION("GOOGLETRANSLATE(C4522,""en"",""pl"")"),"Tagi")</f>
        <v>Tagi</v>
      </c>
    </row>
    <row r="4523">
      <c r="C4523" s="1" t="s">
        <v>4517</v>
      </c>
      <c r="D4523" s="3" t="str">
        <f>IFERROR(__xludf.DUMMYFUNCTION("GOOGLETRANSLATE(C4523,""en"",""pl"")"),"zawijanie")</f>
        <v>zawijanie</v>
      </c>
    </row>
    <row r="4524">
      <c r="C4524" s="1" t="s">
        <v>4518</v>
      </c>
      <c r="D4524" s="3" t="str">
        <f>IFERROR(__xludf.DUMMYFUNCTION("GOOGLETRANSLATE(C4524,""en"",""pl"")"),"smoła")</f>
        <v>smoła</v>
      </c>
    </row>
    <row r="4525">
      <c r="C4525" s="1" t="s">
        <v>4519</v>
      </c>
      <c r="D4525" s="3" t="str">
        <f>IFERROR(__xludf.DUMMYFUNCTION("GOOGLETRANSLATE(C4525,""en"",""pl"")"),"och")</f>
        <v>och</v>
      </c>
    </row>
    <row r="4526">
      <c r="C4526" s="1" t="s">
        <v>4520</v>
      </c>
      <c r="D4526" s="3" t="str">
        <f>IFERROR(__xludf.DUMMYFUNCTION("GOOGLETRANSLATE(C4526,""en"",""pl"")"),"dinozo")</f>
        <v>dinozo</v>
      </c>
    </row>
    <row r="4527">
      <c r="C4527" s="1" t="s">
        <v>4521</v>
      </c>
      <c r="D4527" s="3" t="str">
        <f>IFERROR(__xludf.DUMMYFUNCTION("GOOGLETRANSLATE(C4527,""en"",""pl"")"),"Ptaszyna")</f>
        <v>Ptaszyna</v>
      </c>
    </row>
    <row r="4528">
      <c r="C4528" s="1" t="s">
        <v>4522</v>
      </c>
      <c r="D4528" s="3" t="str">
        <f>IFERROR(__xludf.DUMMYFUNCTION("GOOGLETRANSLATE(C4528,""en"",""pl"")"),"niewierny")</f>
        <v>niewierny</v>
      </c>
    </row>
    <row r="4529">
      <c r="C4529" s="1" t="s">
        <v>4523</v>
      </c>
      <c r="D4529" s="3" t="str">
        <f>IFERROR(__xludf.DUMMYFUNCTION("GOOGLETRANSLATE(C4529,""en"",""pl"")"),"delia")</f>
        <v>delia</v>
      </c>
    </row>
    <row r="4530">
      <c r="C4530" s="1" t="s">
        <v>4524</v>
      </c>
      <c r="D4530" s="3" t="str">
        <f>IFERROR(__xludf.DUMMYFUNCTION("GOOGLETRANSLATE(C4530,""en"",""pl"")"),"Rae-")</f>
        <v>Rae-</v>
      </c>
    </row>
    <row r="4531">
      <c r="C4531" s="1" t="s">
        <v>4525</v>
      </c>
      <c r="D4531" s="3" t="str">
        <f>IFERROR(__xludf.DUMMYFUNCTION("GOOGLETRANSLATE(C4531,""en"",""pl"")"),"jojo")</f>
        <v>jojo</v>
      </c>
    </row>
    <row r="4532">
      <c r="C4532" s="1" t="s">
        <v>4526</v>
      </c>
      <c r="D4532" s="3" t="str">
        <f>IFERROR(__xludf.DUMMYFUNCTION("GOOGLETRANSLATE(C4532,""en"",""pl"")"),"pozycja sportowa")</f>
        <v>pozycja sportowa</v>
      </c>
    </row>
    <row r="4533">
      <c r="C4533" s="1" t="s">
        <v>4527</v>
      </c>
      <c r="D4533" s="3" t="str">
        <f>IFERROR(__xludf.DUMMYFUNCTION("GOOGLETRANSLATE(C4533,""en"",""pl"")"),"szczekacz")</f>
        <v>szczekacz</v>
      </c>
    </row>
    <row r="4534">
      <c r="C4534" s="1" t="s">
        <v>4528</v>
      </c>
      <c r="D4534" s="3" t="str">
        <f>IFERROR(__xludf.DUMMYFUNCTION("GOOGLETRANSLATE(C4534,""en"",""pl"")"),"materialnie")</f>
        <v>materialnie</v>
      </c>
    </row>
    <row r="4535">
      <c r="C4535" s="1" t="s">
        <v>4529</v>
      </c>
      <c r="D4535" s="3" t="str">
        <f>IFERROR(__xludf.DUMMYFUNCTION("GOOGLETRANSLATE(C4535,""en"",""pl"")"),"milczek")</f>
        <v>milczek</v>
      </c>
    </row>
    <row r="4536">
      <c r="C4536" s="1" t="s">
        <v>4530</v>
      </c>
      <c r="D4536" s="3" t="str">
        <f>IFERROR(__xludf.DUMMYFUNCTION("GOOGLETRANSLATE(C4536,""en"",""pl"")"),"brzęczenie")</f>
        <v>brzęczenie</v>
      </c>
    </row>
    <row r="4537">
      <c r="C4537" s="1" t="s">
        <v>4531</v>
      </c>
      <c r="D4537" s="3" t="str">
        <f>IFERROR(__xludf.DUMMYFUNCTION("GOOGLETRANSLATE(C4537,""en"",""pl"")"),"sarkastyczny")</f>
        <v>sarkastyczny</v>
      </c>
    </row>
    <row r="4538">
      <c r="C4538" s="1" t="s">
        <v>4532</v>
      </c>
      <c r="D4538" s="3" t="str">
        <f>IFERROR(__xludf.DUMMYFUNCTION("GOOGLETRANSLATE(C4538,""en"",""pl"")"),"plama")</f>
        <v>plama</v>
      </c>
    </row>
    <row r="4539">
      <c r="C4539" s="1" t="s">
        <v>4533</v>
      </c>
      <c r="D4539" s="3" t="str">
        <f>IFERROR(__xludf.DUMMYFUNCTION("GOOGLETRANSLATE(C4539,""en"",""pl"")"),"organizowanie")</f>
        <v>organizowanie</v>
      </c>
    </row>
    <row r="4540">
      <c r="C4540" s="1" t="s">
        <v>4534</v>
      </c>
      <c r="D4540" s="3" t="str">
        <f>IFERROR(__xludf.DUMMYFUNCTION("GOOGLETRANSLATE(C4540,""en"",""pl"")"),"wścibski")</f>
        <v>wścibski</v>
      </c>
    </row>
    <row r="4541">
      <c r="C4541" s="1" t="s">
        <v>4535</v>
      </c>
      <c r="D4541" s="3" t="str">
        <f>IFERROR(__xludf.DUMMYFUNCTION("GOOGLETRANSLATE(C4541,""en"",""pl"")"),"chłopiec")</f>
        <v>chłopiec</v>
      </c>
    </row>
    <row r="4542">
      <c r="C4542" s="1" t="s">
        <v>4536</v>
      </c>
      <c r="D4542" s="3" t="str">
        <f>IFERROR(__xludf.DUMMYFUNCTION("GOOGLETRANSLATE(C4542,""en"",""pl"")"),"basza")</f>
        <v>basza</v>
      </c>
    </row>
    <row r="4543">
      <c r="C4543" s="1" t="s">
        <v>4537</v>
      </c>
      <c r="D4543" s="3" t="str">
        <f>IFERROR(__xludf.DUMMYFUNCTION("GOOGLETRANSLATE(C4543,""en"",""pl"")"),"Mój-")</f>
        <v>Mój-</v>
      </c>
    </row>
    <row r="4544">
      <c r="C4544" s="1" t="s">
        <v>4538</v>
      </c>
      <c r="D4544" s="3" t="str">
        <f>IFERROR(__xludf.DUMMYFUNCTION("GOOGLETRANSLATE(C4544,""en"",""pl"")"),"napastnik")</f>
        <v>napastnik</v>
      </c>
    </row>
    <row r="4545">
      <c r="C4545" s="1" t="s">
        <v>4539</v>
      </c>
      <c r="D4545" s="3" t="str">
        <f>IFERROR(__xludf.DUMMYFUNCTION("GOOGLETRANSLATE(C4545,""en"",""pl"")"),"potwornie")</f>
        <v>potwornie</v>
      </c>
    </row>
    <row r="4546">
      <c r="C4546" s="1" t="s">
        <v>4540</v>
      </c>
      <c r="D4546" s="3" t="str">
        <f>IFERROR(__xludf.DUMMYFUNCTION("GOOGLETRANSLATE(C4546,""en"",""pl"")"),"wstrzykiwać")</f>
        <v>wstrzykiwać</v>
      </c>
    </row>
    <row r="4547">
      <c r="C4547" s="1" t="s">
        <v>4541</v>
      </c>
      <c r="D4547" s="3" t="str">
        <f>IFERROR(__xludf.DUMMYFUNCTION("GOOGLETRANSLATE(C4547,""en"",""pl"")"),"schodzić")</f>
        <v>schodzić</v>
      </c>
    </row>
    <row r="4548">
      <c r="C4548" s="1" t="s">
        <v>4542</v>
      </c>
      <c r="D4548" s="3" t="str">
        <f>IFERROR(__xludf.DUMMYFUNCTION("GOOGLETRANSLATE(C4548,""en"",""pl"")"),"wi")</f>
        <v>wi</v>
      </c>
    </row>
    <row r="4549">
      <c r="C4549" s="4" t="s">
        <v>4543</v>
      </c>
      <c r="D4549" s="3" t="str">
        <f>IFERROR(__xludf.DUMMYFUNCTION("GOOGLETRANSLATE(C4549,""en"",""pl"")"),"Odnośnie-")</f>
        <v>Odnośnie-</v>
      </c>
    </row>
    <row r="4550">
      <c r="C4550" s="1" t="s">
        <v>4544</v>
      </c>
      <c r="D4550" s="3" t="str">
        <f>IFERROR(__xludf.DUMMYFUNCTION("GOOGLETRANSLATE(C4550,""en"",""pl"")"),"wyzwolony")</f>
        <v>wyzwolony</v>
      </c>
    </row>
    <row r="4551">
      <c r="C4551" s="1" t="s">
        <v>4545</v>
      </c>
      <c r="D4551" s="3" t="str">
        <f>IFERROR(__xludf.DUMMYFUNCTION("GOOGLETRANSLATE(C4551,""en"",""pl"")"),"palnik")</f>
        <v>palnik</v>
      </c>
    </row>
    <row r="4552">
      <c r="C4552" s="1" t="s">
        <v>4546</v>
      </c>
      <c r="D4552" s="3" t="str">
        <f>IFERROR(__xludf.DUMMYFUNCTION("GOOGLETRANSLATE(C4552,""en"",""pl"")"),"puszyste")</f>
        <v>puszyste</v>
      </c>
    </row>
    <row r="4553">
      <c r="C4553" s="1" t="s">
        <v>4547</v>
      </c>
      <c r="D4553" s="3" t="str">
        <f>IFERROR(__xludf.DUMMYFUNCTION("GOOGLETRANSLATE(C4553,""en"",""pl"")"),"melancholia")</f>
        <v>melancholia</v>
      </c>
    </row>
    <row r="4554">
      <c r="C4554" s="1" t="s">
        <v>4548</v>
      </c>
      <c r="D4554" s="3" t="str">
        <f>IFERROR(__xludf.DUMMYFUNCTION("GOOGLETRANSLATE(C4554,""en"",""pl"")"),"kukiełki")</f>
        <v>kukiełki</v>
      </c>
    </row>
    <row r="4555">
      <c r="C4555" s="1" t="s">
        <v>4549</v>
      </c>
      <c r="D4555" s="3" t="str">
        <f>IFERROR(__xludf.DUMMYFUNCTION("GOOGLETRANSLATE(C4555,""en"",""pl"")"),"analny")</f>
        <v>analny</v>
      </c>
    </row>
    <row r="4556">
      <c r="C4556" s="1" t="s">
        <v>4550</v>
      </c>
      <c r="D4556" s="3" t="str">
        <f>IFERROR(__xludf.DUMMYFUNCTION("GOOGLETRANSLATE(C4556,""en"",""pl"")"),"smucić")</f>
        <v>smucić</v>
      </c>
    </row>
    <row r="4557">
      <c r="C4557" s="1" t="s">
        <v>4551</v>
      </c>
      <c r="D4557" s="3" t="str">
        <f>IFERROR(__xludf.DUMMYFUNCTION("GOOGLETRANSLATE(C4557,""en"",""pl"")"),"groza")</f>
        <v>groza</v>
      </c>
    </row>
    <row r="4558">
      <c r="C4558" s="1" t="s">
        <v>4552</v>
      </c>
      <c r="D4558" s="3" t="str">
        <f>IFERROR(__xludf.DUMMYFUNCTION("GOOGLETRANSLATE(C4558,""en"",""pl"")"),"galony")</f>
        <v>galony</v>
      </c>
    </row>
    <row r="4559">
      <c r="C4559" s="1" t="s">
        <v>4553</v>
      </c>
      <c r="D4559" s="3" t="str">
        <f>IFERROR(__xludf.DUMMYFUNCTION("GOOGLETRANSLATE(C4559,""en"",""pl"")"),"kolczyk")</f>
        <v>kolczyk</v>
      </c>
    </row>
    <row r="4560">
      <c r="C4560" s="1" t="s">
        <v>4554</v>
      </c>
      <c r="D4560" s="3" t="str">
        <f>IFERROR(__xludf.DUMMYFUNCTION("GOOGLETRANSLATE(C4560,""en"",""pl"")"),"bez precedensu")</f>
        <v>bez precedensu</v>
      </c>
    </row>
    <row r="4561">
      <c r="C4561" s="1" t="s">
        <v>4555</v>
      </c>
      <c r="D4561" s="3" t="str">
        <f>IFERROR(__xludf.DUMMYFUNCTION("GOOGLETRANSLATE(C4561,""en"",""pl"")"),"szarpać")</f>
        <v>szarpać</v>
      </c>
    </row>
    <row r="4562">
      <c r="C4562" s="1" t="s">
        <v>4556</v>
      </c>
      <c r="D4562" s="3" t="str">
        <f>IFERROR(__xludf.DUMMYFUNCTION("GOOGLETRANSLATE(C4562,""en"",""pl"")"),"Jamajka")</f>
        <v>Jamajka</v>
      </c>
    </row>
    <row r="4563">
      <c r="C4563" s="1" t="s">
        <v>4557</v>
      </c>
      <c r="D4563" s="3" t="str">
        <f>IFERROR(__xludf.DUMMYFUNCTION("GOOGLETRANSLATE(C4563,""en"",""pl"")"),"brutalnie")</f>
        <v>brutalnie</v>
      </c>
    </row>
    <row r="4564">
      <c r="C4564" s="1" t="s">
        <v>4558</v>
      </c>
      <c r="D4564" s="3" t="str">
        <f>IFERROR(__xludf.DUMMYFUNCTION("GOOGLETRANSLATE(C4564,""en"",""pl"")"),"wymuszenie")</f>
        <v>wymuszenie</v>
      </c>
    </row>
    <row r="4565">
      <c r="C4565" s="1" t="s">
        <v>4559</v>
      </c>
      <c r="D4565" s="3" t="str">
        <f>IFERROR(__xludf.DUMMYFUNCTION("GOOGLETRANSLATE(C4565,""en"",""pl"")"),"opiekunowie")</f>
        <v>opiekunowie</v>
      </c>
    </row>
    <row r="4566">
      <c r="C4566" s="1" t="s">
        <v>4560</v>
      </c>
      <c r="D4566" s="3" t="str">
        <f>IFERROR(__xludf.DUMMYFUNCTION("GOOGLETRANSLATE(C4566,""en"",""pl"")"),"uczniowie")</f>
        <v>uczniowie</v>
      </c>
    </row>
    <row r="4567">
      <c r="C4567" s="1" t="s">
        <v>4561</v>
      </c>
      <c r="D4567" s="3" t="str">
        <f>IFERROR(__xludf.DUMMYFUNCTION("GOOGLETRANSLATE(C4567,""en"",""pl"")"),"jednocześnie")</f>
        <v>jednocześnie</v>
      </c>
    </row>
    <row r="4568">
      <c r="C4568" s="1" t="s">
        <v>4562</v>
      </c>
      <c r="D4568" s="3" t="str">
        <f>IFERROR(__xludf.DUMMYFUNCTION("GOOGLETRANSLATE(C4568,""en"",""pl"")"),"elfy")</f>
        <v>elfy</v>
      </c>
    </row>
    <row r="4569">
      <c r="C4569" s="1" t="s">
        <v>4563</v>
      </c>
      <c r="D4569" s="3" t="str">
        <f>IFERROR(__xludf.DUMMYFUNCTION("GOOGLETRANSLATE(C4569,""en"",""pl"")"),"Malibu-")</f>
        <v>Malibu-</v>
      </c>
    </row>
    <row r="4570">
      <c r="C4570" s="1" t="s">
        <v>4564</v>
      </c>
      <c r="D4570" s="3" t="str">
        <f>IFERROR(__xludf.DUMMYFUNCTION("GOOGLETRANSLATE(C4570,""en"",""pl"")"),"łubin")</f>
        <v>łubin</v>
      </c>
    </row>
    <row r="4571">
      <c r="C4571" s="1" t="s">
        <v>4565</v>
      </c>
      <c r="D4571" s="3" t="str">
        <f>IFERROR(__xludf.DUMMYFUNCTION("GOOGLETRANSLATE(C4571,""en"",""pl"")"),"listonosz")</f>
        <v>listonosz</v>
      </c>
    </row>
    <row r="4572">
      <c r="C4572" s="1" t="s">
        <v>4566</v>
      </c>
      <c r="D4572" s="3" t="str">
        <f>IFERROR(__xludf.DUMMYFUNCTION("GOOGLETRANSLATE(C4572,""en"",""pl"")"),"Neville")</f>
        <v>Neville</v>
      </c>
    </row>
    <row r="4573">
      <c r="C4573" s="1" t="s">
        <v>4567</v>
      </c>
      <c r="D4573" s="3" t="str">
        <f>IFERROR(__xludf.DUMMYFUNCTION("GOOGLETRANSLATE(C4573,""en"",""pl"")"),"bezsensowny")</f>
        <v>bezsensowny</v>
      </c>
    </row>
    <row r="4574">
      <c r="C4574" s="1" t="s">
        <v>4568</v>
      </c>
      <c r="D4574" s="3" t="str">
        <f>IFERROR(__xludf.DUMMYFUNCTION("GOOGLETRANSLATE(C4574,""en"",""pl"")"),"domokrążca")</f>
        <v>domokrążca</v>
      </c>
    </row>
    <row r="4575">
      <c r="C4575" s="1" t="s">
        <v>4569</v>
      </c>
      <c r="D4575" s="3" t="str">
        <f>IFERROR(__xludf.DUMMYFUNCTION("GOOGLETRANSLATE(C4575,""en"",""pl"")"),"siedzący")</f>
        <v>siedzący</v>
      </c>
    </row>
    <row r="4576">
      <c r="C4576" s="1" t="s">
        <v>4570</v>
      </c>
      <c r="D4576" s="3" t="str">
        <f>IFERROR(__xludf.DUMMYFUNCTION("GOOGLETRANSLATE(C4576,""en"",""pl"")"),"schronisko")</f>
        <v>schronisko</v>
      </c>
    </row>
    <row r="4577">
      <c r="C4577" s="1" t="s">
        <v>4571</v>
      </c>
      <c r="D4577" s="3" t="str">
        <f>IFERROR(__xludf.DUMMYFUNCTION("GOOGLETRANSLATE(C4577,""en"",""pl"")"),"Marcia")</f>
        <v>Marcia</v>
      </c>
    </row>
    <row r="4578">
      <c r="C4578" s="1" t="s">
        <v>4572</v>
      </c>
      <c r="D4578" s="3" t="str">
        <f>IFERROR(__xludf.DUMMYFUNCTION("GOOGLETRANSLATE(C4578,""en"",""pl"")"),"Melwin")</f>
        <v>Melwin</v>
      </c>
    </row>
    <row r="4579">
      <c r="C4579" s="1" t="s">
        <v>4573</v>
      </c>
      <c r="D4579" s="3" t="str">
        <f>IFERROR(__xludf.DUMMYFUNCTION("GOOGLETRANSLATE(C4579,""en"",""pl"")"),"karaluch")</f>
        <v>karaluch</v>
      </c>
    </row>
    <row r="4580">
      <c r="C4580" s="1" t="s">
        <v>4574</v>
      </c>
      <c r="D4580" s="3" t="str">
        <f>IFERROR(__xludf.DUMMYFUNCTION("GOOGLETRANSLATE(C4580,""en"",""pl"")"),"zacisk")</f>
        <v>zacisk</v>
      </c>
    </row>
    <row r="4581">
      <c r="C4581" s="1" t="s">
        <v>4575</v>
      </c>
      <c r="D4581" s="3" t="str">
        <f>IFERROR(__xludf.DUMMYFUNCTION("GOOGLETRANSLATE(C4581,""en"",""pl"")"),"poeci")</f>
        <v>poeci</v>
      </c>
    </row>
    <row r="4582">
      <c r="C4582" s="1" t="s">
        <v>4576</v>
      </c>
      <c r="D4582" s="3" t="str">
        <f>IFERROR(__xludf.DUMMYFUNCTION("GOOGLETRANSLATE(C4582,""en"",""pl"")"),"chemik")</f>
        <v>chemik</v>
      </c>
    </row>
    <row r="4583">
      <c r="C4583" s="1" t="s">
        <v>4577</v>
      </c>
      <c r="D4583" s="3" t="str">
        <f>IFERROR(__xludf.DUMMYFUNCTION("GOOGLETRANSLATE(C4583,""en"",""pl"")"),"zawodowo")</f>
        <v>zawodowo</v>
      </c>
    </row>
    <row r="4584">
      <c r="C4584" s="1" t="s">
        <v>4578</v>
      </c>
      <c r="D4584" s="3" t="str">
        <f>IFERROR(__xludf.DUMMYFUNCTION("GOOGLETRANSLATE(C4584,""en"",""pl"")"),"wyblakły")</f>
        <v>wyblakły</v>
      </c>
    </row>
    <row r="4585">
      <c r="C4585" s="1" t="s">
        <v>4579</v>
      </c>
      <c r="D4585" s="3" t="str">
        <f>IFERROR(__xludf.DUMMYFUNCTION("GOOGLETRANSLATE(C4585,""en"",""pl"")"),"vargas")</f>
        <v>vargas</v>
      </c>
    </row>
    <row r="4586">
      <c r="C4586" s="1" t="s">
        <v>4580</v>
      </c>
      <c r="D4586" s="3" t="str">
        <f>IFERROR(__xludf.DUMMYFUNCTION("GOOGLETRANSLATE(C4586,""en"",""pl"")"),"proch strzelniczy")</f>
        <v>proch strzelniczy</v>
      </c>
    </row>
    <row r="4587">
      <c r="C4587" s="1" t="s">
        <v>4581</v>
      </c>
      <c r="D4587" s="3" t="str">
        <f>IFERROR(__xludf.DUMMYFUNCTION("GOOGLETRANSLATE(C4587,""en"",""pl"")"),"inc")</f>
        <v>inc</v>
      </c>
    </row>
    <row r="4588">
      <c r="C4588" s="1" t="s">
        <v>4582</v>
      </c>
      <c r="D4588" s="3" t="str">
        <f>IFERROR(__xludf.DUMMYFUNCTION("GOOGLETRANSLATE(C4588,""en"",""pl"")"),"gala")</f>
        <v>gala</v>
      </c>
    </row>
    <row r="4589">
      <c r="C4589" s="1" t="s">
        <v>4583</v>
      </c>
      <c r="D4589" s="3" t="str">
        <f>IFERROR(__xludf.DUMMYFUNCTION("GOOGLETRANSLATE(C4589,""en"",""pl"")"),"okolica")</f>
        <v>okolica</v>
      </c>
    </row>
    <row r="4590">
      <c r="C4590" s="1" t="s">
        <v>4584</v>
      </c>
      <c r="D4590" s="3" t="str">
        <f>IFERROR(__xludf.DUMMYFUNCTION("GOOGLETRANSLATE(C4590,""en"",""pl"")"),"Wisconsin")</f>
        <v>Wisconsin</v>
      </c>
    </row>
    <row r="4591">
      <c r="C4591" s="1" t="s">
        <v>4585</v>
      </c>
      <c r="D4591" s="3" t="str">
        <f>IFERROR(__xludf.DUMMYFUNCTION("GOOGLETRANSLATE(C4591,""en"",""pl"")"),"rywale")</f>
        <v>rywale</v>
      </c>
    </row>
    <row r="4592">
      <c r="C4592" s="1" t="s">
        <v>4586</v>
      </c>
      <c r="D4592" s="3" t="str">
        <f>IFERROR(__xludf.DUMMYFUNCTION("GOOGLETRANSLATE(C4592,""en"",""pl"")"),"chichotanie")</f>
        <v>chichotanie</v>
      </c>
    </row>
    <row r="4593">
      <c r="C4593" s="1" t="s">
        <v>4587</v>
      </c>
      <c r="D4593" s="3" t="str">
        <f>IFERROR(__xludf.DUMMYFUNCTION("GOOGLETRANSLATE(C4593,""en"",""pl"")"),"wytrzymać")</f>
        <v>wytrzymać</v>
      </c>
    </row>
    <row r="4594">
      <c r="C4594" s="1" t="s">
        <v>4588</v>
      </c>
      <c r="D4594" s="3" t="str">
        <f>IFERROR(__xludf.DUMMYFUNCTION("GOOGLETRANSLATE(C4594,""en"",""pl"")"),"współczesny")</f>
        <v>współczesny</v>
      </c>
    </row>
    <row r="4595">
      <c r="C4595" s="1" t="s">
        <v>4589</v>
      </c>
      <c r="D4595" s="3" t="str">
        <f>IFERROR(__xludf.DUMMYFUNCTION("GOOGLETRANSLATE(C4595,""en"",""pl"")"),"harlem")</f>
        <v>harlem</v>
      </c>
    </row>
    <row r="4596">
      <c r="C4596" s="1" t="s">
        <v>4590</v>
      </c>
      <c r="D4596" s="3" t="str">
        <f>IFERROR(__xludf.DUMMYFUNCTION("GOOGLETRANSLATE(C4596,""en"",""pl"")"),"pół godziny")</f>
        <v>pół godziny</v>
      </c>
    </row>
    <row r="4597">
      <c r="C4597" s="1" t="s">
        <v>4591</v>
      </c>
      <c r="D4597" s="3" t="str">
        <f>IFERROR(__xludf.DUMMYFUNCTION("GOOGLETRANSLATE(C4597,""en"",""pl"")"),"marlon")</f>
        <v>marlon</v>
      </c>
    </row>
    <row r="4598">
      <c r="C4598" s="1" t="s">
        <v>4592</v>
      </c>
      <c r="D4598" s="3" t="str">
        <f>IFERROR(__xludf.DUMMYFUNCTION("GOOGLETRANSLATE(C4598,""en"",""pl"")"),"zniósł")</f>
        <v>zniósł</v>
      </c>
    </row>
    <row r="4599">
      <c r="C4599" s="1" t="s">
        <v>4593</v>
      </c>
      <c r="D4599" s="3" t="str">
        <f>IFERROR(__xludf.DUMMYFUNCTION("GOOGLETRANSLATE(C4599,""en"",""pl"")"),"arsenał")</f>
        <v>arsenał</v>
      </c>
    </row>
    <row r="4600">
      <c r="C4600" s="1" t="s">
        <v>4594</v>
      </c>
      <c r="D4600" s="3" t="str">
        <f>IFERROR(__xludf.DUMMYFUNCTION("GOOGLETRANSLATE(C4600,""en"",""pl"")"),"w toku")</f>
        <v>w toku</v>
      </c>
    </row>
    <row r="4601">
      <c r="C4601" s="1" t="s">
        <v>4595</v>
      </c>
      <c r="D4601" s="3" t="str">
        <f>IFERROR(__xludf.DUMMYFUNCTION("GOOGLETRANSLATE(C4601,""en"",""pl"")"),"pączki")</f>
        <v>pączki</v>
      </c>
    </row>
    <row r="4602">
      <c r="C4602" s="1" t="s">
        <v>4596</v>
      </c>
      <c r="D4602" s="3" t="str">
        <f>IFERROR(__xludf.DUMMYFUNCTION("GOOGLETRANSLATE(C4602,""en"",""pl"")"),"Daryll")</f>
        <v>Daryll</v>
      </c>
    </row>
    <row r="4603">
      <c r="C4603" s="1" t="s">
        <v>4597</v>
      </c>
      <c r="D4603" s="3" t="str">
        <f>IFERROR(__xludf.DUMMYFUNCTION("GOOGLETRANSLATE(C4603,""en"",""pl"")"),"cholera")</f>
        <v>cholera</v>
      </c>
    </row>
    <row r="4604">
      <c r="C4604" s="1" t="s">
        <v>4598</v>
      </c>
      <c r="D4604" s="3" t="str">
        <f>IFERROR(__xludf.DUMMYFUNCTION("GOOGLETRANSLATE(C4604,""en"",""pl"")"),"wstrzyknięty")</f>
        <v>wstrzyknięty</v>
      </c>
    </row>
    <row r="4605">
      <c r="C4605" s="1" t="s">
        <v>4599</v>
      </c>
      <c r="D4605" s="3" t="str">
        <f>IFERROR(__xludf.DUMMYFUNCTION("GOOGLETRANSLATE(C4605,""en"",""pl"")"),"mieszkanie")</f>
        <v>mieszkanie</v>
      </c>
    </row>
    <row r="4606">
      <c r="C4606" s="1" t="s">
        <v>4600</v>
      </c>
      <c r="D4606" s="3" t="str">
        <f>IFERROR(__xludf.DUMMYFUNCTION("GOOGLETRANSLATE(C4606,""en"",""pl"")"),"Zygfryd")</f>
        <v>Zygfryd</v>
      </c>
    </row>
    <row r="4607">
      <c r="C4607" s="1" t="s">
        <v>4601</v>
      </c>
      <c r="D4607" s="3" t="str">
        <f>IFERROR(__xludf.DUMMYFUNCTION("GOOGLETRANSLATE(C4607,""en"",""pl"")"),"Elżbieta")</f>
        <v>Elżbieta</v>
      </c>
    </row>
    <row r="4608">
      <c r="C4608" s="1" t="s">
        <v>4602</v>
      </c>
      <c r="D4608" s="3" t="str">
        <f>IFERROR(__xludf.DUMMYFUNCTION("GOOGLETRANSLATE(C4608,""en"",""pl"")"),"miliarder")</f>
        <v>miliarder</v>
      </c>
    </row>
    <row r="4609">
      <c r="C4609" s="1" t="s">
        <v>4603</v>
      </c>
      <c r="D4609" s="3" t="str">
        <f>IFERROR(__xludf.DUMMYFUNCTION("GOOGLETRANSLATE(C4609,""en"",""pl"")"),"karton")</f>
        <v>karton</v>
      </c>
    </row>
    <row r="4610">
      <c r="C4610" s="1" t="s">
        <v>4604</v>
      </c>
      <c r="D4610" s="3" t="str">
        <f>IFERROR(__xludf.DUMMYFUNCTION("GOOGLETRANSLATE(C4610,""en"",""pl"")"),"uściski")</f>
        <v>uściski</v>
      </c>
    </row>
    <row r="4611">
      <c r="C4611" s="4" t="s">
        <v>4605</v>
      </c>
      <c r="D4611" s="3" t="str">
        <f>IFERROR(__xludf.DUMMYFUNCTION("GOOGLETRANSLATE(C4611,""en"",""pl"")"),"jakiś")</f>
        <v>jakiś</v>
      </c>
    </row>
    <row r="4612">
      <c r="C4612" s="1" t="s">
        <v>4606</v>
      </c>
      <c r="D4612" s="3" t="str">
        <f>IFERROR(__xludf.DUMMYFUNCTION("GOOGLETRANSLATE(C4612,""en"",""pl"")"),"bandaże")</f>
        <v>bandaże</v>
      </c>
    </row>
    <row r="4613">
      <c r="C4613" s="1" t="s">
        <v>4607</v>
      </c>
      <c r="D4613" s="3" t="str">
        <f>IFERROR(__xludf.DUMMYFUNCTION("GOOGLETRANSLATE(C4613,""en"",""pl"")"),"wieczny")</f>
        <v>wieczny</v>
      </c>
    </row>
    <row r="4614">
      <c r="C4614" s="1" t="s">
        <v>4608</v>
      </c>
      <c r="D4614" s="3" t="str">
        <f>IFERROR(__xludf.DUMMYFUNCTION("GOOGLETRANSLATE(C4614,""en"",""pl"")"),"Liverpool")</f>
        <v>Liverpool</v>
      </c>
    </row>
    <row r="4615">
      <c r="C4615" s="1" t="s">
        <v>4609</v>
      </c>
      <c r="D4615" s="3" t="str">
        <f>IFERROR(__xludf.DUMMYFUNCTION("GOOGLETRANSLATE(C4615,""en"",""pl"")"),"spółdzielnia")</f>
        <v>spółdzielnia</v>
      </c>
    </row>
    <row r="4616">
      <c r="C4616" s="1" t="s">
        <v>4610</v>
      </c>
      <c r="D4616" s="3" t="str">
        <f>IFERROR(__xludf.DUMMYFUNCTION("GOOGLETRANSLATE(C4616,""en"",""pl"")"),"dyplom")</f>
        <v>dyplom</v>
      </c>
    </row>
    <row r="4617">
      <c r="C4617" s="1" t="s">
        <v>4611</v>
      </c>
      <c r="D4617" s="3" t="str">
        <f>IFERROR(__xludf.DUMMYFUNCTION("GOOGLETRANSLATE(C4617,""en"",""pl"")"),"nerwowy")</f>
        <v>nerwowy</v>
      </c>
    </row>
    <row r="4618">
      <c r="C4618" s="1" t="s">
        <v>4612</v>
      </c>
      <c r="D4618" s="3" t="str">
        <f>IFERROR(__xludf.DUMMYFUNCTION("GOOGLETRANSLATE(C4618,""en"",""pl"")"),"losy")</f>
        <v>losy</v>
      </c>
    </row>
    <row r="4619">
      <c r="C4619" s="1" t="s">
        <v>4613</v>
      </c>
      <c r="D4619" s="3" t="str">
        <f>IFERROR(__xludf.DUMMYFUNCTION("GOOGLETRANSLATE(C4619,""en"",""pl"")"),"wiejski")</f>
        <v>wiejski</v>
      </c>
    </row>
    <row r="4620">
      <c r="C4620" s="1" t="s">
        <v>4614</v>
      </c>
      <c r="D4620" s="3" t="str">
        <f>IFERROR(__xludf.DUMMYFUNCTION("GOOGLETRANSLATE(C4620,""en"",""pl"")"),"opat")</f>
        <v>opat</v>
      </c>
    </row>
    <row r="4621">
      <c r="C4621" s="1" t="s">
        <v>4615</v>
      </c>
      <c r="D4621" s="3" t="str">
        <f>IFERROR(__xludf.DUMMYFUNCTION("GOOGLETRANSLATE(C4621,""en"",""pl"")"),"recepcjonista")</f>
        <v>recepcjonista</v>
      </c>
    </row>
    <row r="4622">
      <c r="C4622" s="1" t="s">
        <v>4616</v>
      </c>
      <c r="D4622" s="3" t="str">
        <f>IFERROR(__xludf.DUMMYFUNCTION("GOOGLETRANSLATE(C4622,""en"",""pl"")"),"antyki")</f>
        <v>antyki</v>
      </c>
    </row>
    <row r="4623">
      <c r="C4623" s="1" t="s">
        <v>4617</v>
      </c>
      <c r="D4623" s="3" t="str">
        <f>IFERROR(__xludf.DUMMYFUNCTION("GOOGLETRANSLATE(C4623,""en"",""pl"")"),"etykiety")</f>
        <v>etykiety</v>
      </c>
    </row>
    <row r="4624">
      <c r="C4624" s="1" t="s">
        <v>4618</v>
      </c>
      <c r="D4624" s="3" t="str">
        <f>IFERROR(__xludf.DUMMYFUNCTION("GOOGLETRANSLATE(C4624,""en"",""pl"")"),"rozmiary")</f>
        <v>rozmiary</v>
      </c>
    </row>
    <row r="4625">
      <c r="C4625" s="1" t="s">
        <v>4619</v>
      </c>
      <c r="D4625" s="3" t="str">
        <f>IFERROR(__xludf.DUMMYFUNCTION("GOOGLETRANSLATE(C4625,""en"",""pl"")"),"tysiąclecie")</f>
        <v>tysiąclecie</v>
      </c>
    </row>
    <row r="4626">
      <c r="C4626" s="1" t="s">
        <v>4620</v>
      </c>
      <c r="D4626" s="3" t="str">
        <f>IFERROR(__xludf.DUMMYFUNCTION("GOOGLETRANSLATE(C4626,""en"",""pl"")"),"układ")</f>
        <v>układ</v>
      </c>
    </row>
    <row r="4627">
      <c r="C4627" s="1" t="s">
        <v>4621</v>
      </c>
      <c r="D4627" s="3" t="str">
        <f>IFERROR(__xludf.DUMMYFUNCTION("GOOGLETRANSLATE(C4627,""en"",""pl"")"),"niemoralny")</f>
        <v>niemoralny</v>
      </c>
    </row>
    <row r="4628">
      <c r="C4628" s="1" t="s">
        <v>4622</v>
      </c>
      <c r="D4628" s="3" t="str">
        <f>IFERROR(__xludf.DUMMYFUNCTION("GOOGLETRANSLATE(C4628,""en"",""pl"")"),"zarządza")</f>
        <v>zarządza</v>
      </c>
    </row>
    <row r="4629">
      <c r="C4629" s="1" t="s">
        <v>4623</v>
      </c>
      <c r="D4629" s="3" t="str">
        <f>IFERROR(__xludf.DUMMYFUNCTION("GOOGLETRANSLATE(C4629,""en"",""pl"")"),"syczy")</f>
        <v>syczy</v>
      </c>
    </row>
    <row r="4630">
      <c r="C4630" s="1" t="s">
        <v>4624</v>
      </c>
      <c r="D4630" s="3" t="str">
        <f>IFERROR(__xludf.DUMMYFUNCTION("GOOGLETRANSLATE(C4630,""en"",""pl"")"),"bileter")</f>
        <v>bileter</v>
      </c>
    </row>
    <row r="4631">
      <c r="C4631" s="1" t="s">
        <v>4625</v>
      </c>
      <c r="D4631" s="3" t="str">
        <f>IFERROR(__xludf.DUMMYFUNCTION("GOOGLETRANSLATE(C4631,""en"",""pl"")"),"impulsywny")</f>
        <v>impulsywny</v>
      </c>
    </row>
    <row r="4632">
      <c r="C4632" s="1" t="s">
        <v>4626</v>
      </c>
      <c r="D4632" s="3" t="str">
        <f>IFERROR(__xludf.DUMMYFUNCTION("GOOGLETRANSLATE(C4632,""en"",""pl"")"),"zanieczyszczenie")</f>
        <v>zanieczyszczenie</v>
      </c>
    </row>
    <row r="4633">
      <c r="C4633" s="1" t="s">
        <v>4627</v>
      </c>
      <c r="D4633" s="3" t="str">
        <f>IFERROR(__xludf.DUMMYFUNCTION("GOOGLETRANSLATE(C4633,""en"",""pl"")"),"wielbiciel")</f>
        <v>wielbiciel</v>
      </c>
    </row>
    <row r="4634">
      <c r="C4634" s="4" t="s">
        <v>4628</v>
      </c>
      <c r="D4634" s="3" t="str">
        <f>IFERROR(__xludf.DUMMYFUNCTION("GOOGLETRANSLATE(C4634,""en"",""pl"")"),"R")</f>
        <v>R</v>
      </c>
    </row>
    <row r="4635">
      <c r="C4635" s="1" t="s">
        <v>4629</v>
      </c>
      <c r="D4635" s="3" t="str">
        <f>IFERROR(__xludf.DUMMYFUNCTION("GOOGLETRANSLATE(C4635,""en"",""pl"")"),"radować się")</f>
        <v>radować się</v>
      </c>
    </row>
    <row r="4636">
      <c r="C4636" s="1" t="s">
        <v>4630</v>
      </c>
      <c r="D4636" s="3" t="str">
        <f>IFERROR(__xludf.DUMMYFUNCTION("GOOGLETRANSLATE(C4636,""en"",""pl"")"),"Iowa")</f>
        <v>Iowa</v>
      </c>
    </row>
    <row r="4637">
      <c r="C4637" s="1" t="s">
        <v>4631</v>
      </c>
      <c r="D4637" s="3" t="str">
        <f>IFERROR(__xludf.DUMMYFUNCTION("GOOGLETRANSLATE(C4637,""en"",""pl"")"),"Marlena")</f>
        <v>Marlena</v>
      </c>
    </row>
    <row r="4638">
      <c r="C4638" s="1" t="s">
        <v>4632</v>
      </c>
      <c r="D4638" s="3" t="str">
        <f>IFERROR(__xludf.DUMMYFUNCTION("GOOGLETRANSLATE(C4638,""en"",""pl"")"),"hinduski")</f>
        <v>hinduski</v>
      </c>
    </row>
    <row r="4639">
      <c r="C4639" s="1" t="s">
        <v>4633</v>
      </c>
      <c r="D4639" s="3" t="str">
        <f>IFERROR(__xludf.DUMMYFUNCTION("GOOGLETRANSLATE(C4639,""en"",""pl"")"),"uchwyt")</f>
        <v>uchwyt</v>
      </c>
    </row>
    <row r="4640">
      <c r="C4640" s="1" t="s">
        <v>4634</v>
      </c>
      <c r="D4640" s="3" t="str">
        <f>IFERROR(__xludf.DUMMYFUNCTION("GOOGLETRANSLATE(C4640,""en"",""pl"")"),"nękany")</f>
        <v>nękany</v>
      </c>
    </row>
    <row r="4641">
      <c r="C4641" s="1" t="s">
        <v>4635</v>
      </c>
      <c r="D4641" s="3" t="str">
        <f>IFERROR(__xludf.DUMMYFUNCTION("GOOGLETRANSLATE(C4641,""en"",""pl"")"),"łączyć")</f>
        <v>łączyć</v>
      </c>
    </row>
    <row r="4642">
      <c r="C4642" s="1" t="s">
        <v>4636</v>
      </c>
      <c r="D4642" s="3" t="str">
        <f>IFERROR(__xludf.DUMMYFUNCTION("GOOGLETRANSLATE(C4642,""en"",""pl"")"),"dziennikarstwo")</f>
        <v>dziennikarstwo</v>
      </c>
    </row>
    <row r="4643">
      <c r="C4643" s="1" t="s">
        <v>4637</v>
      </c>
      <c r="D4643" s="3" t="str">
        <f>IFERROR(__xludf.DUMMYFUNCTION("GOOGLETRANSLATE(C4643,""en"",""pl"")"),"mianowany")</f>
        <v>mianowany</v>
      </c>
    </row>
    <row r="4644">
      <c r="C4644" s="1" t="s">
        <v>4638</v>
      </c>
      <c r="D4644" s="3" t="str">
        <f>IFERROR(__xludf.DUMMYFUNCTION("GOOGLETRANSLATE(C4644,""en"",""pl"")"),"zachód słońca")</f>
        <v>zachód słońca</v>
      </c>
    </row>
    <row r="4645">
      <c r="C4645" s="1" t="s">
        <v>4639</v>
      </c>
      <c r="D4645" s="3" t="str">
        <f>IFERROR(__xludf.DUMMYFUNCTION("GOOGLETRANSLATE(C4645,""en"",""pl"")"),"Asystenci")</f>
        <v>Asystenci</v>
      </c>
    </row>
    <row r="4646">
      <c r="C4646" s="1" t="s">
        <v>4640</v>
      </c>
      <c r="D4646" s="3" t="str">
        <f>IFERROR(__xludf.DUMMYFUNCTION("GOOGLETRANSLATE(C4646,""en"",""pl"")"),"cudowny")</f>
        <v>cudowny</v>
      </c>
    </row>
    <row r="4647">
      <c r="C4647" s="1" t="s">
        <v>4641</v>
      </c>
      <c r="D4647" s="3" t="str">
        <f>IFERROR(__xludf.DUMMYFUNCTION("GOOGLETRANSLATE(C4647,""en"",""pl"")"),"gapił się")</f>
        <v>gapił się</v>
      </c>
    </row>
    <row r="4648">
      <c r="C4648" s="1" t="s">
        <v>4642</v>
      </c>
      <c r="D4648" s="3" t="str">
        <f>IFERROR(__xludf.DUMMYFUNCTION("GOOGLETRANSLATE(C4648,""en"",""pl"")"),"przepisany")</f>
        <v>przepisany</v>
      </c>
    </row>
    <row r="4649">
      <c r="C4649" s="1" t="s">
        <v>4643</v>
      </c>
      <c r="D4649" s="3" t="str">
        <f>IFERROR(__xludf.DUMMYFUNCTION("GOOGLETRANSLATE(C4649,""en"",""pl"")"),"dużo")</f>
        <v>dużo</v>
      </c>
    </row>
    <row r="4650">
      <c r="C4650" s="1" t="s">
        <v>4644</v>
      </c>
      <c r="D4650" s="3" t="str">
        <f>IFERROR(__xludf.DUMMYFUNCTION("GOOGLETRANSLATE(C4650,""en"",""pl"")"),"przysięga")</f>
        <v>przysięga</v>
      </c>
    </row>
    <row r="4651">
      <c r="C4651" s="1" t="s">
        <v>4645</v>
      </c>
      <c r="D4651" s="3" t="str">
        <f>IFERROR(__xludf.DUMMYFUNCTION("GOOGLETRANSLATE(C4651,""en"",""pl"")"),"gwarantuje")</f>
        <v>gwarantuje</v>
      </c>
    </row>
    <row r="4652">
      <c r="C4652" s="1" t="s">
        <v>4646</v>
      </c>
      <c r="D4652" s="3" t="str">
        <f>IFERROR(__xludf.DUMMYFUNCTION("GOOGLETRANSLATE(C4652,""en"",""pl"")"),"Massachusetts")</f>
        <v>Massachusetts</v>
      </c>
    </row>
    <row r="4653">
      <c r="C4653" s="1" t="s">
        <v>4647</v>
      </c>
      <c r="D4653" s="3" t="str">
        <f>IFERROR(__xludf.DUMMYFUNCTION("GOOGLETRANSLATE(C4653,""en"",""pl"")"),"węzeł")</f>
        <v>węzeł</v>
      </c>
    </row>
    <row r="4654">
      <c r="C4654" s="1" t="s">
        <v>4648</v>
      </c>
      <c r="D4654" s="3" t="str">
        <f>IFERROR(__xludf.DUMMYFUNCTION("GOOGLETRANSLATE(C4654,""en"",""pl"")"),"konsumpcja")</f>
        <v>konsumpcja</v>
      </c>
    </row>
    <row r="4655">
      <c r="C4655" s="1" t="s">
        <v>4649</v>
      </c>
      <c r="D4655" s="3" t="str">
        <f>IFERROR(__xludf.DUMMYFUNCTION("GOOGLETRANSLATE(C4655,""en"",""pl"")"),"Astrida")</f>
        <v>Astrida</v>
      </c>
    </row>
    <row r="4656">
      <c r="C4656" s="1" t="s">
        <v>4650</v>
      </c>
      <c r="D4656" s="3" t="str">
        <f>IFERROR(__xludf.DUMMYFUNCTION("GOOGLETRANSLATE(C4656,""en"",""pl"")"),"metropolia")</f>
        <v>metropolia</v>
      </c>
    </row>
    <row r="4657">
      <c r="C4657" s="1" t="s">
        <v>4651</v>
      </c>
      <c r="D4657" s="3" t="str">
        <f>IFERROR(__xludf.DUMMYFUNCTION("GOOGLETRANSLATE(C4657,""en"",""pl"")"),"Islandia")</f>
        <v>Islandia</v>
      </c>
    </row>
    <row r="4658">
      <c r="C4658" s="1" t="s">
        <v>4652</v>
      </c>
      <c r="D4658" s="3" t="str">
        <f>IFERROR(__xludf.DUMMYFUNCTION("GOOGLETRANSLATE(C4658,""en"",""pl"")"),"ślubny")</f>
        <v>ślubny</v>
      </c>
    </row>
    <row r="4659">
      <c r="C4659" s="1" t="s">
        <v>4653</v>
      </c>
      <c r="D4659" s="3" t="str">
        <f>IFERROR(__xludf.DUMMYFUNCTION("GOOGLETRANSLATE(C4659,""en"",""pl"")"),"dziewice")</f>
        <v>dziewice</v>
      </c>
    </row>
    <row r="4660">
      <c r="C4660" s="1" t="s">
        <v>4654</v>
      </c>
      <c r="D4660" s="3" t="str">
        <f>IFERROR(__xludf.DUMMYFUNCTION("GOOGLETRANSLATE(C4660,""en"",""pl"")"),"zwycięski")</f>
        <v>zwycięski</v>
      </c>
    </row>
    <row r="4661">
      <c r="C4661" s="1" t="s">
        <v>4655</v>
      </c>
      <c r="D4661" s="3" t="str">
        <f>IFERROR(__xludf.DUMMYFUNCTION("GOOGLETRANSLATE(C4661,""en"",""pl"")"),"tryskać")</f>
        <v>tryskać</v>
      </c>
    </row>
    <row r="4662">
      <c r="C4662" s="1" t="s">
        <v>4656</v>
      </c>
      <c r="D4662" s="3" t="str">
        <f>IFERROR(__xludf.DUMMYFUNCTION("GOOGLETRANSLATE(C4662,""en"",""pl"")"),"naramienniki")</f>
        <v>naramienniki</v>
      </c>
    </row>
    <row r="4663">
      <c r="C4663" s="1" t="s">
        <v>4657</v>
      </c>
      <c r="D4663" s="3" t="str">
        <f>IFERROR(__xludf.DUMMYFUNCTION("GOOGLETRANSLATE(C4663,""en"",""pl"")"),"zmodyfikowany")</f>
        <v>zmodyfikowany</v>
      </c>
    </row>
    <row r="4664">
      <c r="C4664" s="1" t="s">
        <v>4658</v>
      </c>
      <c r="D4664" s="3" t="str">
        <f>IFERROR(__xludf.DUMMYFUNCTION("GOOGLETRANSLATE(C4664,""en"",""pl"")"),"hanson")</f>
        <v>hanson</v>
      </c>
    </row>
    <row r="4665">
      <c r="C4665" s="1" t="s">
        <v>4659</v>
      </c>
      <c r="D4665" s="3" t="str">
        <f>IFERROR(__xludf.DUMMYFUNCTION("GOOGLETRANSLATE(C4665,""en"",""pl"")"),"kasetka")</f>
        <v>kasetka</v>
      </c>
    </row>
    <row r="4666">
      <c r="C4666" s="1" t="s">
        <v>4660</v>
      </c>
      <c r="D4666" s="3" t="str">
        <f>IFERROR(__xludf.DUMMYFUNCTION("GOOGLETRANSLATE(C4666,""en"",""pl"")"),"płomień")</f>
        <v>płomień</v>
      </c>
    </row>
    <row r="4667">
      <c r="C4667" s="1" t="s">
        <v>4661</v>
      </c>
      <c r="D4667" s="3" t="str">
        <f>IFERROR(__xludf.DUMMYFUNCTION("GOOGLETRANSLATE(C4667,""en"",""pl"")"),"kiblować")</f>
        <v>kiblować</v>
      </c>
    </row>
    <row r="4668">
      <c r="C4668" s="1" t="s">
        <v>4662</v>
      </c>
      <c r="D4668" s="3" t="str">
        <f>IFERROR(__xludf.DUMMYFUNCTION("GOOGLETRANSLATE(C4668,""en"",""pl"")"),"klify")</f>
        <v>klify</v>
      </c>
    </row>
    <row r="4669">
      <c r="C4669" s="1" t="s">
        <v>4663</v>
      </c>
      <c r="D4669" s="3" t="str">
        <f>IFERROR(__xludf.DUMMYFUNCTION("GOOGLETRANSLATE(C4669,""en"",""pl"")"),"niszczyciel")</f>
        <v>niszczyciel</v>
      </c>
    </row>
    <row r="4670">
      <c r="C4670" s="1" t="s">
        <v>4664</v>
      </c>
      <c r="D4670" s="3" t="str">
        <f>IFERROR(__xludf.DUMMYFUNCTION("GOOGLETRANSLATE(C4670,""en"",""pl"")"),"na morzu")</f>
        <v>na morzu</v>
      </c>
    </row>
    <row r="4671">
      <c r="C4671" s="1" t="s">
        <v>4665</v>
      </c>
      <c r="D4671" s="3" t="str">
        <f>IFERROR(__xludf.DUMMYFUNCTION("GOOGLETRANSLATE(C4671,""en"",""pl"")"),"tendencja")</f>
        <v>tendencja</v>
      </c>
    </row>
    <row r="4672">
      <c r="C4672" s="1" t="s">
        <v>4666</v>
      </c>
      <c r="D4672" s="3" t="str">
        <f>IFERROR(__xludf.DUMMYFUNCTION("GOOGLETRANSLATE(C4672,""en"",""pl"")"),"skakać")</f>
        <v>skakać</v>
      </c>
    </row>
    <row r="4673">
      <c r="C4673" s="1" t="s">
        <v>4667</v>
      </c>
      <c r="D4673" s="3" t="str">
        <f>IFERROR(__xludf.DUMMYFUNCTION("GOOGLETRANSLATE(C4673,""en"",""pl"")"),"łów")</f>
        <v>łów</v>
      </c>
    </row>
    <row r="4674">
      <c r="C4674" s="1" t="s">
        <v>4668</v>
      </c>
      <c r="D4674" s="3" t="str">
        <f>IFERROR(__xludf.DUMMYFUNCTION("GOOGLETRANSLATE(C4674,""en"",""pl"")"),"pierwsza klasa")</f>
        <v>pierwsza klasa</v>
      </c>
    </row>
    <row r="4675">
      <c r="C4675" s="1" t="s">
        <v>4669</v>
      </c>
      <c r="D4675" s="3" t="str">
        <f>IFERROR(__xludf.DUMMYFUNCTION("GOOGLETRANSLATE(C4675,""en"",""pl"")"),"wiwat")</f>
        <v>wiwat</v>
      </c>
    </row>
    <row r="4676">
      <c r="C4676" s="1" t="s">
        <v>4670</v>
      </c>
      <c r="D4676" s="3" t="str">
        <f>IFERROR(__xludf.DUMMYFUNCTION("GOOGLETRANSLATE(C4676,""en"",""pl"")"),"intensywny")</f>
        <v>intensywny</v>
      </c>
    </row>
    <row r="4677">
      <c r="C4677" s="1" t="s">
        <v>4671</v>
      </c>
      <c r="D4677" s="3" t="str">
        <f>IFERROR(__xludf.DUMMYFUNCTION("GOOGLETRANSLATE(C4677,""en"",""pl"")"),"Gustaw")</f>
        <v>Gustaw</v>
      </c>
    </row>
    <row r="4678">
      <c r="C4678" s="1" t="s">
        <v>4672</v>
      </c>
      <c r="D4678" s="3" t="str">
        <f>IFERROR(__xludf.DUMMYFUNCTION("GOOGLETRANSLATE(C4678,""en"",""pl"")"),"zagrożony")</f>
        <v>zagrożony</v>
      </c>
    </row>
    <row r="4679">
      <c r="C4679" s="1" t="s">
        <v>4673</v>
      </c>
      <c r="D4679" s="3" t="str">
        <f>IFERROR(__xludf.DUMMYFUNCTION("GOOGLETRANSLATE(C4679,""en"",""pl"")"),"wa")</f>
        <v>wa</v>
      </c>
    </row>
    <row r="4680">
      <c r="C4680" s="1" t="s">
        <v>4674</v>
      </c>
      <c r="D4680" s="3" t="str">
        <f>IFERROR(__xludf.DUMMYFUNCTION("GOOGLETRANSLATE(C4680,""en"",""pl"")"),"krążyć")</f>
        <v>krążyć</v>
      </c>
    </row>
    <row r="4681">
      <c r="C4681" s="1" t="s">
        <v>4675</v>
      </c>
      <c r="D4681" s="3" t="str">
        <f>IFERROR(__xludf.DUMMYFUNCTION("GOOGLETRANSLATE(C4681,""en"",""pl"")"),"zdrowaśka")</f>
        <v>zdrowaśka</v>
      </c>
    </row>
    <row r="4682">
      <c r="C4682" s="1" t="s">
        <v>4676</v>
      </c>
      <c r="D4682" s="3" t="str">
        <f>IFERROR(__xludf.DUMMYFUNCTION("GOOGLETRANSLATE(C4682,""en"",""pl"")"),"schowany")</f>
        <v>schowany</v>
      </c>
    </row>
    <row r="4683">
      <c r="C4683" s="1" t="s">
        <v>4677</v>
      </c>
      <c r="D4683" s="3" t="str">
        <f>IFERROR(__xludf.DUMMYFUNCTION("GOOGLETRANSLATE(C4683,""en"",""pl"")"),"to jest")</f>
        <v>to jest</v>
      </c>
    </row>
    <row r="4684">
      <c r="C4684" s="1" t="s">
        <v>4678</v>
      </c>
      <c r="D4684" s="3" t="str">
        <f>IFERROR(__xludf.DUMMYFUNCTION("GOOGLETRANSLATE(C4684,""en"",""pl"")"),"wstecz")</f>
        <v>wstecz</v>
      </c>
    </row>
    <row r="4685">
      <c r="C4685" s="1" t="s">
        <v>4679</v>
      </c>
      <c r="D4685" s="3" t="str">
        <f>IFERROR(__xludf.DUMMYFUNCTION("GOOGLETRANSLATE(C4685,""en"",""pl"")"),"cześć")</f>
        <v>cześć</v>
      </c>
    </row>
    <row r="4686">
      <c r="C4686" s="1" t="s">
        <v>4680</v>
      </c>
      <c r="D4686" s="3" t="str">
        <f>IFERROR(__xludf.DUMMYFUNCTION("GOOGLETRANSLATE(C4686,""en"",""pl"")"),"szambelan")</f>
        <v>szambelan</v>
      </c>
    </row>
    <row r="4687">
      <c r="C4687" s="1" t="s">
        <v>4681</v>
      </c>
      <c r="D4687" s="3" t="str">
        <f>IFERROR(__xludf.DUMMYFUNCTION("GOOGLETRANSLATE(C4687,""en"",""pl"")"),"sari")</f>
        <v>sari</v>
      </c>
    </row>
    <row r="4688">
      <c r="C4688" s="1" t="s">
        <v>4682</v>
      </c>
      <c r="D4688" s="3" t="str">
        <f>IFERROR(__xludf.DUMMYFUNCTION("GOOGLETRANSLATE(C4688,""en"",""pl"")"),"termiczny")</f>
        <v>termiczny</v>
      </c>
    </row>
    <row r="4689">
      <c r="C4689" s="1" t="s">
        <v>4683</v>
      </c>
      <c r="D4689" s="3" t="str">
        <f>IFERROR(__xludf.DUMMYFUNCTION("GOOGLETRANSLATE(C4689,""en"",""pl"")"),"przeciwnicy")</f>
        <v>przeciwnicy</v>
      </c>
    </row>
    <row r="4690">
      <c r="C4690" s="1" t="s">
        <v>4684</v>
      </c>
      <c r="D4690" s="3" t="str">
        <f>IFERROR(__xludf.DUMMYFUNCTION("GOOGLETRANSLATE(C4690,""en"",""pl"")"),"błonnik")</f>
        <v>błonnik</v>
      </c>
    </row>
    <row r="4691">
      <c r="C4691" s="1" t="s">
        <v>4685</v>
      </c>
      <c r="D4691" s="3" t="str">
        <f>IFERROR(__xludf.DUMMYFUNCTION("GOOGLETRANSLATE(C4691,""en"",""pl"")"),"na ostatnią chwilę")</f>
        <v>na ostatnią chwilę</v>
      </c>
    </row>
    <row r="4692">
      <c r="C4692" s="1" t="s">
        <v>4686</v>
      </c>
      <c r="D4692" s="3" t="str">
        <f>IFERROR(__xludf.DUMMYFUNCTION("GOOGLETRANSLATE(C4692,""en"",""pl"")"),"toto")</f>
        <v>toto</v>
      </c>
    </row>
    <row r="4693">
      <c r="C4693" s="1" t="s">
        <v>4687</v>
      </c>
      <c r="D4693" s="3" t="str">
        <f>IFERROR(__xludf.DUMMYFUNCTION("GOOGLETRANSLATE(C4693,""en"",""pl"")"),"okoliczność")</f>
        <v>okoliczność</v>
      </c>
    </row>
    <row r="4694">
      <c r="C4694" s="1" t="s">
        <v>4688</v>
      </c>
      <c r="D4694" s="3" t="str">
        <f>IFERROR(__xludf.DUMMYFUNCTION("GOOGLETRANSLATE(C4694,""en"",""pl"")"),"geografia")</f>
        <v>geografia</v>
      </c>
    </row>
    <row r="4695">
      <c r="C4695" s="1" t="s">
        <v>4689</v>
      </c>
      <c r="D4695" s="3" t="str">
        <f>IFERROR(__xludf.DUMMYFUNCTION("GOOGLETRANSLATE(C4695,""en"",""pl"")"),"wrota gwiezdne")</f>
        <v>wrota gwiezdne</v>
      </c>
    </row>
    <row r="4696">
      <c r="C4696" s="1" t="s">
        <v>4690</v>
      </c>
      <c r="D4696" s="3" t="str">
        <f>IFERROR(__xludf.DUMMYFUNCTION("GOOGLETRANSLATE(C4696,""en"",""pl"")"),"interpretować")</f>
        <v>interpretować</v>
      </c>
    </row>
    <row r="4697">
      <c r="C4697" s="1" t="s">
        <v>4691</v>
      </c>
      <c r="D4697" s="3" t="str">
        <f>IFERROR(__xludf.DUMMYFUNCTION("GOOGLETRANSLATE(C4697,""en"",""pl"")"),"Sycylia")</f>
        <v>Sycylia</v>
      </c>
    </row>
    <row r="4698">
      <c r="C4698" s="1" t="s">
        <v>4692</v>
      </c>
      <c r="D4698" s="3" t="str">
        <f>IFERROR(__xludf.DUMMYFUNCTION("GOOGLETRANSLATE(C4698,""en"",""pl"")"),"sika")</f>
        <v>sika</v>
      </c>
    </row>
    <row r="4699">
      <c r="C4699" s="1" t="s">
        <v>4693</v>
      </c>
      <c r="D4699" s="3" t="str">
        <f>IFERROR(__xludf.DUMMYFUNCTION("GOOGLETRANSLATE(C4699,""en"",""pl"")"),"kaznodziejstwo")</f>
        <v>kaznodziejstwo</v>
      </c>
    </row>
    <row r="4700">
      <c r="C4700" s="1" t="s">
        <v>4694</v>
      </c>
      <c r="D4700" s="3" t="str">
        <f>IFERROR(__xludf.DUMMYFUNCTION("GOOGLETRANSLATE(C4700,""en"",""pl"")"),"transporter")</f>
        <v>transporter</v>
      </c>
    </row>
    <row r="4701">
      <c r="C4701" s="1" t="s">
        <v>4695</v>
      </c>
      <c r="D4701" s="3" t="str">
        <f>IFERROR(__xludf.DUMMYFUNCTION("GOOGLETRANSLATE(C4701,""en"",""pl"")"),"biust")</f>
        <v>biust</v>
      </c>
    </row>
    <row r="4702">
      <c r="C4702" s="1" t="s">
        <v>4696</v>
      </c>
      <c r="D4702" s="3" t="str">
        <f>IFERROR(__xludf.DUMMYFUNCTION("GOOGLETRANSLATE(C4702,""en"",""pl"")"),"salsa")</f>
        <v>salsa</v>
      </c>
    </row>
    <row r="4703">
      <c r="C4703" s="1" t="s">
        <v>4697</v>
      </c>
      <c r="D4703" s="3" t="str">
        <f>IFERROR(__xludf.DUMMYFUNCTION("GOOGLETRANSLATE(C4703,""en"",""pl"")"),"osiemdziesiąt")</f>
        <v>osiemdziesiąt</v>
      </c>
    </row>
    <row r="4704">
      <c r="C4704" s="1" t="s">
        <v>4698</v>
      </c>
      <c r="D4704" s="3" t="str">
        <f>IFERROR(__xludf.DUMMYFUNCTION("GOOGLETRANSLATE(C4704,""en"",""pl"")"),"strzęp")</f>
        <v>strzęp</v>
      </c>
    </row>
    <row r="4705">
      <c r="C4705" s="1" t="s">
        <v>4699</v>
      </c>
      <c r="D4705" s="3" t="str">
        <f>IFERROR(__xludf.DUMMYFUNCTION("GOOGLETRANSLATE(C4705,""en"",""pl"")"),"strach")</f>
        <v>strach</v>
      </c>
    </row>
    <row r="4706">
      <c r="C4706" s="1" t="s">
        <v>4700</v>
      </c>
      <c r="D4706" s="3" t="str">
        <f>IFERROR(__xludf.DUMMYFUNCTION("GOOGLETRANSLATE(C4706,""en"",""pl"")"),"czas trwania")</f>
        <v>czas trwania</v>
      </c>
    </row>
    <row r="4707">
      <c r="C4707" s="1" t="s">
        <v>4701</v>
      </c>
      <c r="D4707" s="3" t="str">
        <f>IFERROR(__xludf.DUMMYFUNCTION("GOOGLETRANSLATE(C4707,""en"",""pl"")"),"żebracy")</f>
        <v>żebracy</v>
      </c>
    </row>
    <row r="4708">
      <c r="C4708" s="1" t="s">
        <v>4702</v>
      </c>
      <c r="D4708" s="3" t="str">
        <f>IFERROR(__xludf.DUMMYFUNCTION("GOOGLETRANSLATE(C4708,""en"",""pl"")"),"ja")</f>
        <v>ja</v>
      </c>
    </row>
    <row r="4709">
      <c r="C4709" s="1" t="s">
        <v>4703</v>
      </c>
      <c r="D4709" s="3" t="str">
        <f>IFERROR(__xludf.DUMMYFUNCTION("GOOGLETRANSLATE(C4709,""en"",""pl"")"),"Józefina")</f>
        <v>Józefina</v>
      </c>
    </row>
    <row r="4710">
      <c r="C4710" s="1" t="s">
        <v>4704</v>
      </c>
      <c r="D4710" s="3" t="str">
        <f>IFERROR(__xludf.DUMMYFUNCTION("GOOGLETRANSLATE(C4710,""en"",""pl"")"),"sieci")</f>
        <v>sieci</v>
      </c>
    </row>
    <row r="4711">
      <c r="C4711" s="1" t="s">
        <v>4705</v>
      </c>
      <c r="D4711" s="3" t="str">
        <f>IFERROR(__xludf.DUMMYFUNCTION("GOOGLETRANSLATE(C4711,""en"",""pl"")"),"formalność")</f>
        <v>formalność</v>
      </c>
    </row>
    <row r="4712">
      <c r="C4712" s="1" t="s">
        <v>4706</v>
      </c>
      <c r="D4712" s="3" t="str">
        <f>IFERROR(__xludf.DUMMYFUNCTION("GOOGLETRANSLATE(C4712,""en"",""pl"")"),"podgrzewacz")</f>
        <v>podgrzewacz</v>
      </c>
    </row>
    <row r="4713">
      <c r="C4713" s="1" t="s">
        <v>4707</v>
      </c>
      <c r="D4713" s="3" t="str">
        <f>IFERROR(__xludf.DUMMYFUNCTION("GOOGLETRANSLATE(C4713,""en"",""pl"")"),"par")</f>
        <v>par</v>
      </c>
    </row>
    <row r="4714">
      <c r="C4714" s="1" t="s">
        <v>4708</v>
      </c>
      <c r="D4714" s="3" t="str">
        <f>IFERROR(__xludf.DUMMYFUNCTION("GOOGLETRANSLATE(C4714,""en"",""pl"")"),"kołtuński")</f>
        <v>kołtuński</v>
      </c>
    </row>
    <row r="4715">
      <c r="C4715" s="1" t="s">
        <v>4709</v>
      </c>
      <c r="D4715" s="3" t="str">
        <f>IFERROR(__xludf.DUMMYFUNCTION("GOOGLETRANSLATE(C4715,""en"",""pl"")"),"doświadczenie")</f>
        <v>doświadczenie</v>
      </c>
    </row>
    <row r="4716">
      <c r="C4716" s="1" t="s">
        <v>4710</v>
      </c>
      <c r="D4716" s="3" t="str">
        <f>IFERROR(__xludf.DUMMYFUNCTION("GOOGLETRANSLATE(C4716,""en"",""pl"")"),"rhonda")</f>
        <v>rhonda</v>
      </c>
    </row>
    <row r="4717">
      <c r="C4717" s="1" t="s">
        <v>4711</v>
      </c>
      <c r="D4717" s="3" t="str">
        <f>IFERROR(__xludf.DUMMYFUNCTION("GOOGLETRANSLATE(C4717,""en"",""pl"")"),"rolnictwo")</f>
        <v>rolnictwo</v>
      </c>
    </row>
    <row r="4718">
      <c r="C4718" s="1" t="s">
        <v>4712</v>
      </c>
      <c r="D4718" s="3" t="str">
        <f>IFERROR(__xludf.DUMMYFUNCTION("GOOGLETRANSLATE(C4718,""en"",""pl"")"),"aigoo")</f>
        <v>aigoo</v>
      </c>
    </row>
    <row r="4719">
      <c r="C4719" s="1" t="s">
        <v>4713</v>
      </c>
      <c r="D4719" s="3" t="str">
        <f>IFERROR(__xludf.DUMMYFUNCTION("GOOGLETRANSLATE(C4719,""en"",""pl"")"),"Katia")</f>
        <v>Katia</v>
      </c>
    </row>
    <row r="4720">
      <c r="C4720" s="1" t="s">
        <v>4714</v>
      </c>
      <c r="D4720" s="3" t="str">
        <f>IFERROR(__xludf.DUMMYFUNCTION("GOOGLETRANSLATE(C4720,""en"",""pl"")"),"ptasznik")</f>
        <v>ptasznik</v>
      </c>
    </row>
    <row r="4721">
      <c r="C4721" s="1" t="s">
        <v>4715</v>
      </c>
      <c r="D4721" s="3" t="str">
        <f>IFERROR(__xludf.DUMMYFUNCTION("GOOGLETRANSLATE(C4721,""en"",""pl"")"),"zstąpił")</f>
        <v>zstąpił</v>
      </c>
    </row>
    <row r="4722">
      <c r="C4722" s="1" t="s">
        <v>4716</v>
      </c>
      <c r="D4722" s="3" t="str">
        <f>IFERROR(__xludf.DUMMYFUNCTION("GOOGLETRANSLATE(C4722,""en"",""pl"")"),"trwały")</f>
        <v>trwały</v>
      </c>
    </row>
    <row r="4723">
      <c r="C4723" s="1" t="s">
        <v>4717</v>
      </c>
      <c r="D4723" s="3" t="str">
        <f>IFERROR(__xludf.DUMMYFUNCTION("GOOGLETRANSLATE(C4723,""en"",""pl"")"),"przepaść")</f>
        <v>przepaść</v>
      </c>
    </row>
    <row r="4724">
      <c r="C4724" s="1" t="s">
        <v>4718</v>
      </c>
      <c r="D4724" s="3" t="str">
        <f>IFERROR(__xludf.DUMMYFUNCTION("GOOGLETRANSLATE(C4724,""en"",""pl"")"),"poślubia")</f>
        <v>poślubia</v>
      </c>
    </row>
    <row r="4725">
      <c r="C4725" s="1" t="s">
        <v>4719</v>
      </c>
      <c r="D4725" s="3" t="str">
        <f>IFERROR(__xludf.DUMMYFUNCTION("GOOGLETRANSLATE(C4725,""en"",""pl"")"),"zorza polarna")</f>
        <v>zorza polarna</v>
      </c>
    </row>
    <row r="4726">
      <c r="C4726" s="1" t="s">
        <v>4720</v>
      </c>
      <c r="D4726" s="3" t="str">
        <f>IFERROR(__xludf.DUMMYFUNCTION("GOOGLETRANSLATE(C4726,""en"",""pl"")"),"sanki")</f>
        <v>sanki</v>
      </c>
    </row>
    <row r="4727">
      <c r="C4727" s="1" t="s">
        <v>4721</v>
      </c>
      <c r="D4727" s="3" t="str">
        <f>IFERROR(__xludf.DUMMYFUNCTION("GOOGLETRANSLATE(C4727,""en"",""pl"")"),"Francuz")</f>
        <v>Francuz</v>
      </c>
    </row>
    <row r="4728">
      <c r="C4728" s="1" t="s">
        <v>4722</v>
      </c>
      <c r="D4728" s="3" t="str">
        <f>IFERROR(__xludf.DUMMYFUNCTION("GOOGLETRANSLATE(C4728,""en"",""pl"")"),"róż")</f>
        <v>róż</v>
      </c>
    </row>
    <row r="4729">
      <c r="C4729" s="1" t="s">
        <v>4723</v>
      </c>
      <c r="D4729" s="3" t="str">
        <f>IFERROR(__xludf.DUMMYFUNCTION("GOOGLETRANSLATE(C4729,""en"",""pl"")"),"przetrwa")</f>
        <v>przetrwa</v>
      </c>
    </row>
    <row r="4730">
      <c r="C4730" s="1" t="s">
        <v>4724</v>
      </c>
      <c r="D4730" s="3" t="str">
        <f>IFERROR(__xludf.DUMMYFUNCTION("GOOGLETRANSLATE(C4730,""en"",""pl"")"),"Margo")</f>
        <v>Margo</v>
      </c>
    </row>
    <row r="4731">
      <c r="C4731" s="1" t="s">
        <v>4725</v>
      </c>
      <c r="D4731" s="3" t="str">
        <f>IFERROR(__xludf.DUMMYFUNCTION("GOOGLETRANSLATE(C4731,""en"",""pl"")"),"rudowłosy")</f>
        <v>rudowłosy</v>
      </c>
    </row>
    <row r="4732">
      <c r="C4732" s="1" t="s">
        <v>4726</v>
      </c>
      <c r="D4732" s="3" t="str">
        <f>IFERROR(__xludf.DUMMYFUNCTION("GOOGLETRANSLATE(C4732,""en"",""pl"")"),"Terrence")</f>
        <v>Terrence</v>
      </c>
    </row>
    <row r="4733">
      <c r="C4733" s="1" t="s">
        <v>4727</v>
      </c>
      <c r="D4733" s="3" t="str">
        <f>IFERROR(__xludf.DUMMYFUNCTION("GOOGLETRANSLATE(C4733,""en"",""pl"")"),"kreatywność")</f>
        <v>kreatywność</v>
      </c>
    </row>
    <row r="4734">
      <c r="C4734" s="1" t="s">
        <v>4728</v>
      </c>
      <c r="D4734" s="3" t="str">
        <f>IFERROR(__xludf.DUMMYFUNCTION("GOOGLETRANSLATE(C4734,""en"",""pl"")"),"dominujący")</f>
        <v>dominujący</v>
      </c>
    </row>
    <row r="4735">
      <c r="C4735" s="1" t="s">
        <v>4729</v>
      </c>
      <c r="D4735" s="3" t="str">
        <f>IFERROR(__xludf.DUMMYFUNCTION("GOOGLETRANSLATE(C4735,""en"",""pl"")"),"Izyda")</f>
        <v>Izyda</v>
      </c>
    </row>
    <row r="4736">
      <c r="C4736" s="1" t="s">
        <v>4730</v>
      </c>
      <c r="D4736" s="3" t="str">
        <f>IFERROR(__xludf.DUMMYFUNCTION("GOOGLETRANSLATE(C4736,""en"",""pl"")"),"wyrko")</f>
        <v>wyrko</v>
      </c>
    </row>
    <row r="4737">
      <c r="C4737" s="1" t="s">
        <v>4731</v>
      </c>
      <c r="D4737" s="3" t="str">
        <f>IFERROR(__xludf.DUMMYFUNCTION("GOOGLETRANSLATE(C4737,""en"",""pl"")"),"staromodny")</f>
        <v>staromodny</v>
      </c>
    </row>
    <row r="4738">
      <c r="C4738" s="1" t="s">
        <v>4732</v>
      </c>
      <c r="D4738" s="3" t="str">
        <f>IFERROR(__xludf.DUMMYFUNCTION("GOOGLETRANSLATE(C4738,""en"",""pl"")"),"Aubrey")</f>
        <v>Aubrey</v>
      </c>
    </row>
    <row r="4739">
      <c r="C4739" s="1" t="s">
        <v>4733</v>
      </c>
      <c r="D4739" s="3" t="str">
        <f>IFERROR(__xludf.DUMMYFUNCTION("GOOGLETRANSLATE(C4739,""en"",""pl"")"),"graficzny")</f>
        <v>graficzny</v>
      </c>
    </row>
    <row r="4740">
      <c r="C4740" s="1" t="s">
        <v>4734</v>
      </c>
      <c r="D4740" s="3" t="str">
        <f>IFERROR(__xludf.DUMMYFUNCTION("GOOGLETRANSLATE(C4740,""en"",""pl"")"),"irracjonalny")</f>
        <v>irracjonalny</v>
      </c>
    </row>
    <row r="4741">
      <c r="C4741" s="1" t="s">
        <v>4735</v>
      </c>
      <c r="D4741" s="3" t="str">
        <f>IFERROR(__xludf.DUMMYFUNCTION("GOOGLETRANSLATE(C4741,""en"",""pl"")"),"matematyczny")</f>
        <v>matematyczny</v>
      </c>
    </row>
    <row r="4742">
      <c r="C4742" s="1" t="s">
        <v>4736</v>
      </c>
      <c r="D4742" s="3" t="str">
        <f>IFERROR(__xludf.DUMMYFUNCTION("GOOGLETRANSLATE(C4742,""en"",""pl"")"),"zwolniony")</f>
        <v>zwolniony</v>
      </c>
    </row>
    <row r="4743">
      <c r="C4743" s="1" t="s">
        <v>4737</v>
      </c>
      <c r="D4743" s="3" t="str">
        <f>IFERROR(__xludf.DUMMYFUNCTION("GOOGLETRANSLATE(C4743,""en"",""pl"")"),"łapy")</f>
        <v>łapy</v>
      </c>
    </row>
    <row r="4744">
      <c r="C4744" s="1" t="s">
        <v>4738</v>
      </c>
      <c r="D4744" s="3" t="str">
        <f>IFERROR(__xludf.DUMMYFUNCTION("GOOGLETRANSLATE(C4744,""en"",""pl"")"),"rydwan")</f>
        <v>rydwan</v>
      </c>
    </row>
    <row r="4745">
      <c r="C4745" s="1" t="s">
        <v>4739</v>
      </c>
      <c r="D4745" s="3" t="str">
        <f>IFERROR(__xludf.DUMMYFUNCTION("GOOGLETRANSLATE(C4745,""en"",""pl"")"),"spustoszenie")</f>
        <v>spustoszenie</v>
      </c>
    </row>
    <row r="4746">
      <c r="C4746" s="1" t="s">
        <v>4740</v>
      </c>
      <c r="D4746" s="3" t="str">
        <f>IFERROR(__xludf.DUMMYFUNCTION("GOOGLETRANSLATE(C4746,""en"",""pl"")"),"Andrzej")</f>
        <v>Andrzej</v>
      </c>
    </row>
    <row r="4747">
      <c r="C4747" s="1" t="s">
        <v>4741</v>
      </c>
      <c r="D4747" s="3" t="str">
        <f>IFERROR(__xludf.DUMMYFUNCTION("GOOGLETRANSLATE(C4747,""en"",""pl"")"),"karzeł")</f>
        <v>karzeł</v>
      </c>
    </row>
    <row r="4748">
      <c r="C4748" s="1" t="s">
        <v>4742</v>
      </c>
      <c r="D4748" s="3" t="str">
        <f>IFERROR(__xludf.DUMMYFUNCTION("GOOGLETRANSLATE(C4748,""en"",""pl"")"),"niebiański")</f>
        <v>niebiański</v>
      </c>
    </row>
    <row r="4749">
      <c r="C4749" s="1" t="s">
        <v>4743</v>
      </c>
      <c r="D4749" s="3" t="str">
        <f>IFERROR(__xludf.DUMMYFUNCTION("GOOGLETRANSLATE(C4749,""en"",""pl"")"),"Dalej")</f>
        <v>Dalej</v>
      </c>
    </row>
    <row r="4750">
      <c r="C4750" s="1" t="s">
        <v>4744</v>
      </c>
      <c r="D4750" s="3" t="str">
        <f>IFERROR(__xludf.DUMMYFUNCTION("GOOGLETRANSLATE(C4750,""en"",""pl"")"),"Nino")</f>
        <v>Nino</v>
      </c>
    </row>
    <row r="4751">
      <c r="C4751" s="1" t="s">
        <v>4745</v>
      </c>
      <c r="D4751" s="3" t="str">
        <f>IFERROR(__xludf.DUMMYFUNCTION("GOOGLETRANSLATE(C4751,""en"",""pl"")"),"aktualizacja")</f>
        <v>aktualizacja</v>
      </c>
    </row>
    <row r="4752">
      <c r="C4752" s="1" t="s">
        <v>4746</v>
      </c>
      <c r="D4752" s="3" t="str">
        <f>IFERROR(__xludf.DUMMYFUNCTION("GOOGLETRANSLATE(C4752,""en"",""pl"")"),"strzałowy")</f>
        <v>strzałowy</v>
      </c>
    </row>
    <row r="4753">
      <c r="C4753" s="1" t="s">
        <v>4747</v>
      </c>
      <c r="D4753" s="3" t="str">
        <f>IFERROR(__xludf.DUMMYFUNCTION("GOOGLETRANSLATE(C4753,""en"",""pl"")"),"czaszki")</f>
        <v>czaszki</v>
      </c>
    </row>
    <row r="4754">
      <c r="C4754" s="1" t="s">
        <v>4748</v>
      </c>
      <c r="D4754" s="3" t="str">
        <f>IFERROR(__xludf.DUMMYFUNCTION("GOOGLETRANSLATE(C4754,""en"",""pl"")"),"to-to")</f>
        <v>to-to</v>
      </c>
    </row>
    <row r="4755">
      <c r="C4755" s="1" t="s">
        <v>4749</v>
      </c>
      <c r="D4755" s="3" t="str">
        <f>IFERROR(__xludf.DUMMYFUNCTION("GOOGLETRANSLATE(C4755,""en"",""pl"")"),"mieć na myśli-")</f>
        <v>mieć na myśli-</v>
      </c>
    </row>
    <row r="4756">
      <c r="C4756" s="1" t="s">
        <v>4750</v>
      </c>
      <c r="D4756" s="3" t="str">
        <f>IFERROR(__xludf.DUMMYFUNCTION("GOOGLETRANSLATE(C4756,""en"",""pl"")"),"taśma wideo")</f>
        <v>taśma wideo</v>
      </c>
    </row>
    <row r="4757">
      <c r="C4757" s="1" t="s">
        <v>4751</v>
      </c>
      <c r="D4757" s="3" t="str">
        <f>IFERROR(__xludf.DUMMYFUNCTION("GOOGLETRANSLATE(C4757,""en"",""pl"")"),"ślubny")</f>
        <v>ślubny</v>
      </c>
    </row>
    <row r="4758">
      <c r="C4758" s="1" t="s">
        <v>4752</v>
      </c>
      <c r="D4758" s="3" t="str">
        <f>IFERROR(__xludf.DUMMYFUNCTION("GOOGLETRANSLATE(C4758,""en"",""pl"")"),"opiekować się dzieckiem")</f>
        <v>opiekować się dzieckiem</v>
      </c>
    </row>
    <row r="4759">
      <c r="C4759" s="1" t="s">
        <v>4753</v>
      </c>
      <c r="D4759" s="3" t="str">
        <f>IFERROR(__xludf.DUMMYFUNCTION("GOOGLETRANSLATE(C4759,""en"",""pl"")"),"przodek")</f>
        <v>przodek</v>
      </c>
    </row>
    <row r="4760">
      <c r="C4760" s="1" t="s">
        <v>4754</v>
      </c>
      <c r="D4760" s="3" t="str">
        <f>IFERROR(__xludf.DUMMYFUNCTION("GOOGLETRANSLATE(C4760,""en"",""pl"")"),"tranzyt")</f>
        <v>tranzyt</v>
      </c>
    </row>
    <row r="4761">
      <c r="C4761" s="1" t="s">
        <v>4755</v>
      </c>
      <c r="D4761" s="3" t="str">
        <f>IFERROR(__xludf.DUMMYFUNCTION("GOOGLETRANSLATE(C4761,""en"",""pl"")"),"padał deszcz")</f>
        <v>padał deszcz</v>
      </c>
    </row>
    <row r="4762">
      <c r="C4762" s="1" t="s">
        <v>4756</v>
      </c>
      <c r="D4762" s="3" t="str">
        <f>IFERROR(__xludf.DUMMYFUNCTION("GOOGLETRANSLATE(C4762,""en"",""pl"")"),"rzecz")</f>
        <v>rzecz</v>
      </c>
    </row>
    <row r="4763">
      <c r="C4763" s="1" t="s">
        <v>4757</v>
      </c>
      <c r="D4763" s="3" t="str">
        <f>IFERROR(__xludf.DUMMYFUNCTION("GOOGLETRANSLATE(C4763,""en"",""pl"")"),"Wellington")</f>
        <v>Wellington</v>
      </c>
    </row>
    <row r="4764">
      <c r="C4764" s="1" t="s">
        <v>4758</v>
      </c>
      <c r="D4764" s="3" t="str">
        <f>IFERROR(__xludf.DUMMYFUNCTION("GOOGLETRANSLATE(C4764,""en"",""pl"")"),"przestrzegać")</f>
        <v>przestrzegać</v>
      </c>
    </row>
    <row r="4765">
      <c r="C4765" s="1" t="s">
        <v>4759</v>
      </c>
      <c r="D4765" s="3" t="str">
        <f>IFERROR(__xludf.DUMMYFUNCTION("GOOGLETRANSLATE(C4765,""en"",""pl"")"),"rezerwy")</f>
        <v>rezerwy</v>
      </c>
    </row>
    <row r="4766">
      <c r="C4766" s="4" t="s">
        <v>4760</v>
      </c>
      <c r="D4766" s="3" t="str">
        <f>IFERROR(__xludf.DUMMYFUNCTION("GOOGLETRANSLATE(C4766,""en"",""pl"")"),"Oni")</f>
        <v>Oni</v>
      </c>
    </row>
    <row r="4767">
      <c r="C4767" s="1" t="s">
        <v>4761</v>
      </c>
      <c r="D4767" s="3" t="str">
        <f>IFERROR(__xludf.DUMMYFUNCTION("GOOGLETRANSLATE(C4767,""en"",""pl"")"),"obrzeże")</f>
        <v>obrzeże</v>
      </c>
    </row>
    <row r="4768">
      <c r="C4768" s="1" t="s">
        <v>4762</v>
      </c>
      <c r="D4768" s="3" t="str">
        <f>IFERROR(__xludf.DUMMYFUNCTION("GOOGLETRANSLATE(C4768,""en"",""pl"")"),"chłopak")</f>
        <v>chłopak</v>
      </c>
    </row>
    <row r="4769">
      <c r="C4769" s="1" t="s">
        <v>4763</v>
      </c>
      <c r="D4769" s="3" t="str">
        <f>IFERROR(__xludf.DUMMYFUNCTION("GOOGLETRANSLATE(C4769,""en"",""pl"")"),"rozstrzyga się")</f>
        <v>rozstrzyga się</v>
      </c>
    </row>
    <row r="4770">
      <c r="C4770" s="1" t="s">
        <v>4764</v>
      </c>
      <c r="D4770" s="3" t="str">
        <f>IFERROR(__xludf.DUMMYFUNCTION("GOOGLETRANSLATE(C4770,""en"",""pl"")"),"decydujący")</f>
        <v>decydujący</v>
      </c>
    </row>
    <row r="4771">
      <c r="C4771" s="1" t="s">
        <v>4765</v>
      </c>
      <c r="D4771" s="3" t="str">
        <f>IFERROR(__xludf.DUMMYFUNCTION("GOOGLETRANSLATE(C4771,""en"",""pl"")"),"silniki")</f>
        <v>silniki</v>
      </c>
    </row>
    <row r="4772">
      <c r="C4772" s="1" t="s">
        <v>4766</v>
      </c>
      <c r="D4772" s="3" t="str">
        <f>IFERROR(__xludf.DUMMYFUNCTION("GOOGLETRANSLATE(C4772,""en"",""pl"")"),"serowy")</f>
        <v>serowy</v>
      </c>
    </row>
    <row r="4773">
      <c r="C4773" s="1" t="s">
        <v>4767</v>
      </c>
      <c r="D4773" s="3" t="str">
        <f>IFERROR(__xludf.DUMMYFUNCTION("GOOGLETRANSLATE(C4773,""en"",""pl"")"),"symboliczny")</f>
        <v>symboliczny</v>
      </c>
    </row>
    <row r="4774">
      <c r="C4774" s="1" t="s">
        <v>4768</v>
      </c>
      <c r="D4774" s="3" t="str">
        <f>IFERROR(__xludf.DUMMYFUNCTION("GOOGLETRANSLATE(C4774,""en"",""pl"")"),"roksy")</f>
        <v>roksy</v>
      </c>
    </row>
    <row r="4775">
      <c r="C4775" s="1" t="s">
        <v>4769</v>
      </c>
      <c r="D4775" s="3" t="str">
        <f>IFERROR(__xludf.DUMMYFUNCTION("GOOGLETRANSLATE(C4775,""en"",""pl"")"),"brzęk")</f>
        <v>brzęk</v>
      </c>
    </row>
    <row r="4776">
      <c r="C4776" s="1" t="s">
        <v>4770</v>
      </c>
      <c r="D4776" s="3" t="str">
        <f>IFERROR(__xludf.DUMMYFUNCTION("GOOGLETRANSLATE(C4776,""en"",""pl"")"),"upośledzony")</f>
        <v>upośledzony</v>
      </c>
    </row>
    <row r="4777">
      <c r="C4777" s="1" t="s">
        <v>4771</v>
      </c>
      <c r="D4777" s="3" t="str">
        <f>IFERROR(__xludf.DUMMYFUNCTION("GOOGLETRANSLATE(C4777,""en"",""pl"")"),"gody")</f>
        <v>gody</v>
      </c>
    </row>
    <row r="4778">
      <c r="C4778" s="1" t="s">
        <v>4772</v>
      </c>
      <c r="D4778" s="3" t="str">
        <f>IFERROR(__xludf.DUMMYFUNCTION("GOOGLETRANSLATE(C4778,""en"",""pl"")"),"zepsuty")</f>
        <v>zepsuty</v>
      </c>
    </row>
    <row r="4779">
      <c r="C4779" s="1" t="s">
        <v>4773</v>
      </c>
      <c r="D4779" s="3" t="str">
        <f>IFERROR(__xludf.DUMMYFUNCTION("GOOGLETRANSLATE(C4779,""en"",""pl"")"),"najjaśniejszy")</f>
        <v>najjaśniejszy</v>
      </c>
    </row>
    <row r="4780">
      <c r="C4780" s="1" t="s">
        <v>4774</v>
      </c>
      <c r="D4780" s="3" t="str">
        <f>IFERROR(__xludf.DUMMYFUNCTION("GOOGLETRANSLATE(C4780,""en"",""pl"")"),"cząsteczki")</f>
        <v>cząsteczki</v>
      </c>
    </row>
    <row r="4781">
      <c r="C4781" s="1" t="s">
        <v>4775</v>
      </c>
      <c r="D4781" s="3" t="str">
        <f>IFERROR(__xludf.DUMMYFUNCTION("GOOGLETRANSLATE(C4781,""en"",""pl"")"),"Meyer")</f>
        <v>Meyer</v>
      </c>
    </row>
    <row r="4782">
      <c r="C4782" s="1" t="s">
        <v>4776</v>
      </c>
      <c r="D4782" s="3" t="str">
        <f>IFERROR(__xludf.DUMMYFUNCTION("GOOGLETRANSLATE(C4782,""en"",""pl"")"),"Szeryf")</f>
        <v>Szeryf</v>
      </c>
    </row>
    <row r="4783">
      <c r="C4783" s="1" t="s">
        <v>4777</v>
      </c>
      <c r="D4783" s="3" t="str">
        <f>IFERROR(__xludf.DUMMYFUNCTION("GOOGLETRANSLATE(C4783,""en"",""pl"")"),"Przepraszam.")</f>
        <v>Przepraszam.</v>
      </c>
    </row>
    <row r="4784">
      <c r="C4784" s="1" t="s">
        <v>4778</v>
      </c>
      <c r="D4784" s="3" t="str">
        <f>IFERROR(__xludf.DUMMYFUNCTION("GOOGLETRANSLATE(C4784,""en"",""pl"")"),"ożywienie")</f>
        <v>ożywienie</v>
      </c>
    </row>
    <row r="4785">
      <c r="C4785" s="1" t="s">
        <v>4779</v>
      </c>
      <c r="D4785" s="3" t="str">
        <f>IFERROR(__xludf.DUMMYFUNCTION("GOOGLETRANSLATE(C4785,""en"",""pl"")"),"Graal")</f>
        <v>Graal</v>
      </c>
    </row>
    <row r="4786">
      <c r="C4786" s="1" t="s">
        <v>4780</v>
      </c>
      <c r="D4786" s="3" t="str">
        <f>IFERROR(__xludf.DUMMYFUNCTION("GOOGLETRANSLATE(C4786,""en"",""pl"")"),"dobrowolnie")</f>
        <v>dobrowolnie</v>
      </c>
    </row>
    <row r="4787">
      <c r="C4787" s="1" t="s">
        <v>4781</v>
      </c>
      <c r="D4787" s="3" t="str">
        <f>IFERROR(__xludf.DUMMYFUNCTION("GOOGLETRANSLATE(C4787,""en"",""pl"")"),"pnący")</f>
        <v>pnący</v>
      </c>
    </row>
    <row r="4788">
      <c r="C4788" s="1" t="s">
        <v>4782</v>
      </c>
      <c r="D4788" s="3" t="str">
        <f>IFERROR(__xludf.DUMMYFUNCTION("GOOGLETRANSLATE(C4788,""en"",""pl"")"),"piec")</f>
        <v>piec</v>
      </c>
    </row>
    <row r="4789">
      <c r="C4789" s="1" t="s">
        <v>4783</v>
      </c>
      <c r="D4789" s="3" t="str">
        <f>IFERROR(__xludf.DUMMYFUNCTION("GOOGLETRANSLATE(C4789,""en"",""pl"")"),"twój")</f>
        <v>twój</v>
      </c>
    </row>
    <row r="4790">
      <c r="C4790" s="1" t="s">
        <v>4784</v>
      </c>
      <c r="D4790" s="3" t="str">
        <f>IFERROR(__xludf.DUMMYFUNCTION("GOOGLETRANSLATE(C4790,""en"",""pl"")"),"Tytus")</f>
        <v>Tytus</v>
      </c>
    </row>
    <row r="4791">
      <c r="C4791" s="1" t="s">
        <v>4785</v>
      </c>
      <c r="D4791" s="3" t="str">
        <f>IFERROR(__xludf.DUMMYFUNCTION("GOOGLETRANSLATE(C4791,""en"",""pl"")"),"przebity")</f>
        <v>przebity</v>
      </c>
    </row>
    <row r="4792">
      <c r="C4792" s="1" t="s">
        <v>4786</v>
      </c>
      <c r="D4792" s="3" t="str">
        <f>IFERROR(__xludf.DUMMYFUNCTION("GOOGLETRANSLATE(C4792,""en"",""pl"")"),"bu")</f>
        <v>bu</v>
      </c>
    </row>
    <row r="4793">
      <c r="C4793" s="1" t="s">
        <v>4787</v>
      </c>
      <c r="D4793" s="3" t="str">
        <f>IFERROR(__xludf.DUMMYFUNCTION("GOOGLETRANSLATE(C4793,""en"",""pl"")"),"dzielnica chińska")</f>
        <v>dzielnica chińska</v>
      </c>
    </row>
    <row r="4794">
      <c r="C4794" s="1" t="s">
        <v>4788</v>
      </c>
      <c r="D4794" s="3" t="str">
        <f>IFERROR(__xludf.DUMMYFUNCTION("GOOGLETRANSLATE(C4794,""en"",""pl"")"),"ślizgać się")</f>
        <v>ślizgać się</v>
      </c>
    </row>
    <row r="4795">
      <c r="C4795" s="1" t="s">
        <v>4789</v>
      </c>
      <c r="D4795" s="3" t="str">
        <f>IFERROR(__xludf.DUMMYFUNCTION("GOOGLETRANSLATE(C4795,""en"",""pl"")"),"sai")</f>
        <v>sai</v>
      </c>
    </row>
    <row r="4796">
      <c r="C4796" s="1" t="s">
        <v>4790</v>
      </c>
      <c r="D4796" s="3" t="str">
        <f>IFERROR(__xludf.DUMMYFUNCTION("GOOGLETRANSLATE(C4796,""en"",""pl"")"),"pasta do zębów")</f>
        <v>pasta do zębów</v>
      </c>
    </row>
    <row r="4797">
      <c r="C4797" s="1" t="s">
        <v>4791</v>
      </c>
      <c r="D4797" s="3" t="str">
        <f>IFERROR(__xludf.DUMMYFUNCTION("GOOGLETRANSLATE(C4797,""en"",""pl"")"),"przytulić się")</f>
        <v>przytulić się</v>
      </c>
    </row>
    <row r="4798">
      <c r="C4798" s="1" t="s">
        <v>4792</v>
      </c>
      <c r="D4798" s="3" t="str">
        <f>IFERROR(__xludf.DUMMYFUNCTION("GOOGLETRANSLATE(C4798,""en"",""pl"")"),"Lągley")</f>
        <v>Lągley</v>
      </c>
    </row>
    <row r="4799">
      <c r="C4799" s="1" t="s">
        <v>4793</v>
      </c>
      <c r="D4799" s="3" t="str">
        <f>IFERROR(__xludf.DUMMYFUNCTION("GOOGLETRANSLATE(C4799,""en"",""pl"")"),"Egipcjanie")</f>
        <v>Egipcjanie</v>
      </c>
    </row>
    <row r="4800">
      <c r="C4800" s="1" t="s">
        <v>4794</v>
      </c>
      <c r="D4800" s="3" t="str">
        <f>IFERROR(__xludf.DUMMYFUNCTION("GOOGLETRANSLATE(C4800,""en"",""pl"")"),"bankructwo")</f>
        <v>bankructwo</v>
      </c>
    </row>
    <row r="4801">
      <c r="C4801" s="1" t="s">
        <v>4795</v>
      </c>
      <c r="D4801" s="3" t="str">
        <f>IFERROR(__xludf.DUMMYFUNCTION("GOOGLETRANSLATE(C4801,""en"",""pl"")"),"dźwignia")</f>
        <v>dźwignia</v>
      </c>
    </row>
    <row r="4802">
      <c r="C4802" s="1" t="s">
        <v>4796</v>
      </c>
      <c r="D4802" s="3" t="str">
        <f>IFERROR(__xludf.DUMMYFUNCTION("GOOGLETRANSLATE(C4802,""en"",""pl"")"),"szaman")</f>
        <v>szaman</v>
      </c>
    </row>
    <row r="4803">
      <c r="C4803" s="1" t="s">
        <v>4797</v>
      </c>
      <c r="D4803" s="3" t="str">
        <f>IFERROR(__xludf.DUMMYFUNCTION("GOOGLETRANSLATE(C4803,""en"",""pl"")"),"sutek")</f>
        <v>sutek</v>
      </c>
    </row>
    <row r="4804">
      <c r="C4804" s="1" t="s">
        <v>4798</v>
      </c>
      <c r="D4804" s="3" t="str">
        <f>IFERROR(__xludf.DUMMYFUNCTION("GOOGLETRANSLATE(C4804,""en"",""pl"")"),"chwasty")</f>
        <v>chwasty</v>
      </c>
    </row>
    <row r="4805">
      <c r="C4805" s="1" t="s">
        <v>4799</v>
      </c>
      <c r="D4805" s="3" t="str">
        <f>IFERROR(__xludf.DUMMYFUNCTION("GOOGLETRANSLATE(C4805,""en"",""pl"")"),"becker")</f>
        <v>becker</v>
      </c>
    </row>
    <row r="4806">
      <c r="C4806" s="1" t="s">
        <v>4800</v>
      </c>
      <c r="D4806" s="3" t="str">
        <f>IFERROR(__xludf.DUMMYFUNCTION("GOOGLETRANSLATE(C4806,""en"",""pl"")"),"zareagował")</f>
        <v>zareagował</v>
      </c>
    </row>
    <row r="4807">
      <c r="C4807" s="1" t="s">
        <v>4801</v>
      </c>
      <c r="D4807" s="3" t="str">
        <f>IFERROR(__xludf.DUMMYFUNCTION("GOOGLETRANSLATE(C4807,""en"",""pl"")"),"tłuczony")</f>
        <v>tłuczony</v>
      </c>
    </row>
    <row r="4808">
      <c r="C4808" s="1" t="s">
        <v>4802</v>
      </c>
      <c r="D4808" s="3" t="str">
        <f>IFERROR(__xludf.DUMMYFUNCTION("GOOGLETRANSLATE(C4808,""en"",""pl"")"),"Sloane")</f>
        <v>Sloane</v>
      </c>
    </row>
    <row r="4809">
      <c r="C4809" s="1" t="s">
        <v>4803</v>
      </c>
      <c r="D4809" s="3" t="str">
        <f>IFERROR(__xludf.DUMMYFUNCTION("GOOGLETRANSLATE(C4809,""en"",""pl"")"),"regent")</f>
        <v>regent</v>
      </c>
    </row>
    <row r="4810">
      <c r="C4810" s="1" t="s">
        <v>4804</v>
      </c>
      <c r="D4810" s="3" t="str">
        <f>IFERROR(__xludf.DUMMYFUNCTION("GOOGLETRANSLATE(C4810,""en"",""pl"")"),"bentley")</f>
        <v>bentley</v>
      </c>
    </row>
    <row r="4811">
      <c r="C4811" s="1" t="s">
        <v>4805</v>
      </c>
      <c r="D4811" s="3" t="str">
        <f>IFERROR(__xludf.DUMMYFUNCTION("GOOGLETRANSLATE(C4811,""en"",""pl"")"),"kafelki")</f>
        <v>kafelki</v>
      </c>
    </row>
    <row r="4812">
      <c r="C4812" s="1" t="s">
        <v>4806</v>
      </c>
      <c r="D4812" s="3" t="str">
        <f>IFERROR(__xludf.DUMMYFUNCTION("GOOGLETRANSLATE(C4812,""en"",""pl"")"),"maniak")</f>
        <v>maniak</v>
      </c>
    </row>
    <row r="4813">
      <c r="C4813" s="1" t="s">
        <v>4807</v>
      </c>
      <c r="D4813" s="3" t="str">
        <f>IFERROR(__xludf.DUMMYFUNCTION("GOOGLETRANSLATE(C4813,""en"",""pl"")"),"krucjata")</f>
        <v>krucjata</v>
      </c>
    </row>
    <row r="4814">
      <c r="C4814" s="1" t="s">
        <v>4808</v>
      </c>
      <c r="D4814" s="3" t="str">
        <f>IFERROR(__xludf.DUMMYFUNCTION("GOOGLETRANSLATE(C4814,""en"",""pl"")"),"żywy")</f>
        <v>żywy</v>
      </c>
    </row>
    <row r="4815">
      <c r="C4815" s="1" t="s">
        <v>4809</v>
      </c>
      <c r="D4815" s="3" t="str">
        <f>IFERROR(__xludf.DUMMYFUNCTION("GOOGLETRANSLATE(C4815,""en"",""pl"")"),"slajdy")</f>
        <v>slajdy</v>
      </c>
    </row>
    <row r="4816">
      <c r="C4816" s="1" t="s">
        <v>4810</v>
      </c>
      <c r="D4816" s="3" t="str">
        <f>IFERROR(__xludf.DUMMYFUNCTION("GOOGLETRANSLATE(C4816,""en"",""pl"")"),"Jennings")</f>
        <v>Jennings</v>
      </c>
    </row>
    <row r="4817">
      <c r="C4817" s="1" t="s">
        <v>4811</v>
      </c>
      <c r="D4817" s="3" t="str">
        <f>IFERROR(__xludf.DUMMYFUNCTION("GOOGLETRANSLATE(C4817,""en"",""pl"")"),"żywnościowy")</f>
        <v>żywnościowy</v>
      </c>
    </row>
    <row r="4818">
      <c r="C4818" s="1" t="s">
        <v>4812</v>
      </c>
      <c r="D4818" s="3" t="str">
        <f>IFERROR(__xludf.DUMMYFUNCTION("GOOGLETRANSLATE(C4818,""en"",""pl"")"),"nieuczciwy")</f>
        <v>nieuczciwy</v>
      </c>
    </row>
    <row r="4819">
      <c r="C4819" s="1" t="s">
        <v>4813</v>
      </c>
      <c r="D4819" s="3" t="str">
        <f>IFERROR(__xludf.DUMMYFUNCTION("GOOGLETRANSLATE(C4819,""en"",""pl"")"),"napisy")</f>
        <v>napisy</v>
      </c>
    </row>
    <row r="4820">
      <c r="C4820" s="1" t="s">
        <v>4814</v>
      </c>
      <c r="D4820" s="3" t="str">
        <f>IFERROR(__xludf.DUMMYFUNCTION("GOOGLETRANSLATE(C4820,""en"",""pl"")"),"przyczajony")</f>
        <v>przyczajony</v>
      </c>
    </row>
    <row r="4821">
      <c r="C4821" s="1" t="s">
        <v>4815</v>
      </c>
      <c r="D4821" s="3" t="str">
        <f>IFERROR(__xludf.DUMMYFUNCTION("GOOGLETRANSLATE(C4821,""en"",""pl"")"),"samoloty")</f>
        <v>samoloty</v>
      </c>
    </row>
    <row r="4822">
      <c r="C4822" s="1" t="s">
        <v>4816</v>
      </c>
      <c r="D4822" s="3" t="str">
        <f>IFERROR(__xludf.DUMMYFUNCTION("GOOGLETRANSLATE(C4822,""en"",""pl"")"),"chwiejny")</f>
        <v>chwiejny</v>
      </c>
    </row>
    <row r="4823">
      <c r="C4823" s="1" t="s">
        <v>4817</v>
      </c>
      <c r="D4823" s="3" t="str">
        <f>IFERROR(__xludf.DUMMYFUNCTION("GOOGLETRANSLATE(C4823,""en"",""pl"")"),"jałowy")</f>
        <v>jałowy</v>
      </c>
    </row>
    <row r="4824">
      <c r="C4824" s="1" t="s">
        <v>4818</v>
      </c>
      <c r="D4824" s="3" t="str">
        <f>IFERROR(__xludf.DUMMYFUNCTION("GOOGLETRANSLATE(C4824,""en"",""pl"")"),"aligator")</f>
        <v>aligator</v>
      </c>
    </row>
    <row r="4825">
      <c r="C4825" s="1" t="s">
        <v>4819</v>
      </c>
      <c r="D4825" s="3" t="str">
        <f>IFERROR(__xludf.DUMMYFUNCTION("GOOGLETRANSLATE(C4825,""en"",""pl"")"),"ćma")</f>
        <v>ćma</v>
      </c>
    </row>
    <row r="4826">
      <c r="C4826" s="1" t="s">
        <v>4820</v>
      </c>
      <c r="D4826" s="3" t="str">
        <f>IFERROR(__xludf.DUMMYFUNCTION("GOOGLETRANSLATE(C4826,""en"",""pl"")"),"odkryć")</f>
        <v>odkryć</v>
      </c>
    </row>
    <row r="4827">
      <c r="C4827" s="1" t="s">
        <v>4821</v>
      </c>
      <c r="D4827" s="3" t="str">
        <f>IFERROR(__xludf.DUMMYFUNCTION("GOOGLETRANSLATE(C4827,""en"",""pl"")"),"lorna")</f>
        <v>lorna</v>
      </c>
    </row>
    <row r="4828">
      <c r="C4828" s="1" t="s">
        <v>4822</v>
      </c>
      <c r="D4828" s="3" t="str">
        <f>IFERROR(__xludf.DUMMYFUNCTION("GOOGLETRANSLATE(C4828,""en"",""pl"")"),"oś")</f>
        <v>oś</v>
      </c>
    </row>
    <row r="4829">
      <c r="C4829" s="1" t="s">
        <v>4823</v>
      </c>
      <c r="D4829" s="3" t="str">
        <f>IFERROR(__xludf.DUMMYFUNCTION("GOOGLETRANSLATE(C4829,""en"",""pl"")"),"wyrażający")</f>
        <v>wyrażający</v>
      </c>
    </row>
    <row r="4830">
      <c r="C4830" s="1" t="s">
        <v>4824</v>
      </c>
      <c r="D4830" s="3" t="str">
        <f>IFERROR(__xludf.DUMMYFUNCTION("GOOGLETRANSLATE(C4830,""en"",""pl"")"),"klekotać")</f>
        <v>klekotać</v>
      </c>
    </row>
    <row r="4831">
      <c r="C4831" s="1" t="s">
        <v>4825</v>
      </c>
      <c r="D4831" s="3" t="str">
        <f>IFERROR(__xludf.DUMMYFUNCTION("GOOGLETRANSLATE(C4831,""en"",""pl"")"),"psiak")</f>
        <v>psiak</v>
      </c>
    </row>
    <row r="4832">
      <c r="C4832" s="1" t="s">
        <v>4826</v>
      </c>
      <c r="D4832" s="3" t="str">
        <f>IFERROR(__xludf.DUMMYFUNCTION("GOOGLETRANSLATE(C4832,""en"",""pl"")"),"linie lotnicze")</f>
        <v>linie lotnicze</v>
      </c>
    </row>
    <row r="4833">
      <c r="C4833" s="1" t="s">
        <v>4827</v>
      </c>
      <c r="D4833" s="3" t="str">
        <f>IFERROR(__xludf.DUMMYFUNCTION("GOOGLETRANSLATE(C4833,""en"",""pl"")"),"głupek")</f>
        <v>głupek</v>
      </c>
    </row>
    <row r="4834">
      <c r="C4834" s="1" t="s">
        <v>4828</v>
      </c>
      <c r="D4834" s="3" t="str">
        <f>IFERROR(__xludf.DUMMYFUNCTION("GOOGLETRANSLATE(C4834,""en"",""pl"")"),"jednorożec")</f>
        <v>jednorożec</v>
      </c>
    </row>
    <row r="4835">
      <c r="C4835" s="1" t="s">
        <v>4829</v>
      </c>
      <c r="D4835" s="3" t="str">
        <f>IFERROR(__xludf.DUMMYFUNCTION("GOOGLETRANSLATE(C4835,""en"",""pl"")"),"kurtki")</f>
        <v>kurtki</v>
      </c>
    </row>
    <row r="4836">
      <c r="C4836" s="1" t="s">
        <v>4830</v>
      </c>
      <c r="D4836" s="3" t="str">
        <f>IFERROR(__xludf.DUMMYFUNCTION("GOOGLETRANSLATE(C4836,""en"",""pl"")"),"głupkowaty")</f>
        <v>głupkowaty</v>
      </c>
    </row>
    <row r="4837">
      <c r="C4837" s="1" t="s">
        <v>4831</v>
      </c>
      <c r="D4837" s="3" t="str">
        <f>IFERROR(__xludf.DUMMYFUNCTION("GOOGLETRANSLATE(C4837,""en"",""pl"")"),"marcy")</f>
        <v>marcy</v>
      </c>
    </row>
    <row r="4838">
      <c r="C4838" s="1" t="s">
        <v>4832</v>
      </c>
      <c r="D4838" s="3" t="str">
        <f>IFERROR(__xludf.DUMMYFUNCTION("GOOGLETRANSLATE(C4838,""en"",""pl"")"),"biznesmeni")</f>
        <v>biznesmeni</v>
      </c>
    </row>
    <row r="4839">
      <c r="C4839" s="1" t="s">
        <v>4833</v>
      </c>
      <c r="D4839" s="3" t="str">
        <f>IFERROR(__xludf.DUMMYFUNCTION("GOOGLETRANSLATE(C4839,""en"",""pl"")"),"włóczędzy")</f>
        <v>włóczędzy</v>
      </c>
    </row>
    <row r="4840">
      <c r="C4840" s="1" t="s">
        <v>4834</v>
      </c>
      <c r="D4840" s="3" t="str">
        <f>IFERROR(__xludf.DUMMYFUNCTION("GOOGLETRANSLATE(C4840,""en"",""pl"")"),"fałdowy")</f>
        <v>fałdowy</v>
      </c>
    </row>
    <row r="4841">
      <c r="C4841" s="1" t="s">
        <v>4835</v>
      </c>
      <c r="D4841" s="3" t="str">
        <f>IFERROR(__xludf.DUMMYFUNCTION("GOOGLETRANSLATE(C4841,""en"",""pl"")"),"obrońca")</f>
        <v>obrońca</v>
      </c>
    </row>
    <row r="4842">
      <c r="C4842" s="1" t="s">
        <v>4836</v>
      </c>
      <c r="D4842" s="3" t="str">
        <f>IFERROR(__xludf.DUMMYFUNCTION("GOOGLETRANSLATE(C4842,""en"",""pl"")"),"zaniepokojony")</f>
        <v>zaniepokojony</v>
      </c>
    </row>
    <row r="4843">
      <c r="C4843" s="1" t="s">
        <v>4837</v>
      </c>
      <c r="D4843" s="3" t="str">
        <f>IFERROR(__xludf.DUMMYFUNCTION("GOOGLETRANSLATE(C4843,""en"",""pl"")"),"cukierek")</f>
        <v>cukierek</v>
      </c>
    </row>
    <row r="4844">
      <c r="C4844" s="1" t="s">
        <v>4838</v>
      </c>
      <c r="D4844" s="3" t="str">
        <f>IFERROR(__xludf.DUMMYFUNCTION("GOOGLETRANSLATE(C4844,""en"",""pl"")"),"pętla")</f>
        <v>pętla</v>
      </c>
    </row>
    <row r="4845">
      <c r="C4845" s="1" t="s">
        <v>4839</v>
      </c>
      <c r="D4845" s="3" t="str">
        <f>IFERROR(__xludf.DUMMYFUNCTION("GOOGLETRANSLATE(C4845,""en"",""pl"")"),"elegancki")</f>
        <v>elegancki</v>
      </c>
    </row>
    <row r="4846">
      <c r="C4846" s="1" t="s">
        <v>4840</v>
      </c>
      <c r="D4846" s="3" t="str">
        <f>IFERROR(__xludf.DUMMYFUNCTION("GOOGLETRANSLATE(C4846,""en"",""pl"")"),"wyrozumiały")</f>
        <v>wyrozumiały</v>
      </c>
    </row>
    <row r="4847">
      <c r="C4847" s="1" t="s">
        <v>4841</v>
      </c>
      <c r="D4847" s="3" t="str">
        <f>IFERROR(__xludf.DUMMYFUNCTION("GOOGLETRANSLATE(C4847,""en"",""pl"")"),"strzecharz")</f>
        <v>strzecharz</v>
      </c>
    </row>
    <row r="4848">
      <c r="C4848" s="1" t="s">
        <v>4842</v>
      </c>
      <c r="D4848" s="3" t="str">
        <f>IFERROR(__xludf.DUMMYFUNCTION("GOOGLETRANSLATE(C4848,""en"",""pl"")"),"indeks")</f>
        <v>indeks</v>
      </c>
    </row>
    <row r="4849">
      <c r="C4849" s="1" t="s">
        <v>4843</v>
      </c>
      <c r="D4849" s="3" t="str">
        <f>IFERROR(__xludf.DUMMYFUNCTION("GOOGLETRANSLATE(C4849,""en"",""pl"")"),"rumieniec")</f>
        <v>rumieniec</v>
      </c>
    </row>
    <row r="4850">
      <c r="C4850" s="1" t="s">
        <v>4844</v>
      </c>
      <c r="D4850" s="3" t="str">
        <f>IFERROR(__xludf.DUMMYFUNCTION("GOOGLETRANSLATE(C4850,""en"",""pl"")"),"płodny")</f>
        <v>płodny</v>
      </c>
    </row>
    <row r="4851">
      <c r="C4851" s="1" t="s">
        <v>4845</v>
      </c>
      <c r="D4851" s="3" t="str">
        <f>IFERROR(__xludf.DUMMYFUNCTION("GOOGLETRANSLATE(C4851,""en"",""pl"")"),"amatorzy")</f>
        <v>amatorzy</v>
      </c>
    </row>
    <row r="4852">
      <c r="C4852" s="1" t="s">
        <v>4846</v>
      </c>
      <c r="D4852" s="3" t="str">
        <f>IFERROR(__xludf.DUMMYFUNCTION("GOOGLETRANSLATE(C4852,""en"",""pl"")"),"dostawy")</f>
        <v>dostawy</v>
      </c>
    </row>
    <row r="4853">
      <c r="C4853" s="1" t="s">
        <v>4847</v>
      </c>
      <c r="D4853" s="3" t="str">
        <f>IFERROR(__xludf.DUMMYFUNCTION("GOOGLETRANSLATE(C4853,""en"",""pl"")"),"zbroja")</f>
        <v>zbroja</v>
      </c>
    </row>
    <row r="4854">
      <c r="C4854" s="1" t="s">
        <v>4848</v>
      </c>
      <c r="D4854" s="3" t="str">
        <f>IFERROR(__xludf.DUMMYFUNCTION("GOOGLETRANSLATE(C4854,""en"",""pl"")"),"Werner")</f>
        <v>Werner</v>
      </c>
    </row>
    <row r="4855">
      <c r="C4855" s="1" t="s">
        <v>4849</v>
      </c>
      <c r="D4855" s="3" t="str">
        <f>IFERROR(__xludf.DUMMYFUNCTION("GOOGLETRANSLATE(C4855,""en"",""pl"")"),"gówno")</f>
        <v>gówno</v>
      </c>
    </row>
    <row r="4856">
      <c r="C4856" s="1" t="s">
        <v>4850</v>
      </c>
      <c r="D4856" s="3" t="str">
        <f>IFERROR(__xludf.DUMMYFUNCTION("GOOGLETRANSLATE(C4856,""en"",""pl"")"),"migotanie")</f>
        <v>migotanie</v>
      </c>
    </row>
    <row r="4857">
      <c r="C4857" s="1" t="s">
        <v>4851</v>
      </c>
      <c r="D4857" s="3" t="str">
        <f>IFERROR(__xludf.DUMMYFUNCTION("GOOGLETRANSLATE(C4857,""en"",""pl"")"),"rozdzielony")</f>
        <v>rozdzielony</v>
      </c>
    </row>
    <row r="4858">
      <c r="C4858" s="1" t="s">
        <v>4852</v>
      </c>
      <c r="D4858" s="3" t="str">
        <f>IFERROR(__xludf.DUMMYFUNCTION("GOOGLETRANSLATE(C4858,""en"",""pl"")"),"konsorcjum")</f>
        <v>konsorcjum</v>
      </c>
    </row>
    <row r="4859">
      <c r="C4859" s="1" t="s">
        <v>4853</v>
      </c>
      <c r="D4859" s="3" t="str">
        <f>IFERROR(__xludf.DUMMYFUNCTION("GOOGLETRANSLATE(C4859,""en"",""pl"")"),"Aleksandra")</f>
        <v>Aleksandra</v>
      </c>
    </row>
    <row r="4860">
      <c r="C4860" s="1" t="s">
        <v>4854</v>
      </c>
      <c r="D4860" s="3" t="str">
        <f>IFERROR(__xludf.DUMMYFUNCTION("GOOGLETRANSLATE(C4860,""en"",""pl"")"),"prawicowy")</f>
        <v>prawicowy</v>
      </c>
    </row>
    <row r="4861">
      <c r="C4861" s="1" t="s">
        <v>4855</v>
      </c>
      <c r="D4861" s="3" t="str">
        <f>IFERROR(__xludf.DUMMYFUNCTION("GOOGLETRANSLATE(C4861,""en"",""pl"")"),"regiony")</f>
        <v>regiony</v>
      </c>
    </row>
    <row r="4862">
      <c r="C4862" s="1" t="s">
        <v>4856</v>
      </c>
      <c r="D4862" s="3" t="str">
        <f>IFERROR(__xludf.DUMMYFUNCTION("GOOGLETRANSLATE(C4862,""en"",""pl"")"),"technik")</f>
        <v>technik</v>
      </c>
    </row>
    <row r="4863">
      <c r="C4863" s="1" t="s">
        <v>4857</v>
      </c>
      <c r="D4863" s="3" t="str">
        <f>IFERROR(__xludf.DUMMYFUNCTION("GOOGLETRANSLATE(C4863,""en"",""pl"")"),"gofry")</f>
        <v>gofry</v>
      </c>
    </row>
    <row r="4864">
      <c r="C4864" s="1" t="s">
        <v>4858</v>
      </c>
      <c r="D4864" s="3" t="str">
        <f>IFERROR(__xludf.DUMMYFUNCTION("GOOGLETRANSLATE(C4864,""en"",""pl"")"),"spódnice")</f>
        <v>spódnice</v>
      </c>
    </row>
    <row r="4865">
      <c r="C4865" s="1" t="s">
        <v>4859</v>
      </c>
      <c r="D4865" s="3" t="str">
        <f>IFERROR(__xludf.DUMMYFUNCTION("GOOGLETRANSLATE(C4865,""en"",""pl"")"),"baronowa")</f>
        <v>baronowa</v>
      </c>
    </row>
    <row r="4866">
      <c r="C4866" s="1" t="s">
        <v>4860</v>
      </c>
      <c r="D4866" s="3" t="str">
        <f>IFERROR(__xludf.DUMMYFUNCTION("GOOGLETRANSLATE(C4866,""en"",""pl"")"),"Kastor")</f>
        <v>Kastor</v>
      </c>
    </row>
    <row r="4867">
      <c r="C4867" s="1" t="s">
        <v>4861</v>
      </c>
      <c r="D4867" s="3" t="str">
        <f>IFERROR(__xludf.DUMMYFUNCTION("GOOGLETRANSLATE(C4867,""en"",""pl"")"),"awaria")</f>
        <v>awaria</v>
      </c>
    </row>
    <row r="4868">
      <c r="C4868" s="1" t="s">
        <v>4862</v>
      </c>
      <c r="D4868" s="3" t="str">
        <f>IFERROR(__xludf.DUMMYFUNCTION("GOOGLETRANSLATE(C4868,""en"",""pl"")"),"niezapomniany")</f>
        <v>niezapomniany</v>
      </c>
    </row>
    <row r="4869">
      <c r="C4869" s="1" t="s">
        <v>4863</v>
      </c>
      <c r="D4869" s="3" t="str">
        <f>IFERROR(__xludf.DUMMYFUNCTION("GOOGLETRANSLATE(C4869,""en"",""pl"")"),"w średnim wieku")</f>
        <v>w średnim wieku</v>
      </c>
    </row>
    <row r="4870">
      <c r="C4870" s="1" t="s">
        <v>4864</v>
      </c>
      <c r="D4870" s="3" t="str">
        <f>IFERROR(__xludf.DUMMYFUNCTION("GOOGLETRANSLATE(C4870,""en"",""pl"")"),"thea")</f>
        <v>thea</v>
      </c>
    </row>
    <row r="4871">
      <c r="C4871" s="1" t="s">
        <v>4865</v>
      </c>
      <c r="D4871" s="3" t="str">
        <f>IFERROR(__xludf.DUMMYFUNCTION("GOOGLETRANSLATE(C4871,""en"",""pl"")"),"kalorie")</f>
        <v>kalorie</v>
      </c>
    </row>
    <row r="4872">
      <c r="C4872" s="1" t="s">
        <v>4866</v>
      </c>
      <c r="D4872" s="3" t="str">
        <f>IFERROR(__xludf.DUMMYFUNCTION("GOOGLETRANSLATE(C4872,""en"",""pl"")"),"kuchnia jako sposób gotowania")</f>
        <v>kuchnia jako sposób gotowania</v>
      </c>
    </row>
    <row r="4873">
      <c r="C4873" s="1" t="s">
        <v>4867</v>
      </c>
      <c r="D4873" s="3" t="str">
        <f>IFERROR(__xludf.DUMMYFUNCTION("GOOGLETRANSLATE(C4873,""en"",""pl"")"),"motocykl")</f>
        <v>motocykl</v>
      </c>
    </row>
    <row r="4874">
      <c r="C4874" s="1" t="s">
        <v>4868</v>
      </c>
      <c r="D4874" s="3" t="str">
        <f>IFERROR(__xludf.DUMMYFUNCTION("GOOGLETRANSLATE(C4874,""en"",""pl"")"),"podejrzeć")</f>
        <v>podejrzeć</v>
      </c>
    </row>
    <row r="4875">
      <c r="C4875" s="1" t="s">
        <v>4869</v>
      </c>
      <c r="D4875" s="3" t="str">
        <f>IFERROR(__xludf.DUMMYFUNCTION("GOOGLETRANSLATE(C4875,""en"",""pl"")"),"uznany")</f>
        <v>uznany</v>
      </c>
    </row>
    <row r="4876">
      <c r="C4876" s="1" t="s">
        <v>4870</v>
      </c>
      <c r="D4876" s="3" t="str">
        <f>IFERROR(__xludf.DUMMYFUNCTION("GOOGLETRANSLATE(C4876,""en"",""pl"")"),"orkisz")</f>
        <v>orkisz</v>
      </c>
    </row>
    <row r="4877">
      <c r="C4877" s="1" t="s">
        <v>4871</v>
      </c>
      <c r="D4877" s="3" t="str">
        <f>IFERROR(__xludf.DUMMYFUNCTION("GOOGLETRANSLATE(C4877,""en"",""pl"")"),"ewoluować")</f>
        <v>ewoluować</v>
      </c>
    </row>
    <row r="4878">
      <c r="C4878" s="1" t="s">
        <v>4872</v>
      </c>
      <c r="D4878" s="3" t="str">
        <f>IFERROR(__xludf.DUMMYFUNCTION("GOOGLETRANSLATE(C4878,""en"",""pl"")"),"sternik")</f>
        <v>sternik</v>
      </c>
    </row>
    <row r="4879">
      <c r="C4879" s="1" t="s">
        <v>4873</v>
      </c>
      <c r="D4879" s="3" t="str">
        <f>IFERROR(__xludf.DUMMYFUNCTION("GOOGLETRANSLATE(C4879,""en"",""pl"")"),"środek uspokajający")</f>
        <v>środek uspokajający</v>
      </c>
    </row>
    <row r="4880">
      <c r="C4880" s="1" t="s">
        <v>4874</v>
      </c>
      <c r="D4880" s="3" t="str">
        <f>IFERROR(__xludf.DUMMYFUNCTION("GOOGLETRANSLATE(C4880,""en"",""pl"")"),"szyk")</f>
        <v>szyk</v>
      </c>
    </row>
    <row r="4881">
      <c r="C4881" s="1" t="s">
        <v>4875</v>
      </c>
      <c r="D4881" s="3" t="str">
        <f>IFERROR(__xludf.DUMMYFUNCTION("GOOGLETRANSLATE(C4881,""en"",""pl"")"),"czułość")</f>
        <v>czułość</v>
      </c>
    </row>
    <row r="4882">
      <c r="C4882" s="1" t="s">
        <v>4876</v>
      </c>
      <c r="D4882" s="3" t="str">
        <f>IFERROR(__xludf.DUMMYFUNCTION("GOOGLETRANSLATE(C4882,""en"",""pl"")"),"klingoński")</f>
        <v>klingoński</v>
      </c>
    </row>
    <row r="4883">
      <c r="C4883" s="1" t="s">
        <v>4877</v>
      </c>
      <c r="D4883" s="3" t="str">
        <f>IFERROR(__xludf.DUMMYFUNCTION("GOOGLETRANSLATE(C4883,""en"",""pl"")"),"girlanda")</f>
        <v>girlanda</v>
      </c>
    </row>
    <row r="4884">
      <c r="C4884" s="1" t="s">
        <v>4878</v>
      </c>
      <c r="D4884" s="3" t="str">
        <f>IFERROR(__xludf.DUMMYFUNCTION("GOOGLETRANSLATE(C4884,""en"",""pl"")"),"przemycony")</f>
        <v>przemycony</v>
      </c>
    </row>
    <row r="4885">
      <c r="C4885" s="1" t="s">
        <v>4879</v>
      </c>
      <c r="D4885" s="3" t="str">
        <f>IFERROR(__xludf.DUMMYFUNCTION("GOOGLETRANSLATE(C4885,""en"",""pl"")"),"nikola")</f>
        <v>nikola</v>
      </c>
    </row>
    <row r="4886">
      <c r="C4886" s="1" t="s">
        <v>4880</v>
      </c>
      <c r="D4886" s="3" t="str">
        <f>IFERROR(__xludf.DUMMYFUNCTION("GOOGLETRANSLATE(C4886,""en"",""pl"")"),"Raju")</f>
        <v>Raju</v>
      </c>
    </row>
    <row r="4887">
      <c r="C4887" s="1" t="s">
        <v>4881</v>
      </c>
      <c r="D4887" s="3" t="str">
        <f>IFERROR(__xludf.DUMMYFUNCTION("GOOGLETRANSLATE(C4887,""en"",""pl"")"),"wywrócony")</f>
        <v>wywrócony</v>
      </c>
    </row>
    <row r="4888">
      <c r="C4888" s="1" t="s">
        <v>4882</v>
      </c>
      <c r="D4888" s="3" t="str">
        <f>IFERROR(__xludf.DUMMYFUNCTION("GOOGLETRANSLATE(C4888,""en"",""pl"")"),"Royce")</f>
        <v>Royce</v>
      </c>
    </row>
    <row r="4889">
      <c r="C4889" s="1" t="s">
        <v>4883</v>
      </c>
      <c r="D4889" s="3" t="str">
        <f>IFERROR(__xludf.DUMMYFUNCTION("GOOGLETRANSLATE(C4889,""en"",""pl"")"),"uprzednio")</f>
        <v>uprzednio</v>
      </c>
    </row>
    <row r="4890">
      <c r="C4890" s="1" t="s">
        <v>4884</v>
      </c>
      <c r="D4890" s="3" t="str">
        <f>IFERROR(__xludf.DUMMYFUNCTION("GOOGLETRANSLATE(C4890,""en"",""pl"")"),"ciągły")</f>
        <v>ciągły</v>
      </c>
    </row>
    <row r="4891">
      <c r="C4891" s="1" t="s">
        <v>4885</v>
      </c>
      <c r="D4891" s="3" t="str">
        <f>IFERROR(__xludf.DUMMYFUNCTION("GOOGLETRANSLATE(C4891,""en"",""pl"")"),"yoko")</f>
        <v>yoko</v>
      </c>
    </row>
    <row r="4892">
      <c r="C4892" s="1" t="s">
        <v>4886</v>
      </c>
      <c r="D4892" s="3" t="str">
        <f>IFERROR(__xludf.DUMMYFUNCTION("GOOGLETRANSLATE(C4892,""en"",""pl"")"),"Cecyl")</f>
        <v>Cecyl</v>
      </c>
    </row>
    <row r="4893">
      <c r="C4893" s="1" t="s">
        <v>4887</v>
      </c>
      <c r="D4893" s="3" t="str">
        <f>IFERROR(__xludf.DUMMYFUNCTION("GOOGLETRANSLATE(C4893,""en"",""pl"")"),"seniorzy")</f>
        <v>seniorzy</v>
      </c>
    </row>
    <row r="4894">
      <c r="C4894" s="1" t="s">
        <v>4888</v>
      </c>
      <c r="D4894" s="3" t="str">
        <f>IFERROR(__xludf.DUMMYFUNCTION("GOOGLETRANSLATE(C4894,""en"",""pl"")"),"MRI")</f>
        <v>MRI</v>
      </c>
    </row>
    <row r="4895">
      <c r="C4895" s="1" t="s">
        <v>4889</v>
      </c>
      <c r="D4895" s="3" t="str">
        <f>IFERROR(__xludf.DUMMYFUNCTION("GOOGLETRANSLATE(C4895,""en"",""pl"")"),"syntetyczny")</f>
        <v>syntetyczny</v>
      </c>
    </row>
    <row r="4896">
      <c r="C4896" s="1" t="s">
        <v>4890</v>
      </c>
      <c r="D4896" s="3" t="str">
        <f>IFERROR(__xludf.DUMMYFUNCTION("GOOGLETRANSLATE(C4896,""en"",""pl"")"),"wybaczył")</f>
        <v>wybaczył</v>
      </c>
    </row>
    <row r="4897">
      <c r="C4897" s="1" t="s">
        <v>4891</v>
      </c>
      <c r="D4897" s="3" t="str">
        <f>IFERROR(__xludf.DUMMYFUNCTION("GOOGLETRANSLATE(C4897,""en"",""pl"")"),"odkrycia")</f>
        <v>odkrycia</v>
      </c>
    </row>
    <row r="4898">
      <c r="C4898" s="1" t="s">
        <v>4892</v>
      </c>
      <c r="D4898" s="3" t="str">
        <f>IFERROR(__xludf.DUMMYFUNCTION("GOOGLETRANSLATE(C4898,""en"",""pl"")"),"Kimmy")</f>
        <v>Kimmy</v>
      </c>
    </row>
    <row r="4899">
      <c r="C4899" s="1" t="s">
        <v>4893</v>
      </c>
      <c r="D4899" s="3" t="str">
        <f>IFERROR(__xludf.DUMMYFUNCTION("GOOGLETRANSLATE(C4899,""en"",""pl"")"),"wstrząśnięty")</f>
        <v>wstrząśnięty</v>
      </c>
    </row>
    <row r="4900">
      <c r="C4900" s="1" t="s">
        <v>4894</v>
      </c>
      <c r="D4900" s="3" t="str">
        <f>IFERROR(__xludf.DUMMYFUNCTION("GOOGLETRANSLATE(C4900,""en"",""pl"")"),"frekwencja")</f>
        <v>frekwencja</v>
      </c>
    </row>
    <row r="4901">
      <c r="C4901" s="1" t="s">
        <v>4895</v>
      </c>
      <c r="D4901" s="3" t="str">
        <f>IFERROR(__xludf.DUMMYFUNCTION("GOOGLETRANSLATE(C4901,""en"",""pl"")"),"klon")</f>
        <v>klon</v>
      </c>
    </row>
    <row r="4902">
      <c r="C4902" s="1" t="s">
        <v>4896</v>
      </c>
      <c r="D4902" s="3" t="str">
        <f>IFERROR(__xludf.DUMMYFUNCTION("GOOGLETRANSLATE(C4902,""en"",""pl"")"),"totalizator piłkarski")</f>
        <v>totalizator piłkarski</v>
      </c>
    </row>
    <row r="4903">
      <c r="C4903" s="1" t="s">
        <v>4897</v>
      </c>
      <c r="D4903" s="3" t="str">
        <f>IFERROR(__xludf.DUMMYFUNCTION("GOOGLETRANSLATE(C4903,""en"",""pl"")"),"palant")</f>
        <v>palant</v>
      </c>
    </row>
    <row r="4904">
      <c r="C4904" s="1" t="s">
        <v>4898</v>
      </c>
      <c r="D4904" s="3" t="str">
        <f>IFERROR(__xludf.DUMMYFUNCTION("GOOGLETRANSLATE(C4904,""en"",""pl"")"),"dom")</f>
        <v>dom</v>
      </c>
    </row>
    <row r="4905">
      <c r="C4905" s="1" t="s">
        <v>4899</v>
      </c>
      <c r="D4905" s="3" t="str">
        <f>IFERROR(__xludf.DUMMYFUNCTION("GOOGLETRANSLATE(C4905,""en"",""pl"")"),"broń palna")</f>
        <v>broń palna</v>
      </c>
    </row>
    <row r="4906">
      <c r="C4906" s="1" t="s">
        <v>4900</v>
      </c>
      <c r="D4906" s="3" t="str">
        <f>IFERROR(__xludf.DUMMYFUNCTION("GOOGLETRANSLATE(C4906,""en"",""pl"")"),"przestępcy")</f>
        <v>przestępcy</v>
      </c>
    </row>
    <row r="4907">
      <c r="C4907" s="1" t="s">
        <v>4901</v>
      </c>
      <c r="D4907" s="3" t="str">
        <f>IFERROR(__xludf.DUMMYFUNCTION("GOOGLETRANSLATE(C4907,""en"",""pl"")"),"zobowiązania")</f>
        <v>zobowiązania</v>
      </c>
    </row>
    <row r="4908">
      <c r="C4908" s="1" t="s">
        <v>4902</v>
      </c>
      <c r="D4908" s="3" t="str">
        <f>IFERROR(__xludf.DUMMYFUNCTION("GOOGLETRANSLATE(C4908,""en"",""pl"")"),"jęk")</f>
        <v>jęk</v>
      </c>
    </row>
    <row r="4909">
      <c r="C4909" s="1" t="s">
        <v>4903</v>
      </c>
      <c r="D4909" s="3" t="str">
        <f>IFERROR(__xludf.DUMMYFUNCTION("GOOGLETRANSLATE(C4909,""en"",""pl"")"),"podpisujący")</f>
        <v>podpisujący</v>
      </c>
    </row>
    <row r="4910">
      <c r="C4910" s="1" t="s">
        <v>4904</v>
      </c>
      <c r="D4910" s="3" t="str">
        <f>IFERROR(__xludf.DUMMYFUNCTION("GOOGLETRANSLATE(C4910,""en"",""pl"")"),"Graffiti")</f>
        <v>Graffiti</v>
      </c>
    </row>
    <row r="4911">
      <c r="C4911" s="1" t="s">
        <v>4905</v>
      </c>
      <c r="D4911" s="3" t="str">
        <f>IFERROR(__xludf.DUMMYFUNCTION("GOOGLETRANSLATE(C4911,""en"",""pl"")"),"Dostarczono")</f>
        <v>Dostarczono</v>
      </c>
    </row>
    <row r="4912">
      <c r="C4912" s="1" t="s">
        <v>4906</v>
      </c>
      <c r="D4912" s="3" t="str">
        <f>IFERROR(__xludf.DUMMYFUNCTION("GOOGLETRANSLATE(C4912,""en"",""pl"")"),"bielizna")</f>
        <v>bielizna</v>
      </c>
    </row>
    <row r="4913">
      <c r="C4913" s="1" t="s">
        <v>4907</v>
      </c>
      <c r="D4913" s="3" t="str">
        <f>IFERROR(__xludf.DUMMYFUNCTION("GOOGLETRANSLATE(C4913,""en"",""pl"")"),"wada")</f>
        <v>wada</v>
      </c>
    </row>
    <row r="4914">
      <c r="C4914" s="1" t="s">
        <v>4908</v>
      </c>
      <c r="D4914" s="3" t="str">
        <f>IFERROR(__xludf.DUMMYFUNCTION("GOOGLETRANSLATE(C4914,""en"",""pl"")"),"patriotyczny")</f>
        <v>patriotyczny</v>
      </c>
    </row>
    <row r="4915">
      <c r="C4915" s="1" t="s">
        <v>4909</v>
      </c>
      <c r="D4915" s="3" t="str">
        <f>IFERROR(__xludf.DUMMYFUNCTION("GOOGLETRANSLATE(C4915,""en"",""pl"")"),"etyczny")</f>
        <v>etyczny</v>
      </c>
    </row>
    <row r="4916">
      <c r="C4916" s="1" t="s">
        <v>4910</v>
      </c>
      <c r="D4916" s="3" t="str">
        <f>IFERROR(__xludf.DUMMYFUNCTION("GOOGLETRANSLATE(C4916,""en"",""pl"")"),"szkodnik")</f>
        <v>szkodnik</v>
      </c>
    </row>
    <row r="4917">
      <c r="C4917" s="1" t="s">
        <v>4911</v>
      </c>
      <c r="D4917" s="3" t="str">
        <f>IFERROR(__xludf.DUMMYFUNCTION("GOOGLETRANSLATE(C4917,""en"",""pl"")"),"długości")</f>
        <v>długości</v>
      </c>
    </row>
    <row r="4918">
      <c r="C4918" s="1" t="s">
        <v>4912</v>
      </c>
      <c r="D4918" s="3" t="str">
        <f>IFERROR(__xludf.DUMMYFUNCTION("GOOGLETRANSLATE(C4918,""en"",""pl"")"),"wino")</f>
        <v>wino</v>
      </c>
    </row>
    <row r="4919">
      <c r="C4919" s="1" t="s">
        <v>4913</v>
      </c>
      <c r="D4919" s="3" t="str">
        <f>IFERROR(__xludf.DUMMYFUNCTION("GOOGLETRANSLATE(C4919,""en"",""pl"")"),"Minnie")</f>
        <v>Minnie</v>
      </c>
    </row>
    <row r="4920">
      <c r="C4920" s="1" t="s">
        <v>4914</v>
      </c>
      <c r="D4920" s="3" t="str">
        <f>IFERROR(__xludf.DUMMYFUNCTION("GOOGLETRANSLATE(C4920,""en"",""pl"")"),"widmo")</f>
        <v>widmo</v>
      </c>
    </row>
    <row r="4921">
      <c r="C4921" s="1" t="s">
        <v>4915</v>
      </c>
      <c r="D4921" s="3" t="str">
        <f>IFERROR(__xludf.DUMMYFUNCTION("GOOGLETRANSLATE(C4921,""en"",""pl"")"),"wyróżnienie")</f>
        <v>wyróżnienie</v>
      </c>
    </row>
    <row r="4922">
      <c r="C4922" s="1" t="s">
        <v>4916</v>
      </c>
      <c r="D4922" s="3" t="str">
        <f>IFERROR(__xludf.DUMMYFUNCTION("GOOGLETRANSLATE(C4922,""en"",""pl"")"),"udekorować")</f>
        <v>udekorować</v>
      </c>
    </row>
    <row r="4923">
      <c r="C4923" s="1" t="s">
        <v>4917</v>
      </c>
      <c r="D4923" s="3" t="str">
        <f>IFERROR(__xludf.DUMMYFUNCTION("GOOGLETRANSLATE(C4923,""en"",""pl"")"),"miedza")</f>
        <v>miedza</v>
      </c>
    </row>
    <row r="4924">
      <c r="C4924" s="1" t="s">
        <v>4918</v>
      </c>
      <c r="D4924" s="3" t="str">
        <f>IFERROR(__xludf.DUMMYFUNCTION("GOOGLETRANSLATE(C4924,""en"",""pl"")"),"brzęczy")</f>
        <v>brzęczy</v>
      </c>
    </row>
    <row r="4925">
      <c r="C4925" s="1" t="s">
        <v>4919</v>
      </c>
      <c r="D4925" s="3" t="str">
        <f>IFERROR(__xludf.DUMMYFUNCTION("GOOGLETRANSLATE(C4925,""en"",""pl"")"),"mandarynka")</f>
        <v>mandarynka</v>
      </c>
    </row>
    <row r="4926">
      <c r="C4926" s="1" t="s">
        <v>4920</v>
      </c>
      <c r="D4926" s="3" t="str">
        <f>IFERROR(__xludf.DUMMYFUNCTION("GOOGLETRANSLATE(C4926,""en"",""pl"")"),"niechętny")</f>
        <v>niechętny</v>
      </c>
    </row>
    <row r="4927">
      <c r="C4927" s="1" t="s">
        <v>4921</v>
      </c>
      <c r="D4927" s="3" t="str">
        <f>IFERROR(__xludf.DUMMYFUNCTION("GOOGLETRANSLATE(C4927,""en"",""pl"")"),"skraj")</f>
        <v>skraj</v>
      </c>
    </row>
    <row r="4928">
      <c r="C4928" s="1" t="s">
        <v>4922</v>
      </c>
      <c r="D4928" s="3" t="str">
        <f>IFERROR(__xludf.DUMMYFUNCTION("GOOGLETRANSLATE(C4928,""en"",""pl"")"),"zachować")</f>
        <v>zachować</v>
      </c>
    </row>
    <row r="4929">
      <c r="C4929" s="1" t="s">
        <v>4923</v>
      </c>
      <c r="D4929" s="3" t="str">
        <f>IFERROR(__xludf.DUMMYFUNCTION("GOOGLETRANSLATE(C4929,""en"",""pl"")"),"Justyna")</f>
        <v>Justyna</v>
      </c>
    </row>
    <row r="4930">
      <c r="C4930" s="1" t="s">
        <v>4924</v>
      </c>
      <c r="D4930" s="3" t="str">
        <f>IFERROR(__xludf.DUMMYFUNCTION("GOOGLETRANSLATE(C4930,""en"",""pl"")"),"kształcić")</f>
        <v>kształcić</v>
      </c>
    </row>
    <row r="4931">
      <c r="C4931" s="1" t="s">
        <v>4925</v>
      </c>
      <c r="D4931" s="3" t="str">
        <f>IFERROR(__xludf.DUMMYFUNCTION("GOOGLETRANSLATE(C4931,""en"",""pl"")"),"Minnesota")</f>
        <v>Minnesota</v>
      </c>
    </row>
    <row r="4932">
      <c r="C4932" s="1" t="s">
        <v>4926</v>
      </c>
      <c r="D4932" s="3" t="str">
        <f>IFERROR(__xludf.DUMMYFUNCTION("GOOGLETRANSLATE(C4932,""en"",""pl"")"),"Posłaniec")</f>
        <v>Posłaniec</v>
      </c>
    </row>
    <row r="4933">
      <c r="C4933" s="1" t="s">
        <v>4927</v>
      </c>
      <c r="D4933" s="3" t="str">
        <f>IFERROR(__xludf.DUMMYFUNCTION("GOOGLETRANSLATE(C4933,""en"",""pl"")"),"krążownik")</f>
        <v>krążownik</v>
      </c>
    </row>
    <row r="4934">
      <c r="C4934" s="1" t="s">
        <v>4928</v>
      </c>
      <c r="D4934" s="3" t="str">
        <f>IFERROR(__xludf.DUMMYFUNCTION("GOOGLETRANSLATE(C4934,""en"",""pl"")"),"pozwolenia")</f>
        <v>pozwolenia</v>
      </c>
    </row>
    <row r="4935">
      <c r="C4935" s="1" t="s">
        <v>4929</v>
      </c>
      <c r="D4935" s="3" t="str">
        <f>IFERROR(__xludf.DUMMYFUNCTION("GOOGLETRANSLATE(C4935,""en"",""pl"")"),"śrubokręt")</f>
        <v>śrubokręt</v>
      </c>
    </row>
    <row r="4936">
      <c r="C4936" s="1" t="s">
        <v>4930</v>
      </c>
      <c r="D4936" s="3" t="str">
        <f>IFERROR(__xludf.DUMMYFUNCTION("GOOGLETRANSLATE(C4936,""en"",""pl"")"),"badanie")</f>
        <v>badanie</v>
      </c>
    </row>
    <row r="4937">
      <c r="C4937" s="1" t="s">
        <v>4931</v>
      </c>
      <c r="D4937" s="3" t="str">
        <f>IFERROR(__xludf.DUMMYFUNCTION("GOOGLETRANSLATE(C4937,""en"",""pl"")"),"buzdygan")</f>
        <v>buzdygan</v>
      </c>
    </row>
    <row r="4938">
      <c r="C4938" s="1" t="s">
        <v>4932</v>
      </c>
      <c r="D4938" s="3" t="str">
        <f>IFERROR(__xludf.DUMMYFUNCTION("GOOGLETRANSLATE(C4938,""en"",""pl"")"),"nowo narodzony")</f>
        <v>nowo narodzony</v>
      </c>
    </row>
    <row r="4939">
      <c r="C4939" s="1" t="s">
        <v>4933</v>
      </c>
      <c r="D4939" s="3" t="str">
        <f>IFERROR(__xludf.DUMMYFUNCTION("GOOGLETRANSLATE(C4939,""en"",""pl"")"),"dreszcz")</f>
        <v>dreszcz</v>
      </c>
    </row>
    <row r="4940">
      <c r="C4940" s="1" t="s">
        <v>4934</v>
      </c>
      <c r="D4940" s="3" t="str">
        <f>IFERROR(__xludf.DUMMYFUNCTION("GOOGLETRANSLATE(C4940,""en"",""pl"")"),"szlam")</f>
        <v>szlam</v>
      </c>
    </row>
    <row r="4941">
      <c r="C4941" s="1" t="s">
        <v>4935</v>
      </c>
      <c r="D4941" s="3" t="str">
        <f>IFERROR(__xludf.DUMMYFUNCTION("GOOGLETRANSLATE(C4941,""en"",""pl"")"),"dziwnie")</f>
        <v>dziwnie</v>
      </c>
    </row>
    <row r="4942">
      <c r="C4942" s="1" t="s">
        <v>4936</v>
      </c>
      <c r="D4942" s="3" t="str">
        <f>IFERROR(__xludf.DUMMYFUNCTION("GOOGLETRANSLATE(C4942,""en"",""pl"")"),"borsuk")</f>
        <v>borsuk</v>
      </c>
    </row>
    <row r="4943">
      <c r="C4943" s="1" t="s">
        <v>4937</v>
      </c>
      <c r="D4943" s="3" t="str">
        <f>IFERROR(__xludf.DUMMYFUNCTION("GOOGLETRANSLATE(C4943,""en"",""pl"")"),"posiniaczony")</f>
        <v>posiniaczony</v>
      </c>
    </row>
    <row r="4944">
      <c r="C4944" s="1" t="s">
        <v>4938</v>
      </c>
      <c r="D4944" s="3" t="str">
        <f>IFERROR(__xludf.DUMMYFUNCTION("GOOGLETRANSLATE(C4944,""en"",""pl"")"),"Luigi")</f>
        <v>Luigi</v>
      </c>
    </row>
    <row r="4945">
      <c r="C4945" s="1" t="s">
        <v>4939</v>
      </c>
      <c r="D4945" s="3" t="str">
        <f>IFERROR(__xludf.DUMMYFUNCTION("GOOGLETRANSLATE(C4945,""en"",""pl"")"),"brawo")</f>
        <v>brawo</v>
      </c>
    </row>
    <row r="4946">
      <c r="C4946" s="1" t="s">
        <v>4940</v>
      </c>
      <c r="D4946" s="3" t="str">
        <f>IFERROR(__xludf.DUMMYFUNCTION("GOOGLETRANSLATE(C4946,""en"",""pl"")"),"gałki oczne")</f>
        <v>gałki oczne</v>
      </c>
    </row>
    <row r="4947">
      <c r="C4947" s="1" t="s">
        <v>4941</v>
      </c>
      <c r="D4947" s="3" t="str">
        <f>IFERROR(__xludf.DUMMYFUNCTION("GOOGLETRANSLATE(C4947,""en"",""pl"")"),"instytucje")</f>
        <v>instytucje</v>
      </c>
    </row>
    <row r="4948">
      <c r="C4948" s="1" t="s">
        <v>4942</v>
      </c>
      <c r="D4948" s="3" t="str">
        <f>IFERROR(__xludf.DUMMYFUNCTION("GOOGLETRANSLATE(C4948,""en"",""pl"")"),"Panama")</f>
        <v>Panama</v>
      </c>
    </row>
    <row r="4949">
      <c r="C4949" s="1" t="s">
        <v>4943</v>
      </c>
      <c r="D4949" s="3" t="str">
        <f>IFERROR(__xludf.DUMMYFUNCTION("GOOGLETRANSLATE(C4949,""en"",""pl"")"),"granica")</f>
        <v>granica</v>
      </c>
    </row>
    <row r="4950">
      <c r="C4950" s="1" t="s">
        <v>4944</v>
      </c>
      <c r="D4950" s="3" t="str">
        <f>IFERROR(__xludf.DUMMYFUNCTION("GOOGLETRANSLATE(C4950,""en"",""pl"")"),"hipoteza")</f>
        <v>hipoteza</v>
      </c>
    </row>
    <row r="4951">
      <c r="C4951" s="1" t="s">
        <v>4945</v>
      </c>
      <c r="D4951" s="3" t="str">
        <f>IFERROR(__xludf.DUMMYFUNCTION("GOOGLETRANSLATE(C4951,""en"",""pl"")"),"uffff00")</f>
        <v>uffff00</v>
      </c>
    </row>
    <row r="4952">
      <c r="C4952" s="1" t="s">
        <v>4946</v>
      </c>
      <c r="D4952" s="3" t="str">
        <f>IFERROR(__xludf.DUMMYFUNCTION("GOOGLETRANSLATE(C4952,""en"",""pl"")"),"susza")</f>
        <v>susza</v>
      </c>
    </row>
    <row r="4953">
      <c r="C4953" s="1" t="s">
        <v>4947</v>
      </c>
      <c r="D4953" s="3" t="str">
        <f>IFERROR(__xludf.DUMMYFUNCTION("GOOGLETRANSLATE(C4953,""en"",""pl"")"),"Rembrandt")</f>
        <v>Rembrandt</v>
      </c>
    </row>
    <row r="4954">
      <c r="C4954" s="1" t="s">
        <v>4948</v>
      </c>
      <c r="D4954" s="3" t="str">
        <f>IFERROR(__xludf.DUMMYFUNCTION("GOOGLETRANSLATE(C4954,""en"",""pl"")"),"pochłonięty")</f>
        <v>pochłonięty</v>
      </c>
    </row>
    <row r="4955">
      <c r="C4955" s="1" t="s">
        <v>4949</v>
      </c>
      <c r="D4955" s="3" t="str">
        <f>IFERROR(__xludf.DUMMYFUNCTION("GOOGLETRANSLATE(C4955,""en"",""pl"")"),"brzęczenie")</f>
        <v>brzęczenie</v>
      </c>
    </row>
    <row r="4956">
      <c r="C4956" s="1" t="s">
        <v>4950</v>
      </c>
      <c r="D4956" s="3" t="str">
        <f>IFERROR(__xludf.DUMMYFUNCTION("GOOGLETRANSLATE(C4956,""en"",""pl"")"),"kat")</f>
        <v>kat</v>
      </c>
    </row>
    <row r="4957">
      <c r="C4957" s="1" t="s">
        <v>4951</v>
      </c>
      <c r="D4957" s="3" t="str">
        <f>IFERROR(__xludf.DUMMYFUNCTION("GOOGLETRANSLATE(C4957,""en"",""pl"")"),"rzutki")</f>
        <v>rzutki</v>
      </c>
    </row>
    <row r="4958">
      <c r="C4958" s="1" t="s">
        <v>4952</v>
      </c>
      <c r="D4958" s="3" t="str">
        <f>IFERROR(__xludf.DUMMYFUNCTION("GOOGLETRANSLATE(C4958,""en"",""pl"")"),"Katalina")</f>
        <v>Katalina</v>
      </c>
    </row>
    <row r="4959">
      <c r="C4959" s="1" t="s">
        <v>4953</v>
      </c>
      <c r="D4959" s="3" t="str">
        <f>IFERROR(__xludf.DUMMYFUNCTION("GOOGLETRANSLATE(C4959,""en"",""pl"")"),"zwabiony")</f>
        <v>zwabiony</v>
      </c>
    </row>
    <row r="4960">
      <c r="C4960" s="1" t="s">
        <v>4954</v>
      </c>
      <c r="D4960" s="3" t="str">
        <f>IFERROR(__xludf.DUMMYFUNCTION("GOOGLETRANSLATE(C4960,""en"",""pl"")"),"bielizna")</f>
        <v>bielizna</v>
      </c>
    </row>
    <row r="4961">
      <c r="C4961" s="1" t="s">
        <v>4955</v>
      </c>
      <c r="D4961" s="3" t="str">
        <f>IFERROR(__xludf.DUMMYFUNCTION("GOOGLETRANSLATE(C4961,""en"",""pl"")"),"gon")</f>
        <v>gon</v>
      </c>
    </row>
    <row r="4962">
      <c r="C4962" s="1" t="s">
        <v>4956</v>
      </c>
      <c r="D4962" s="3" t="str">
        <f>IFERROR(__xludf.DUMMYFUNCTION("GOOGLETRANSLATE(C4962,""en"",""pl"")"),"wady")</f>
        <v>wady</v>
      </c>
    </row>
    <row r="4963">
      <c r="C4963" s="1" t="s">
        <v>4957</v>
      </c>
      <c r="D4963" s="3" t="str">
        <f>IFERROR(__xludf.DUMMYFUNCTION("GOOGLETRANSLATE(C4963,""en"",""pl"")"),"rozcieńczalnik")</f>
        <v>rozcieńczalnik</v>
      </c>
    </row>
    <row r="4964">
      <c r="C4964" s="1" t="s">
        <v>4958</v>
      </c>
      <c r="D4964" s="3" t="str">
        <f>IFERROR(__xludf.DUMMYFUNCTION("GOOGLETRANSLATE(C4964,""en"",""pl"")"),"Lucien")</f>
        <v>Lucien</v>
      </c>
    </row>
    <row r="4965">
      <c r="C4965" s="1" t="s">
        <v>4959</v>
      </c>
      <c r="D4965" s="3" t="str">
        <f>IFERROR(__xludf.DUMMYFUNCTION("GOOGLETRANSLATE(C4965,""en"",""pl"")"),"holownik")</f>
        <v>holownik</v>
      </c>
    </row>
    <row r="4966">
      <c r="C4966" s="1" t="s">
        <v>4960</v>
      </c>
      <c r="D4966" s="3" t="str">
        <f>IFERROR(__xludf.DUMMYFUNCTION("GOOGLETRANSLATE(C4966,""en"",""pl"")"),"zagnany w kozi róg")</f>
        <v>zagnany w kozi róg</v>
      </c>
    </row>
    <row r="4967">
      <c r="C4967" s="1" t="s">
        <v>4961</v>
      </c>
      <c r="D4967" s="3" t="str">
        <f>IFERROR(__xludf.DUMMYFUNCTION("GOOGLETRANSLATE(C4967,""en"",""pl"")"),"Berti")</f>
        <v>Berti</v>
      </c>
    </row>
    <row r="4968">
      <c r="C4968" s="1" t="s">
        <v>4962</v>
      </c>
      <c r="D4968" s="3" t="str">
        <f>IFERROR(__xludf.DUMMYFUNCTION("GOOGLETRANSLATE(C4968,""en"",""pl"")"),"górne miasto")</f>
        <v>górne miasto</v>
      </c>
    </row>
    <row r="4969">
      <c r="C4969" s="1" t="s">
        <v>4963</v>
      </c>
      <c r="D4969" s="3" t="str">
        <f>IFERROR(__xludf.DUMMYFUNCTION("GOOGLETRANSLATE(C4969,""en"",""pl"")"),"kolidować")</f>
        <v>kolidować</v>
      </c>
    </row>
    <row r="4970">
      <c r="C4970" s="1" t="s">
        <v>4964</v>
      </c>
      <c r="D4970" s="3" t="str">
        <f>IFERROR(__xludf.DUMMYFUNCTION("GOOGLETRANSLATE(C4970,""en"",""pl"")"),"antenowy")</f>
        <v>antenowy</v>
      </c>
    </row>
    <row r="4971">
      <c r="C4971" s="1" t="s">
        <v>4965</v>
      </c>
      <c r="D4971" s="3" t="str">
        <f>IFERROR(__xludf.DUMMYFUNCTION("GOOGLETRANSLATE(C4971,""en"",""pl"")"),"hansen")</f>
        <v>hansen</v>
      </c>
    </row>
    <row r="4972">
      <c r="C4972" s="1" t="s">
        <v>4966</v>
      </c>
      <c r="D4972" s="3" t="str">
        <f>IFERROR(__xludf.DUMMYFUNCTION("GOOGLETRANSLATE(C4972,""en"",""pl"")"),"nieustępliwy")</f>
        <v>nieustępliwy</v>
      </c>
    </row>
    <row r="4973">
      <c r="C4973" s="1" t="s">
        <v>4967</v>
      </c>
      <c r="D4973" s="3" t="str">
        <f>IFERROR(__xludf.DUMMYFUNCTION("GOOGLETRANSLATE(C4973,""en"",""pl"")"),"wykonalny")</f>
        <v>wykonalny</v>
      </c>
    </row>
    <row r="4974">
      <c r="C4974" s="1" t="s">
        <v>4968</v>
      </c>
      <c r="D4974" s="3" t="str">
        <f>IFERROR(__xludf.DUMMYFUNCTION("GOOGLETRANSLATE(C4974,""en"",""pl"")"),"Raul")</f>
        <v>Raul</v>
      </c>
    </row>
    <row r="4975">
      <c r="C4975" s="1" t="s">
        <v>4969</v>
      </c>
      <c r="D4975" s="3" t="str">
        <f>IFERROR(__xludf.DUMMYFUNCTION("GOOGLETRANSLATE(C4975,""en"",""pl"")"),"kiedy")</f>
        <v>kiedy</v>
      </c>
    </row>
    <row r="4976">
      <c r="C4976" s="1" t="s">
        <v>4970</v>
      </c>
      <c r="D4976" s="3" t="str">
        <f>IFERROR(__xludf.DUMMYFUNCTION("GOOGLETRANSLATE(C4976,""en"",""pl"")"),"uczeni")</f>
        <v>uczeni</v>
      </c>
    </row>
    <row r="4977">
      <c r="C4977" s="1" t="s">
        <v>4971</v>
      </c>
      <c r="D4977" s="3" t="str">
        <f>IFERROR(__xludf.DUMMYFUNCTION("GOOGLETRANSLATE(C4977,""en"",""pl"")"),"Marley")</f>
        <v>Marley</v>
      </c>
    </row>
    <row r="4978">
      <c r="C4978" s="1" t="s">
        <v>4972</v>
      </c>
      <c r="D4978" s="3" t="str">
        <f>IFERROR(__xludf.DUMMYFUNCTION("GOOGLETRANSLATE(C4978,""en"",""pl"")"),"ograniczenia")</f>
        <v>ograniczenia</v>
      </c>
    </row>
    <row r="4979">
      <c r="C4979" s="1" t="s">
        <v>4973</v>
      </c>
      <c r="D4979" s="3" t="str">
        <f>IFERROR(__xludf.DUMMYFUNCTION("GOOGLETRANSLATE(C4979,""en"",""pl"")"),"półki")</f>
        <v>półki</v>
      </c>
    </row>
    <row r="4980">
      <c r="C4980" s="1" t="s">
        <v>4974</v>
      </c>
      <c r="D4980" s="3" t="str">
        <f>IFERROR(__xludf.DUMMYFUNCTION("GOOGLETRANSLATE(C4980,""en"",""pl"")"),"pogrzeby")</f>
        <v>pogrzeby</v>
      </c>
    </row>
    <row r="4981">
      <c r="C4981" s="1" t="s">
        <v>4975</v>
      </c>
      <c r="D4981" s="3" t="str">
        <f>IFERROR(__xludf.DUMMYFUNCTION("GOOGLETRANSLATE(C4981,""en"",""pl"")"),"krytykować")</f>
        <v>krytykować</v>
      </c>
    </row>
    <row r="4982">
      <c r="C4982" s="1" t="s">
        <v>4976</v>
      </c>
      <c r="D4982" s="3" t="str">
        <f>IFERROR(__xludf.DUMMYFUNCTION("GOOGLETRANSLATE(C4982,""en"",""pl"")"),"Żaklina")</f>
        <v>Żaklina</v>
      </c>
    </row>
    <row r="4983">
      <c r="C4983" s="1" t="s">
        <v>4977</v>
      </c>
      <c r="D4983" s="3" t="str">
        <f>IFERROR(__xludf.DUMMYFUNCTION("GOOGLETRANSLATE(C4983,""en"",""pl"")"),"las")</f>
        <v>las</v>
      </c>
    </row>
    <row r="4984">
      <c r="C4984" s="1" t="s">
        <v>4978</v>
      </c>
      <c r="D4984" s="3" t="str">
        <f>IFERROR(__xludf.DUMMYFUNCTION("GOOGLETRANSLATE(C4984,""en"",""pl"")"),"Szun")</f>
        <v>Szun</v>
      </c>
    </row>
    <row r="4985">
      <c r="C4985" s="1" t="s">
        <v>4979</v>
      </c>
      <c r="D4985" s="3" t="str">
        <f>IFERROR(__xludf.DUMMYFUNCTION("GOOGLETRANSLATE(C4985,""en"",""pl"")"),"kontynentalny")</f>
        <v>kontynentalny</v>
      </c>
    </row>
    <row r="4986">
      <c r="C4986" s="1" t="s">
        <v>4980</v>
      </c>
      <c r="D4986" s="3" t="str">
        <f>IFERROR(__xludf.DUMMYFUNCTION("GOOGLETRANSLATE(C4986,""en"",""pl"")"),"księgarnia")</f>
        <v>księgarnia</v>
      </c>
    </row>
    <row r="4987">
      <c r="C4987" s="1" t="s">
        <v>4981</v>
      </c>
      <c r="D4987" s="3" t="str">
        <f>IFERROR(__xludf.DUMMYFUNCTION("GOOGLETRANSLATE(C4987,""en"",""pl"")"),"zrównoważony")</f>
        <v>zrównoważony</v>
      </c>
    </row>
    <row r="4988">
      <c r="C4988" s="1" t="s">
        <v>4982</v>
      </c>
      <c r="D4988" s="3" t="str">
        <f>IFERROR(__xludf.DUMMYFUNCTION("GOOGLETRANSLATE(C4988,""en"",""pl"")"),"miejsce pracy")</f>
        <v>miejsce pracy</v>
      </c>
    </row>
    <row r="4989">
      <c r="C4989" s="1" t="s">
        <v>4983</v>
      </c>
      <c r="D4989" s="3" t="str">
        <f>IFERROR(__xludf.DUMMYFUNCTION("GOOGLETRANSLATE(C4989,""en"",""pl"")"),"teta")</f>
        <v>teta</v>
      </c>
    </row>
    <row r="4990">
      <c r="C4990" s="1" t="s">
        <v>4984</v>
      </c>
      <c r="D4990" s="3" t="str">
        <f>IFERROR(__xludf.DUMMYFUNCTION("GOOGLETRANSLATE(C4990,""en"",""pl"")"),"Ramsey")</f>
        <v>Ramsey</v>
      </c>
    </row>
    <row r="4991">
      <c r="C4991" s="1" t="s">
        <v>4985</v>
      </c>
      <c r="D4991" s="3" t="str">
        <f>IFERROR(__xludf.DUMMYFUNCTION("GOOGLETRANSLATE(C4991,""en"",""pl"")"),"dixi")</f>
        <v>dixi</v>
      </c>
    </row>
    <row r="4992">
      <c r="C4992" s="1" t="s">
        <v>4986</v>
      </c>
      <c r="D4992" s="3" t="str">
        <f>IFERROR(__xludf.DUMMYFUNCTION("GOOGLETRANSLATE(C4992,""en"",""pl"")"),"bankierzy")</f>
        <v>bankierzy</v>
      </c>
    </row>
    <row r="4993">
      <c r="C4993" s="1" t="s">
        <v>4987</v>
      </c>
      <c r="D4993" s="3" t="str">
        <f>IFERROR(__xludf.DUMMYFUNCTION("GOOGLETRANSLATE(C4993,""en"",""pl"")"),"idiota")</f>
        <v>idiota</v>
      </c>
    </row>
    <row r="4994">
      <c r="C4994" s="1" t="s">
        <v>4988</v>
      </c>
      <c r="D4994" s="3" t="str">
        <f>IFERROR(__xludf.DUMMYFUNCTION("GOOGLETRANSLATE(C4994,""en"",""pl"")"),"przesądny")</f>
        <v>przesądny</v>
      </c>
    </row>
    <row r="4995">
      <c r="C4995" s="1" t="s">
        <v>4989</v>
      </c>
      <c r="D4995" s="3" t="str">
        <f>IFERROR(__xludf.DUMMYFUNCTION("GOOGLETRANSLATE(C4995,""en"",""pl"")"),"klauzula")</f>
        <v>klauzula</v>
      </c>
    </row>
    <row r="4996">
      <c r="C4996" s="1" t="s">
        <v>4990</v>
      </c>
      <c r="D4996" s="3" t="str">
        <f>IFERROR(__xludf.DUMMYFUNCTION("GOOGLETRANSLATE(C4996,""en"",""pl"")"),"banialuki")</f>
        <v>banialuki</v>
      </c>
    </row>
    <row r="4997">
      <c r="C4997" s="1" t="s">
        <v>4991</v>
      </c>
      <c r="D4997" s="3" t="str">
        <f>IFERROR(__xludf.DUMMYFUNCTION("GOOGLETRANSLATE(C4997,""en"",""pl"")"),"Benet")</f>
        <v>Benet</v>
      </c>
    </row>
    <row r="4998">
      <c r="C4998" s="1" t="s">
        <v>4992</v>
      </c>
      <c r="D4998" s="3" t="str">
        <f>IFERROR(__xludf.DUMMYFUNCTION("GOOGLETRANSLATE(C4998,""en"",""pl"")"),"zadania")</f>
        <v>zadania</v>
      </c>
    </row>
    <row r="4999">
      <c r="C4999" s="1" t="s">
        <v>4993</v>
      </c>
      <c r="D4999" s="3" t="str">
        <f>IFERROR(__xludf.DUMMYFUNCTION("GOOGLETRANSLATE(C4999,""en"",""pl"")"),"radny")</f>
        <v>radny</v>
      </c>
    </row>
    <row r="5000">
      <c r="C5000" s="1" t="s">
        <v>4994</v>
      </c>
      <c r="D5000" s="3" t="str">
        <f>IFERROR(__xludf.DUMMYFUNCTION("GOOGLETRANSLATE(C5000,""en"",""pl"")"),"slogan")</f>
        <v>slogan</v>
      </c>
    </row>
    <row r="5001">
      <c r="C5001" s="1" t="s">
        <v>4995</v>
      </c>
      <c r="D5001" s="3" t="str">
        <f>IFERROR(__xludf.DUMMYFUNCTION("GOOGLETRANSLATE(C5001,""en"",""pl"")"),"trójca")</f>
        <v>trójca</v>
      </c>
    </row>
    <row r="5002">
      <c r="C5002" s="1" t="s">
        <v>4996</v>
      </c>
      <c r="D5002" s="3" t="str">
        <f>IFERROR(__xludf.DUMMYFUNCTION("GOOGLETRANSLATE(C5002,""en"",""pl"")"),"kwadrant")</f>
        <v>kwadrant</v>
      </c>
    </row>
    <row r="5003">
      <c r="C5003" s="1" t="s">
        <v>4997</v>
      </c>
      <c r="D5003" s="3" t="str">
        <f>IFERROR(__xludf.DUMMYFUNCTION("GOOGLETRANSLATE(C5003,""en"",""pl"")"),"wsiadł")</f>
        <v>wsiadł</v>
      </c>
    </row>
    <row r="5004">
      <c r="C5004" s="1" t="s">
        <v>4998</v>
      </c>
      <c r="D5004" s="3" t="str">
        <f>IFERROR(__xludf.DUMMYFUNCTION("GOOGLETRANSLATE(C5004,""en"",""pl"")"),"kość słoniowa")</f>
        <v>kość słoniowa</v>
      </c>
    </row>
    <row r="5005">
      <c r="C5005" s="1" t="s">
        <v>4999</v>
      </c>
      <c r="D5005" s="3" t="str">
        <f>IFERROR(__xludf.DUMMYFUNCTION("GOOGLETRANSLATE(C5005,""en"",""pl"")"),"prędkość")</f>
        <v>prędkość</v>
      </c>
    </row>
    <row r="5006">
      <c r="C5006" s="1" t="s">
        <v>5000</v>
      </c>
      <c r="D5006" s="3" t="str">
        <f>IFERROR(__xludf.DUMMYFUNCTION("GOOGLETRANSLATE(C5006,""en"",""pl"")"),"kompozytor")</f>
        <v>kompozytor</v>
      </c>
    </row>
    <row r="5007">
      <c r="C5007" s="1" t="s">
        <v>5001</v>
      </c>
      <c r="D5007" s="3" t="str">
        <f>IFERROR(__xludf.DUMMYFUNCTION("GOOGLETRANSLATE(C5007,""en"",""pl"")"),"mccarthy")</f>
        <v>mccarthy</v>
      </c>
    </row>
    <row r="5008">
      <c r="C5008" s="1" t="s">
        <v>5002</v>
      </c>
      <c r="D5008" s="3" t="str">
        <f>IFERROR(__xludf.DUMMYFUNCTION("GOOGLETRANSLATE(C5008,""en"",""pl"")"),"zapoczątkowany")</f>
        <v>zapoczątkowany</v>
      </c>
    </row>
    <row r="5009">
      <c r="C5009" s="1" t="s">
        <v>5003</v>
      </c>
      <c r="D5009" s="3" t="str">
        <f>IFERROR(__xludf.DUMMYFUNCTION("GOOGLETRANSLATE(C5009,""en"",""pl"")"),"ukryty")</f>
        <v>ukryty</v>
      </c>
    </row>
    <row r="5010">
      <c r="C5010" s="1" t="s">
        <v>5004</v>
      </c>
      <c r="D5010" s="3" t="str">
        <f>IFERROR(__xludf.DUMMYFUNCTION("GOOGLETRANSLATE(C5010,""en"",""pl"")"),"budowniczy")</f>
        <v>budowniczy</v>
      </c>
    </row>
    <row r="5011">
      <c r="C5011" s="1" t="s">
        <v>5005</v>
      </c>
      <c r="D5011" s="3" t="str">
        <f>IFERROR(__xludf.DUMMYFUNCTION("GOOGLETRANSLATE(C5011,""en"",""pl"")"),"nieistotny")</f>
        <v>nieistotny</v>
      </c>
    </row>
    <row r="5012">
      <c r="C5012" s="1" t="s">
        <v>5006</v>
      </c>
      <c r="D5012" s="3" t="str">
        <f>IFERROR(__xludf.DUMMYFUNCTION("GOOGLETRANSLATE(C5012,""en"",""pl"")"),"straszny")</f>
        <v>straszny</v>
      </c>
    </row>
    <row r="5013">
      <c r="C5013" s="1" t="s">
        <v>5007</v>
      </c>
      <c r="D5013" s="3" t="str">
        <f>IFERROR(__xludf.DUMMYFUNCTION("GOOGLETRANSLATE(C5013,""en"",""pl"")"),"koła zębate")</f>
        <v>koła zębate</v>
      </c>
    </row>
    <row r="5014">
      <c r="C5014" s="1" t="s">
        <v>5008</v>
      </c>
      <c r="D5014" s="3" t="str">
        <f>IFERROR(__xludf.DUMMYFUNCTION("GOOGLETRANSLATE(C5014,""en"",""pl"")"),"zastosować się")</f>
        <v>zastosować się</v>
      </c>
    </row>
    <row r="5015">
      <c r="C5015" s="1" t="s">
        <v>5009</v>
      </c>
      <c r="D5015" s="3" t="str">
        <f>IFERROR(__xludf.DUMMYFUNCTION("GOOGLETRANSLATE(C5015,""en"",""pl"")"),"referencje")</f>
        <v>referencje</v>
      </c>
    </row>
    <row r="5016">
      <c r="C5016" s="1" t="s">
        <v>5010</v>
      </c>
      <c r="D5016" s="3" t="str">
        <f>IFERROR(__xludf.DUMMYFUNCTION("GOOGLETRANSLATE(C5016,""en"",""pl"")"),"organizacje")</f>
        <v>organizacje</v>
      </c>
    </row>
    <row r="5017">
      <c r="C5017" s="1" t="s">
        <v>5011</v>
      </c>
      <c r="D5017" s="3" t="str">
        <f>IFERROR(__xludf.DUMMYFUNCTION("GOOGLETRANSLATE(C5017,""en"",""pl"")"),"klaskać")</f>
        <v>klaskać</v>
      </c>
    </row>
    <row r="5018">
      <c r="C5018" s="1" t="s">
        <v>5012</v>
      </c>
      <c r="D5018" s="3" t="str">
        <f>IFERROR(__xludf.DUMMYFUNCTION("GOOGLETRANSLATE(C5018,""en"",""pl"")"),"tendencja")</f>
        <v>tendencja</v>
      </c>
    </row>
    <row r="5019">
      <c r="C5019" s="1" t="s">
        <v>5013</v>
      </c>
      <c r="D5019" s="3" t="str">
        <f>IFERROR(__xludf.DUMMYFUNCTION("GOOGLETRANSLATE(C5019,""en"",""pl"")"),"opatrzność")</f>
        <v>opatrzność</v>
      </c>
    </row>
    <row r="5020">
      <c r="C5020" s="1" t="s">
        <v>5014</v>
      </c>
      <c r="D5020" s="3" t="str">
        <f>IFERROR(__xludf.DUMMYFUNCTION("GOOGLETRANSLATE(C5020,""en"",""pl"")"),"blask")</f>
        <v>blask</v>
      </c>
    </row>
    <row r="5021">
      <c r="C5021" s="1" t="s">
        <v>5015</v>
      </c>
      <c r="D5021" s="3" t="str">
        <f>IFERROR(__xludf.DUMMYFUNCTION("GOOGLETRANSLATE(C5021,""en"",""pl"")"),"pała")</f>
        <v>pała</v>
      </c>
    </row>
    <row r="5022">
      <c r="C5022" s="1" t="s">
        <v>5016</v>
      </c>
      <c r="D5022" s="3" t="str">
        <f>IFERROR(__xludf.DUMMYFUNCTION("GOOGLETRANSLATE(C5022,""en"",""pl"")"),"bom")</f>
        <v>bom</v>
      </c>
    </row>
    <row r="5023">
      <c r="C5023" s="1" t="s">
        <v>5017</v>
      </c>
      <c r="D5023" s="3" t="str">
        <f>IFERROR(__xludf.DUMMYFUNCTION("GOOGLETRANSLATE(C5023,""en"",""pl"")"),"darowizny")</f>
        <v>darowizny</v>
      </c>
    </row>
    <row r="5024">
      <c r="C5024" s="1" t="s">
        <v>5018</v>
      </c>
      <c r="D5024" s="3" t="str">
        <f>IFERROR(__xludf.DUMMYFUNCTION("GOOGLETRANSLATE(C5024,""en"",""pl"")"),"powódź")</f>
        <v>powódź</v>
      </c>
    </row>
    <row r="5025">
      <c r="C5025" s="1" t="s">
        <v>5019</v>
      </c>
      <c r="D5025" s="3" t="str">
        <f>IFERROR(__xludf.DUMMYFUNCTION("GOOGLETRANSLATE(C5025,""en"",""pl"")"),"utrzymany")</f>
        <v>utrzymany</v>
      </c>
    </row>
    <row r="5026">
      <c r="C5026" s="1" t="s">
        <v>5020</v>
      </c>
      <c r="D5026" s="3" t="str">
        <f>IFERROR(__xludf.DUMMYFUNCTION("GOOGLETRANSLATE(C5026,""en"",""pl"")"),"padający śnieg")</f>
        <v>padający śnieg</v>
      </c>
    </row>
    <row r="5027">
      <c r="C5027" s="1" t="s">
        <v>5021</v>
      </c>
      <c r="D5027" s="3" t="str">
        <f>IFERROR(__xludf.DUMMYFUNCTION("GOOGLETRANSLATE(C5027,""en"",""pl"")"),"Szaolin")</f>
        <v>Szaolin</v>
      </c>
    </row>
    <row r="5028">
      <c r="C5028" s="1" t="s">
        <v>5022</v>
      </c>
      <c r="D5028" s="3" t="str">
        <f>IFERROR(__xludf.DUMMYFUNCTION("GOOGLETRANSLATE(C5028,""en"",""pl"")"),"Pani")</f>
        <v>Pani</v>
      </c>
    </row>
    <row r="5029">
      <c r="C5029" s="1" t="s">
        <v>5023</v>
      </c>
      <c r="D5029" s="3" t="str">
        <f>IFERROR(__xludf.DUMMYFUNCTION("GOOGLETRANSLATE(C5029,""en"",""pl"")"),"artefakty")</f>
        <v>artefakty</v>
      </c>
    </row>
    <row r="5030">
      <c r="C5030" s="1" t="s">
        <v>5024</v>
      </c>
      <c r="D5030" s="3" t="str">
        <f>IFERROR(__xludf.DUMMYFUNCTION("GOOGLETRANSLATE(C5030,""en"",""pl"")"),"rzekomo")</f>
        <v>rzekomo</v>
      </c>
    </row>
    <row r="5031">
      <c r="C5031" s="1" t="s">
        <v>5025</v>
      </c>
      <c r="D5031" s="3" t="str">
        <f>IFERROR(__xludf.DUMMYFUNCTION("GOOGLETRANSLATE(C5031,""en"",""pl"")"),"wycie")</f>
        <v>wycie</v>
      </c>
    </row>
    <row r="5032">
      <c r="C5032" s="1" t="s">
        <v>5026</v>
      </c>
      <c r="D5032" s="3" t="str">
        <f>IFERROR(__xludf.DUMMYFUNCTION("GOOGLETRANSLATE(C5032,""en"",""pl"")"),"wdrożyć")</f>
        <v>wdrożyć</v>
      </c>
    </row>
    <row r="5033">
      <c r="C5033" s="1" t="s">
        <v>5027</v>
      </c>
      <c r="D5033" s="3" t="str">
        <f>IFERROR(__xludf.DUMMYFUNCTION("GOOGLETRANSLATE(C5033,""en"",""pl"")"),"czas na pokaz")</f>
        <v>czas na pokaz</v>
      </c>
    </row>
    <row r="5034">
      <c r="C5034" s="1" t="s">
        <v>5028</v>
      </c>
      <c r="D5034" s="3" t="str">
        <f>IFERROR(__xludf.DUMMYFUNCTION("GOOGLETRANSLATE(C5034,""en"",""pl"")"),"cierń")</f>
        <v>cierń</v>
      </c>
    </row>
    <row r="5035">
      <c r="C5035" s="1" t="s">
        <v>5029</v>
      </c>
      <c r="D5035" s="3" t="str">
        <f>IFERROR(__xludf.DUMMYFUNCTION("GOOGLETRANSLATE(C5035,""en"",""pl"")"),"zeznanie")</f>
        <v>zeznanie</v>
      </c>
    </row>
    <row r="5036">
      <c r="C5036" s="1" t="s">
        <v>5030</v>
      </c>
      <c r="D5036" s="3" t="str">
        <f>IFERROR(__xludf.DUMMYFUNCTION("GOOGLETRANSLATE(C5036,""en"",""pl"")"),"złamania")</f>
        <v>złamania</v>
      </c>
    </row>
    <row r="5037">
      <c r="C5037" s="1" t="s">
        <v>5031</v>
      </c>
      <c r="D5037" s="3" t="str">
        <f>IFERROR(__xludf.DUMMYFUNCTION("GOOGLETRANSLATE(C5037,""en"",""pl"")"),"uścisk ręki")</f>
        <v>uścisk ręki</v>
      </c>
    </row>
    <row r="5038">
      <c r="C5038" s="1" t="s">
        <v>5032</v>
      </c>
      <c r="D5038" s="3" t="str">
        <f>IFERROR(__xludf.DUMMYFUNCTION("GOOGLETRANSLATE(C5038,""en"",""pl"")"),"zaniedbanie")</f>
        <v>zaniedbanie</v>
      </c>
    </row>
    <row r="5039">
      <c r="C5039" s="1" t="s">
        <v>5033</v>
      </c>
      <c r="D5039" s="3" t="str">
        <f>IFERROR(__xludf.DUMMYFUNCTION("GOOGLETRANSLATE(C5039,""en"",""pl"")"),"dostosowany")</f>
        <v>dostosowany</v>
      </c>
    </row>
    <row r="5040">
      <c r="C5040" s="1" t="s">
        <v>5034</v>
      </c>
      <c r="D5040" s="3" t="str">
        <f>IFERROR(__xludf.DUMMYFUNCTION("GOOGLETRANSLATE(C5040,""en"",""pl"")"),"patrole")</f>
        <v>patrole</v>
      </c>
    </row>
    <row r="5041">
      <c r="C5041" s="1" t="s">
        <v>5035</v>
      </c>
      <c r="D5041" s="3" t="str">
        <f>IFERROR(__xludf.DUMMYFUNCTION("GOOGLETRANSLATE(C5041,""en"",""pl"")"),"szczęśliwość")</f>
        <v>szczęśliwość</v>
      </c>
    </row>
    <row r="5042">
      <c r="C5042" s="1" t="s">
        <v>5036</v>
      </c>
      <c r="D5042" s="3" t="str">
        <f>IFERROR(__xludf.DUMMYFUNCTION("GOOGLETRANSLATE(C5042,""en"",""pl"")"),"cyber")</f>
        <v>cyber</v>
      </c>
    </row>
    <row r="5043">
      <c r="C5043" s="1" t="s">
        <v>5037</v>
      </c>
      <c r="D5043" s="3" t="str">
        <f>IFERROR(__xludf.DUMMYFUNCTION("GOOGLETRANSLATE(C5043,""en"",""pl"")"),"ciepełko")</f>
        <v>ciepełko</v>
      </c>
    </row>
    <row r="5044">
      <c r="C5044" s="1" t="s">
        <v>5038</v>
      </c>
      <c r="D5044" s="3" t="str">
        <f>IFERROR(__xludf.DUMMYFUNCTION("GOOGLETRANSLATE(C5044,""en"",""pl"")"),"protokoły")</f>
        <v>protokoły</v>
      </c>
    </row>
    <row r="5045">
      <c r="C5045" s="1" t="s">
        <v>5039</v>
      </c>
      <c r="D5045" s="3" t="str">
        <f>IFERROR(__xludf.DUMMYFUNCTION("GOOGLETRANSLATE(C5045,""en"",""pl"")"),"zaległy")</f>
        <v>zaległy</v>
      </c>
    </row>
    <row r="5046">
      <c r="C5046" s="1" t="s">
        <v>5040</v>
      </c>
      <c r="D5046" s="3" t="str">
        <f>IFERROR(__xludf.DUMMYFUNCTION("GOOGLETRANSLATE(C5046,""en"",""pl"")"),"zabójca")</f>
        <v>zabójca</v>
      </c>
    </row>
    <row r="5047">
      <c r="C5047" s="1" t="s">
        <v>5041</v>
      </c>
      <c r="D5047" s="3" t="str">
        <f>IFERROR(__xludf.DUMMYFUNCTION("GOOGLETRANSLATE(C5047,""en"",""pl"")"),"słuchawki")</f>
        <v>słuchawki</v>
      </c>
    </row>
    <row r="5048">
      <c r="C5048" s="1" t="s">
        <v>5042</v>
      </c>
      <c r="D5048" s="3" t="str">
        <f>IFERROR(__xludf.DUMMYFUNCTION("GOOGLETRANSLATE(C5048,""en"",""pl"")"),"tożsamości")</f>
        <v>tożsamości</v>
      </c>
    </row>
    <row r="5049">
      <c r="C5049" s="1" t="s">
        <v>5043</v>
      </c>
      <c r="D5049" s="3" t="str">
        <f>IFERROR(__xludf.DUMMYFUNCTION("GOOGLETRANSLATE(C5049,""en"",""pl"")"),"wyznaczać")</f>
        <v>wyznaczać</v>
      </c>
    </row>
    <row r="5050">
      <c r="C5050" s="1" t="s">
        <v>5044</v>
      </c>
      <c r="D5050" s="3" t="str">
        <f>IFERROR(__xludf.DUMMYFUNCTION("GOOGLETRANSLATE(C5050,""en"",""pl"")"),"obrót")</f>
        <v>obrót</v>
      </c>
    </row>
    <row r="5051">
      <c r="C5051" s="1" t="s">
        <v>5045</v>
      </c>
      <c r="D5051" s="3" t="str">
        <f>IFERROR(__xludf.DUMMYFUNCTION("GOOGLETRANSLATE(C5051,""en"",""pl"")"),"wyłącznie")</f>
        <v>wyłącznie</v>
      </c>
    </row>
    <row r="5052">
      <c r="C5052" s="1" t="s">
        <v>5046</v>
      </c>
      <c r="D5052" s="3" t="str">
        <f>IFERROR(__xludf.DUMMYFUNCTION("GOOGLETRANSLATE(C5052,""en"",""pl"")"),"Tasza")</f>
        <v>Tasza</v>
      </c>
    </row>
    <row r="5053">
      <c r="C5053" s="1" t="s">
        <v>5047</v>
      </c>
      <c r="D5053" s="3" t="str">
        <f>IFERROR(__xludf.DUMMYFUNCTION("GOOGLETRANSLATE(C5053,""en"",""pl"")"),"starzenie się")</f>
        <v>starzenie się</v>
      </c>
    </row>
    <row r="5054">
      <c r="C5054" s="1" t="s">
        <v>5048</v>
      </c>
      <c r="D5054" s="3" t="str">
        <f>IFERROR(__xludf.DUMMYFUNCTION("GOOGLETRANSLATE(C5054,""en"",""pl"")"),"rzucanie")</f>
        <v>rzucanie</v>
      </c>
    </row>
    <row r="5055">
      <c r="C5055" s="1" t="s">
        <v>5049</v>
      </c>
      <c r="D5055" s="3" t="str">
        <f>IFERROR(__xludf.DUMMYFUNCTION("GOOGLETRANSLATE(C5055,""en"",""pl"")"),"badanie")</f>
        <v>badanie</v>
      </c>
    </row>
    <row r="5056">
      <c r="C5056" s="1" t="s">
        <v>5050</v>
      </c>
      <c r="D5056" s="3" t="str">
        <f>IFERROR(__xludf.DUMMYFUNCTION("GOOGLETRANSLATE(C5056,""en"",""pl"")"),"oglądanie")</f>
        <v>oglądanie</v>
      </c>
    </row>
    <row r="5057">
      <c r="C5057" s="1" t="s">
        <v>5051</v>
      </c>
      <c r="D5057" s="3" t="str">
        <f>IFERROR(__xludf.DUMMYFUNCTION("GOOGLETRANSLATE(C5057,""en"",""pl"")"),"zapamiętać")</f>
        <v>zapamiętać</v>
      </c>
    </row>
    <row r="5058">
      <c r="C5058" s="1" t="s">
        <v>5052</v>
      </c>
      <c r="D5058" s="3" t="str">
        <f>IFERROR(__xludf.DUMMYFUNCTION("GOOGLETRANSLATE(C5058,""en"",""pl"")"),"odświeżać")</f>
        <v>odświeżać</v>
      </c>
    </row>
    <row r="5059">
      <c r="C5059" s="1" t="s">
        <v>5053</v>
      </c>
      <c r="D5059" s="3" t="str">
        <f>IFERROR(__xludf.DUMMYFUNCTION("GOOGLETRANSLATE(C5059,""en"",""pl"")"),"mango")</f>
        <v>mango</v>
      </c>
    </row>
    <row r="5060">
      <c r="C5060" s="1" t="s">
        <v>5054</v>
      </c>
      <c r="D5060" s="3" t="str">
        <f>IFERROR(__xludf.DUMMYFUNCTION("GOOGLETRANSLATE(C5060,""en"",""pl"")"),"cenny")</f>
        <v>cenny</v>
      </c>
    </row>
    <row r="5061">
      <c r="C5061" s="1" t="s">
        <v>5055</v>
      </c>
      <c r="D5061" s="3" t="str">
        <f>IFERROR(__xludf.DUMMYFUNCTION("GOOGLETRANSLATE(C5061,""en"",""pl"")"),"sonar")</f>
        <v>sonar</v>
      </c>
    </row>
    <row r="5062">
      <c r="C5062" s="1" t="s">
        <v>5056</v>
      </c>
      <c r="D5062" s="3" t="str">
        <f>IFERROR(__xludf.DUMMYFUNCTION("GOOGLETRANSLATE(C5062,""en"",""pl"")"),"krychton")</f>
        <v>krychton</v>
      </c>
    </row>
    <row r="5063">
      <c r="C5063" s="1" t="s">
        <v>5057</v>
      </c>
      <c r="D5063" s="3" t="str">
        <f>IFERROR(__xludf.DUMMYFUNCTION("GOOGLETRANSLATE(C5063,""en"",""pl"")"),"rozkład")</f>
        <v>rozkład</v>
      </c>
    </row>
    <row r="5064">
      <c r="C5064" s="1" t="s">
        <v>5058</v>
      </c>
      <c r="D5064" s="3" t="str">
        <f>IFERROR(__xludf.DUMMYFUNCTION("GOOGLETRANSLATE(C5064,""en"",""pl"")"),"ue")</f>
        <v>ue</v>
      </c>
    </row>
    <row r="5065">
      <c r="C5065" s="1" t="s">
        <v>5059</v>
      </c>
      <c r="D5065" s="3" t="str">
        <f>IFERROR(__xludf.DUMMYFUNCTION("GOOGLETRANSLATE(C5065,""en"",""pl"")"),"zmrok")</f>
        <v>zmrok</v>
      </c>
    </row>
    <row r="5066">
      <c r="C5066" s="1" t="s">
        <v>5060</v>
      </c>
      <c r="D5066" s="3" t="str">
        <f>IFERROR(__xludf.DUMMYFUNCTION("GOOGLETRANSLATE(C5066,""en"",""pl"")"),"oliwki")</f>
        <v>oliwki</v>
      </c>
    </row>
    <row r="5067">
      <c r="C5067" s="1" t="s">
        <v>5061</v>
      </c>
      <c r="D5067" s="3" t="str">
        <f>IFERROR(__xludf.DUMMYFUNCTION("GOOGLETRANSLATE(C5067,""en"",""pl"")"),"miniaturowy")</f>
        <v>miniaturowy</v>
      </c>
    </row>
    <row r="5068">
      <c r="C5068" s="1" t="s">
        <v>5062</v>
      </c>
      <c r="D5068" s="3" t="str">
        <f>IFERROR(__xludf.DUMMYFUNCTION("GOOGLETRANSLATE(C5068,""en"",""pl"")"),"omen")</f>
        <v>omen</v>
      </c>
    </row>
    <row r="5069">
      <c r="C5069" s="1" t="s">
        <v>5063</v>
      </c>
      <c r="D5069" s="3" t="str">
        <f>IFERROR(__xludf.DUMMYFUNCTION("GOOGLETRANSLATE(C5069,""en"",""pl"")"),"Krystyna")</f>
        <v>Krystyna</v>
      </c>
    </row>
    <row r="5070">
      <c r="C5070" s="1" t="s">
        <v>5064</v>
      </c>
      <c r="D5070" s="3" t="str">
        <f>IFERROR(__xludf.DUMMYFUNCTION("GOOGLETRANSLATE(C5070,""en"",""pl"")"),"Bai")</f>
        <v>Bai</v>
      </c>
    </row>
    <row r="5071">
      <c r="C5071" s="1" t="s">
        <v>5065</v>
      </c>
      <c r="D5071" s="3" t="str">
        <f>IFERROR(__xludf.DUMMYFUNCTION("GOOGLETRANSLATE(C5071,""en"",""pl"")"),"co-co")</f>
        <v>co-co</v>
      </c>
    </row>
    <row r="5072">
      <c r="C5072" s="1" t="s">
        <v>5066</v>
      </c>
      <c r="D5072" s="3" t="str">
        <f>IFERROR(__xludf.DUMMYFUNCTION("GOOGLETRANSLATE(C5072,""en"",""pl"")"),"kolega")</f>
        <v>kolega</v>
      </c>
    </row>
    <row r="5073">
      <c r="C5073" s="1" t="s">
        <v>5067</v>
      </c>
      <c r="D5073" s="3" t="str">
        <f>IFERROR(__xludf.DUMMYFUNCTION("GOOGLETRANSLATE(C5073,""en"",""pl"")"),"oddział")</f>
        <v>oddział</v>
      </c>
    </row>
    <row r="5074">
      <c r="C5074" s="1" t="s">
        <v>5068</v>
      </c>
      <c r="D5074" s="3" t="str">
        <f>IFERROR(__xludf.DUMMYFUNCTION("GOOGLETRANSLATE(C5074,""en"",""pl"")"),"bunt")</f>
        <v>bunt</v>
      </c>
    </row>
    <row r="5075">
      <c r="C5075" s="1" t="s">
        <v>5069</v>
      </c>
      <c r="D5075" s="3" t="str">
        <f>IFERROR(__xludf.DUMMYFUNCTION("GOOGLETRANSLATE(C5075,""en"",""pl"")"),"opiekacz")</f>
        <v>opiekacz</v>
      </c>
    </row>
    <row r="5076">
      <c r="C5076" s="1" t="s">
        <v>5070</v>
      </c>
      <c r="D5076" s="3" t="str">
        <f>IFERROR(__xludf.DUMMYFUNCTION("GOOGLETRANSLATE(C5076,""en"",""pl"")"),"przęsło")</f>
        <v>przęsło</v>
      </c>
    </row>
    <row r="5077">
      <c r="C5077" s="1" t="s">
        <v>5071</v>
      </c>
      <c r="D5077" s="3" t="str">
        <f>IFERROR(__xludf.DUMMYFUNCTION("GOOGLETRANSLATE(C5077,""en"",""pl"")"),"landara")</f>
        <v>landara</v>
      </c>
    </row>
    <row r="5078">
      <c r="C5078" s="1" t="s">
        <v>5072</v>
      </c>
      <c r="D5078" s="3" t="str">
        <f>IFERROR(__xludf.DUMMYFUNCTION("GOOGLETRANSLATE(C5078,""en"",""pl"")"),"obwinia")</f>
        <v>obwinia</v>
      </c>
    </row>
    <row r="5079">
      <c r="C5079" s="1" t="s">
        <v>5073</v>
      </c>
      <c r="D5079" s="3" t="str">
        <f>IFERROR(__xludf.DUMMYFUNCTION("GOOGLETRANSLATE(C5079,""en"",""pl"")"),"mistyczny")</f>
        <v>mistyczny</v>
      </c>
    </row>
    <row r="5080">
      <c r="C5080" s="1" t="s">
        <v>5074</v>
      </c>
      <c r="D5080" s="3" t="str">
        <f>IFERROR(__xludf.DUMMYFUNCTION("GOOGLETRANSLATE(C5080,""en"",""pl"")"),"badacze")</f>
        <v>badacze</v>
      </c>
    </row>
    <row r="5081">
      <c r="C5081" s="1" t="s">
        <v>5075</v>
      </c>
      <c r="D5081" s="3" t="str">
        <f>IFERROR(__xludf.DUMMYFUNCTION("GOOGLETRANSLATE(C5081,""en"",""pl"")"),"wystawianie")</f>
        <v>wystawianie</v>
      </c>
    </row>
    <row r="5082">
      <c r="C5082" s="1" t="s">
        <v>5076</v>
      </c>
      <c r="D5082" s="3" t="str">
        <f>IFERROR(__xludf.DUMMYFUNCTION("GOOGLETRANSLATE(C5082,""en"",""pl"")"),"łajno")</f>
        <v>łajno</v>
      </c>
    </row>
    <row r="5083">
      <c r="C5083" s="1" t="s">
        <v>5077</v>
      </c>
      <c r="D5083" s="3" t="str">
        <f>IFERROR(__xludf.DUMMYFUNCTION("GOOGLETRANSLATE(C5083,""en"",""pl"")"),"walijski")</f>
        <v>walijski</v>
      </c>
    </row>
    <row r="5084">
      <c r="C5084" s="1" t="s">
        <v>5078</v>
      </c>
      <c r="D5084" s="3" t="str">
        <f>IFERROR(__xludf.DUMMYFUNCTION("GOOGLETRANSLATE(C5084,""en"",""pl"")"),"bractwo studenckie")</f>
        <v>bractwo studenckie</v>
      </c>
    </row>
    <row r="5085">
      <c r="C5085" s="1" t="s">
        <v>5079</v>
      </c>
      <c r="D5085" s="3" t="str">
        <f>IFERROR(__xludf.DUMMYFUNCTION("GOOGLETRANSLATE(C5085,""en"",""pl"")"),"wodospad")</f>
        <v>wodospad</v>
      </c>
    </row>
    <row r="5086">
      <c r="C5086" s="1" t="s">
        <v>5080</v>
      </c>
      <c r="D5086" s="3" t="str">
        <f>IFERROR(__xludf.DUMMYFUNCTION("GOOGLETRANSLATE(C5086,""en"",""pl"")"),"windy")</f>
        <v>windy</v>
      </c>
    </row>
    <row r="5087">
      <c r="C5087" s="1" t="s">
        <v>5081</v>
      </c>
      <c r="D5087" s="3" t="str">
        <f>IFERROR(__xludf.DUMMYFUNCTION("GOOGLETRANSLATE(C5087,""en"",""pl"")"),"oburzony")</f>
        <v>oburzony</v>
      </c>
    </row>
    <row r="5088">
      <c r="C5088" s="1" t="s">
        <v>5082</v>
      </c>
      <c r="D5088" s="3" t="str">
        <f>IFERROR(__xludf.DUMMYFUNCTION("GOOGLETRANSLATE(C5088,""en"",""pl"")"),"ojej")</f>
        <v>ojej</v>
      </c>
    </row>
    <row r="5089">
      <c r="C5089" s="1" t="s">
        <v>5083</v>
      </c>
      <c r="D5089" s="3" t="str">
        <f>IFERROR(__xludf.DUMMYFUNCTION("GOOGLETRANSLATE(C5089,""en"",""pl"")"),"przednia szyba")</f>
        <v>przednia szyba</v>
      </c>
    </row>
    <row r="5090">
      <c r="C5090" s="1" t="s">
        <v>5084</v>
      </c>
      <c r="D5090" s="3" t="str">
        <f>IFERROR(__xludf.DUMMYFUNCTION("GOOGLETRANSLATE(C5090,""en"",""pl"")"),"Akira")</f>
        <v>Akira</v>
      </c>
    </row>
    <row r="5091">
      <c r="C5091" s="1" t="s">
        <v>5085</v>
      </c>
      <c r="D5091" s="3" t="str">
        <f>IFERROR(__xludf.DUMMYFUNCTION("GOOGLETRANSLATE(C5091,""en"",""pl"")"),"utrzymywanie")</f>
        <v>utrzymywanie</v>
      </c>
    </row>
    <row r="5092">
      <c r="C5092" s="1" t="s">
        <v>5086</v>
      </c>
      <c r="D5092" s="3" t="str">
        <f>IFERROR(__xludf.DUMMYFUNCTION("GOOGLETRANSLATE(C5092,""en"",""pl"")"),"otrzymuje")</f>
        <v>otrzymuje</v>
      </c>
    </row>
    <row r="5093">
      <c r="C5093" s="1" t="s">
        <v>5087</v>
      </c>
      <c r="D5093" s="3" t="str">
        <f>IFERROR(__xludf.DUMMYFUNCTION("GOOGLETRANSLATE(C5093,""en"",""pl"")"),"plantacja")</f>
        <v>plantacja</v>
      </c>
    </row>
    <row r="5094">
      <c r="C5094" s="1" t="s">
        <v>5088</v>
      </c>
      <c r="D5094" s="3" t="str">
        <f>IFERROR(__xludf.DUMMYFUNCTION("GOOGLETRANSLATE(C5094,""en"",""pl"")"),"antena")</f>
        <v>antena</v>
      </c>
    </row>
    <row r="5095">
      <c r="C5095" s="1" t="s">
        <v>5089</v>
      </c>
      <c r="D5095" s="3" t="str">
        <f>IFERROR(__xludf.DUMMYFUNCTION("GOOGLETRANSLATE(C5095,""en"",""pl"")"),"ochroniarze")</f>
        <v>ochroniarze</v>
      </c>
    </row>
    <row r="5096">
      <c r="C5096" s="1" t="s">
        <v>5090</v>
      </c>
      <c r="D5096" s="3" t="str">
        <f>IFERROR(__xludf.DUMMYFUNCTION("GOOGLETRANSLATE(C5096,""en"",""pl"")"),"Hawana")</f>
        <v>Hawana</v>
      </c>
    </row>
    <row r="5097">
      <c r="C5097" s="1" t="s">
        <v>5091</v>
      </c>
      <c r="D5097" s="3" t="str">
        <f>IFERROR(__xludf.DUMMYFUNCTION("GOOGLETRANSLATE(C5097,""en"",""pl"")"),"Ania")</f>
        <v>Ania</v>
      </c>
    </row>
    <row r="5098">
      <c r="C5098" s="1" t="s">
        <v>5092</v>
      </c>
      <c r="D5098" s="3" t="str">
        <f>IFERROR(__xludf.DUMMYFUNCTION("GOOGLETRANSLATE(C5098,""en"",""pl"")"),"redagować")</f>
        <v>redagować</v>
      </c>
    </row>
    <row r="5099">
      <c r="C5099" s="1" t="s">
        <v>5093</v>
      </c>
      <c r="D5099" s="3" t="str">
        <f>IFERROR(__xludf.DUMMYFUNCTION("GOOGLETRANSLATE(C5099,""en"",""pl"")"),"powierzchowny")</f>
        <v>powierzchowny</v>
      </c>
    </row>
    <row r="5100">
      <c r="C5100" s="1" t="s">
        <v>5094</v>
      </c>
      <c r="D5100" s="3" t="str">
        <f>IFERROR(__xludf.DUMMYFUNCTION("GOOGLETRANSLATE(C5100,""en"",""pl"")"),"alergie")</f>
        <v>alergie</v>
      </c>
    </row>
    <row r="5101">
      <c r="C5101" s="1" t="s">
        <v>5095</v>
      </c>
      <c r="D5101" s="3" t="str">
        <f>IFERROR(__xludf.DUMMYFUNCTION("GOOGLETRANSLATE(C5101,""en"",""pl"")"),"zaprasza")</f>
        <v>zaprasza</v>
      </c>
    </row>
    <row r="5102">
      <c r="C5102" s="1" t="s">
        <v>5096</v>
      </c>
      <c r="D5102" s="3" t="str">
        <f>IFERROR(__xludf.DUMMYFUNCTION("GOOGLETRANSLATE(C5102,""en"",""pl"")"),"porównywanie")</f>
        <v>porównywanie</v>
      </c>
    </row>
    <row r="5103">
      <c r="C5103" s="1" t="s">
        <v>5097</v>
      </c>
      <c r="D5103" s="3" t="str">
        <f>IFERROR(__xludf.DUMMYFUNCTION("GOOGLETRANSLATE(C5103,""en"",""pl"")"),"sztylet")</f>
        <v>sztylet</v>
      </c>
    </row>
    <row r="5104">
      <c r="C5104" s="1" t="s">
        <v>5098</v>
      </c>
      <c r="D5104" s="3" t="str">
        <f>IFERROR(__xludf.DUMMYFUNCTION("GOOGLETRANSLATE(C5104,""en"",""pl"")"),"kreskówki")</f>
        <v>kreskówki</v>
      </c>
    </row>
    <row r="5105">
      <c r="C5105" s="1" t="s">
        <v>5099</v>
      </c>
      <c r="D5105" s="3" t="str">
        <f>IFERROR(__xludf.DUMMYFUNCTION("GOOGLETRANSLATE(C5105,""en"",""pl"")"),"Meksykanie")</f>
        <v>Meksykanie</v>
      </c>
    </row>
    <row r="5106">
      <c r="C5106" s="1" t="s">
        <v>5100</v>
      </c>
      <c r="D5106" s="3" t="str">
        <f>IFERROR(__xludf.DUMMYFUNCTION("GOOGLETRANSLATE(C5106,""en"",""pl"")"),"drewno")</f>
        <v>drewno</v>
      </c>
    </row>
    <row r="5107">
      <c r="C5107" s="1" t="s">
        <v>5101</v>
      </c>
      <c r="D5107" s="3" t="str">
        <f>IFERROR(__xludf.DUMMYFUNCTION("GOOGLETRANSLATE(C5107,""en"",""pl"")"),"nadzór")</f>
        <v>nadzór</v>
      </c>
    </row>
    <row r="5108">
      <c r="C5108" s="1" t="s">
        <v>5102</v>
      </c>
      <c r="D5108" s="3" t="str">
        <f>IFERROR(__xludf.DUMMYFUNCTION("GOOGLETRANSLATE(C5108,""en"",""pl"")"),"Syberia")</f>
        <v>Syberia</v>
      </c>
    </row>
    <row r="5109">
      <c r="C5109" s="1" t="s">
        <v>5103</v>
      </c>
      <c r="D5109" s="3" t="str">
        <f>IFERROR(__xludf.DUMMYFUNCTION("GOOGLETRANSLATE(C5109,""en"",""pl"")"),"meandrowy")</f>
        <v>meandrowy</v>
      </c>
    </row>
    <row r="5110">
      <c r="C5110" s="1" t="s">
        <v>5104</v>
      </c>
      <c r="D5110" s="3" t="str">
        <f>IFERROR(__xludf.DUMMYFUNCTION("GOOGLETRANSLATE(C5110,""en"",""pl"")"),"rdza")</f>
        <v>rdza</v>
      </c>
    </row>
    <row r="5111">
      <c r="C5111" s="1" t="s">
        <v>5105</v>
      </c>
      <c r="D5111" s="3" t="str">
        <f>IFERROR(__xludf.DUMMYFUNCTION("GOOGLETRANSLATE(C5111,""en"",""pl"")"),"intensywność")</f>
        <v>intensywność</v>
      </c>
    </row>
    <row r="5112">
      <c r="C5112" s="1" t="s">
        <v>5106</v>
      </c>
      <c r="D5112" s="3" t="str">
        <f>IFERROR(__xludf.DUMMYFUNCTION("GOOGLETRANSLATE(C5112,""en"",""pl"")"),"czkawka")</f>
        <v>czkawka</v>
      </c>
    </row>
    <row r="5113">
      <c r="C5113" s="1" t="s">
        <v>5107</v>
      </c>
      <c r="D5113" s="3" t="str">
        <f>IFERROR(__xludf.DUMMYFUNCTION("GOOGLETRANSLATE(C5113,""en"",""pl"")"),"François")</f>
        <v>François</v>
      </c>
    </row>
    <row r="5114">
      <c r="C5114" s="1" t="s">
        <v>5108</v>
      </c>
      <c r="D5114" s="3" t="str">
        <f>IFERROR(__xludf.DUMMYFUNCTION("GOOGLETRANSLATE(C5114,""en"",""pl"")"),"Jan")</f>
        <v>Jan</v>
      </c>
    </row>
    <row r="5115">
      <c r="C5115" s="1" t="s">
        <v>5109</v>
      </c>
      <c r="D5115" s="3" t="str">
        <f>IFERROR(__xludf.DUMMYFUNCTION("GOOGLETRANSLATE(C5115,""en"",""pl"")"),"jogging")</f>
        <v>jogging</v>
      </c>
    </row>
    <row r="5116">
      <c r="C5116" s="1" t="s">
        <v>5110</v>
      </c>
      <c r="D5116" s="3" t="str">
        <f>IFERROR(__xludf.DUMMYFUNCTION("GOOGLETRANSLATE(C5116,""en"",""pl"")"),"konfrontacja")</f>
        <v>konfrontacja</v>
      </c>
    </row>
    <row r="5117">
      <c r="C5117" s="1" t="s">
        <v>5111</v>
      </c>
      <c r="D5117" s="3" t="str">
        <f>IFERROR(__xludf.DUMMYFUNCTION("GOOGLETRANSLATE(C5117,""en"",""pl"")"),"ulotki")</f>
        <v>ulotki</v>
      </c>
    </row>
    <row r="5118">
      <c r="C5118" s="1" t="s">
        <v>5112</v>
      </c>
      <c r="D5118" s="3" t="str">
        <f>IFERROR(__xludf.DUMMYFUNCTION("GOOGLETRANSLATE(C5118,""en"",""pl"")"),"godny zaufania")</f>
        <v>godny zaufania</v>
      </c>
    </row>
    <row r="5119">
      <c r="C5119" s="1" t="s">
        <v>5113</v>
      </c>
      <c r="D5119" s="3" t="str">
        <f>IFERROR(__xludf.DUMMYFUNCTION("GOOGLETRANSLATE(C5119,""en"",""pl"")"),"jarvis")</f>
        <v>jarvis</v>
      </c>
    </row>
    <row r="5120">
      <c r="C5120" s="1" t="s">
        <v>5114</v>
      </c>
      <c r="D5120" s="3" t="str">
        <f>IFERROR(__xludf.DUMMYFUNCTION("GOOGLETRANSLATE(C5120,""en"",""pl"")"),"podstawka")</f>
        <v>podstawka</v>
      </c>
    </row>
    <row r="5121">
      <c r="C5121" s="1" t="s">
        <v>5115</v>
      </c>
      <c r="D5121" s="3" t="str">
        <f>IFERROR(__xludf.DUMMYFUNCTION("GOOGLETRANSLATE(C5121,""en"",""pl"")"),"ustęp")</f>
        <v>ustęp</v>
      </c>
    </row>
    <row r="5122">
      <c r="C5122" s="1" t="s">
        <v>5116</v>
      </c>
      <c r="D5122" s="3" t="str">
        <f>IFERROR(__xludf.DUMMYFUNCTION("GOOGLETRANSLATE(C5122,""en"",""pl"")"),"komary")</f>
        <v>komary</v>
      </c>
    </row>
    <row r="5123">
      <c r="C5123" s="1" t="s">
        <v>5117</v>
      </c>
      <c r="D5123" s="3" t="str">
        <f>IFERROR(__xludf.DUMMYFUNCTION("GOOGLETRANSLATE(C5123,""en"",""pl"")"),"żegnaj")</f>
        <v>żegnaj</v>
      </c>
    </row>
    <row r="5124">
      <c r="C5124" s="1" t="s">
        <v>5118</v>
      </c>
      <c r="D5124" s="3" t="str">
        <f>IFERROR(__xludf.DUMMYFUNCTION("GOOGLETRANSLATE(C5124,""en"",""pl"")"),"kochający")</f>
        <v>kochający</v>
      </c>
    </row>
    <row r="5125">
      <c r="C5125" s="1" t="s">
        <v>5119</v>
      </c>
      <c r="D5125" s="3" t="str">
        <f>IFERROR(__xludf.DUMMYFUNCTION("GOOGLETRANSLATE(C5125,""en"",""pl"")"),"niespodziewanie")</f>
        <v>niespodziewanie</v>
      </c>
    </row>
    <row r="5126">
      <c r="C5126" s="1" t="s">
        <v>5120</v>
      </c>
      <c r="D5126" s="3" t="str">
        <f>IFERROR(__xludf.DUMMYFUNCTION("GOOGLETRANSLATE(C5126,""en"",""pl"")"),"rosyjski")</f>
        <v>rosyjski</v>
      </c>
    </row>
    <row r="5127">
      <c r="C5127" s="1" t="s">
        <v>5121</v>
      </c>
      <c r="D5127" s="3" t="str">
        <f>IFERROR(__xludf.DUMMYFUNCTION("GOOGLETRANSLATE(C5127,""en"",""pl"")"),"bawić")</f>
        <v>bawić</v>
      </c>
    </row>
    <row r="5128">
      <c r="C5128" s="1" t="s">
        <v>5122</v>
      </c>
      <c r="D5128" s="3" t="str">
        <f>IFERROR(__xludf.DUMMYFUNCTION("GOOGLETRANSLATE(C5128,""en"",""pl"")"),"pluskanie")</f>
        <v>pluskanie</v>
      </c>
    </row>
    <row r="5129">
      <c r="C5129" s="1" t="s">
        <v>5123</v>
      </c>
      <c r="D5129" s="3" t="str">
        <f>IFERROR(__xludf.DUMMYFUNCTION("GOOGLETRANSLATE(C5129,""en"",""pl"")"),"Sowieci")</f>
        <v>Sowieci</v>
      </c>
    </row>
    <row r="5130">
      <c r="C5130" s="1" t="s">
        <v>5124</v>
      </c>
      <c r="D5130" s="3" t="str">
        <f>IFERROR(__xludf.DUMMYFUNCTION("GOOGLETRANSLATE(C5130,""en"",""pl"")"),"ciężarówka")</f>
        <v>ciężarówka</v>
      </c>
    </row>
    <row r="5131">
      <c r="C5131" s="1" t="s">
        <v>5125</v>
      </c>
      <c r="D5131" s="3" t="str">
        <f>IFERROR(__xludf.DUMMYFUNCTION("GOOGLETRANSLATE(C5131,""en"",""pl"")"),"zdominować")</f>
        <v>zdominować</v>
      </c>
    </row>
    <row r="5132">
      <c r="C5132" s="1" t="s">
        <v>5126</v>
      </c>
      <c r="D5132" s="3" t="str">
        <f>IFERROR(__xludf.DUMMYFUNCTION("GOOGLETRANSLATE(C5132,""en"",""pl"")"),"bundy")</f>
        <v>bundy</v>
      </c>
    </row>
    <row r="5133">
      <c r="C5133" s="1" t="s">
        <v>5127</v>
      </c>
      <c r="D5133" s="3" t="str">
        <f>IFERROR(__xludf.DUMMYFUNCTION("GOOGLETRANSLATE(C5133,""en"",""pl"")"),"jakub")</f>
        <v>jakub</v>
      </c>
    </row>
    <row r="5134">
      <c r="C5134" s="1" t="s">
        <v>5128</v>
      </c>
      <c r="D5134" s="3" t="str">
        <f>IFERROR(__xludf.DUMMYFUNCTION("GOOGLETRANSLATE(C5134,""en"",""pl"")"),"jp")</f>
        <v>jp</v>
      </c>
    </row>
    <row r="5135">
      <c r="C5135" s="1" t="s">
        <v>5129</v>
      </c>
      <c r="D5135" s="3" t="str">
        <f>IFERROR(__xludf.DUMMYFUNCTION("GOOGLETRANSLATE(C5135,""en"",""pl"")"),"nierealny")</f>
        <v>nierealny</v>
      </c>
    </row>
    <row r="5136">
      <c r="C5136" s="1" t="s">
        <v>5130</v>
      </c>
      <c r="D5136" s="3" t="str">
        <f>IFERROR(__xludf.DUMMYFUNCTION("GOOGLETRANSLATE(C5136,""en"",""pl"")"),"ekrany")</f>
        <v>ekrany</v>
      </c>
    </row>
    <row r="5137">
      <c r="C5137" s="1" t="s">
        <v>5131</v>
      </c>
      <c r="D5137" s="3" t="str">
        <f>IFERROR(__xludf.DUMMYFUNCTION("GOOGLETRANSLATE(C5137,""en"",""pl"")"),"mówienie")</f>
        <v>mówienie</v>
      </c>
    </row>
    <row r="5138">
      <c r="C5138" s="1" t="s">
        <v>5132</v>
      </c>
      <c r="D5138" s="3" t="str">
        <f>IFERROR(__xludf.DUMMYFUNCTION("GOOGLETRANSLATE(C5138,""en"",""pl"")"),"zygzakowaty")</f>
        <v>zygzakowaty</v>
      </c>
    </row>
    <row r="5139">
      <c r="C5139" s="1" t="s">
        <v>5133</v>
      </c>
      <c r="D5139" s="3" t="str">
        <f>IFERROR(__xludf.DUMMYFUNCTION("GOOGLETRANSLATE(C5139,""en"",""pl"")"),"niepowodzenia")</f>
        <v>niepowodzenia</v>
      </c>
    </row>
    <row r="5140">
      <c r="C5140" s="1" t="s">
        <v>5134</v>
      </c>
      <c r="D5140" s="3" t="str">
        <f>IFERROR(__xludf.DUMMYFUNCTION("GOOGLETRANSLATE(C5140,""en"",""pl"")"),"rozkazał")</f>
        <v>rozkazał</v>
      </c>
    </row>
    <row r="5141">
      <c r="C5141" s="1" t="s">
        <v>5135</v>
      </c>
      <c r="D5141" s="3" t="str">
        <f>IFERROR(__xludf.DUMMYFUNCTION("GOOGLETRANSLATE(C5141,""en"",""pl"")"),"rozpoznanie")</f>
        <v>rozpoznanie</v>
      </c>
    </row>
    <row r="5142">
      <c r="C5142" s="1" t="s">
        <v>5136</v>
      </c>
      <c r="D5142" s="3" t="str">
        <f>IFERROR(__xludf.DUMMYFUNCTION("GOOGLETRANSLATE(C5142,""en"",""pl"")"),"reprezentacja")</f>
        <v>reprezentacja</v>
      </c>
    </row>
    <row r="5143">
      <c r="C5143" s="1" t="s">
        <v>5137</v>
      </c>
      <c r="D5143" s="3" t="str">
        <f>IFERROR(__xludf.DUMMYFUNCTION("GOOGLETRANSLATE(C5143,""en"",""pl"")"),"pochylenie się")</f>
        <v>pochylenie się</v>
      </c>
    </row>
    <row r="5144">
      <c r="C5144" s="1" t="s">
        <v>5138</v>
      </c>
      <c r="D5144" s="3" t="str">
        <f>IFERROR(__xludf.DUMMYFUNCTION("GOOGLETRANSLATE(C5144,""en"",""pl"")"),"dzielny")</f>
        <v>dzielny</v>
      </c>
    </row>
    <row r="5145">
      <c r="C5145" s="1" t="s">
        <v>5139</v>
      </c>
      <c r="D5145" s="3" t="str">
        <f>IFERROR(__xludf.DUMMYFUNCTION("GOOGLETRANSLATE(C5145,""en"",""pl"")"),"dogadzający")</f>
        <v>dogadzający</v>
      </c>
    </row>
    <row r="5146">
      <c r="C5146" s="1" t="s">
        <v>5140</v>
      </c>
      <c r="D5146" s="3" t="str">
        <f>IFERROR(__xludf.DUMMYFUNCTION("GOOGLETRANSLATE(C5146,""en"",""pl"")"),"oszust")</f>
        <v>oszust</v>
      </c>
    </row>
    <row r="5147">
      <c r="C5147" s="1" t="s">
        <v>5141</v>
      </c>
      <c r="D5147" s="3" t="str">
        <f>IFERROR(__xludf.DUMMYFUNCTION("GOOGLETRANSLATE(C5147,""en"",""pl"")"),"pornografia")</f>
        <v>pornografia</v>
      </c>
    </row>
    <row r="5148">
      <c r="C5148" s="1" t="s">
        <v>5142</v>
      </c>
      <c r="D5148" s="3" t="str">
        <f>IFERROR(__xludf.DUMMYFUNCTION("GOOGLETRANSLATE(C5148,""en"",""pl"")"),"urna")</f>
        <v>urna</v>
      </c>
    </row>
    <row r="5149">
      <c r="C5149" s="1" t="s">
        <v>5143</v>
      </c>
      <c r="D5149" s="3" t="str">
        <f>IFERROR(__xludf.DUMMYFUNCTION("GOOGLETRANSLATE(C5149,""en"",""pl"")"),"przydzielać")</f>
        <v>przydzielać</v>
      </c>
    </row>
    <row r="5150">
      <c r="C5150" s="1" t="s">
        <v>5144</v>
      </c>
      <c r="D5150" s="3" t="str">
        <f>IFERROR(__xludf.DUMMYFUNCTION("GOOGLETRANSLATE(C5150,""en"",""pl"")"),"wujkowie")</f>
        <v>wujkowie</v>
      </c>
    </row>
    <row r="5151">
      <c r="C5151" s="1" t="s">
        <v>5145</v>
      </c>
      <c r="D5151" s="3" t="str">
        <f>IFERROR(__xludf.DUMMYFUNCTION("GOOGLETRANSLATE(C5151,""en"",""pl"")"),"winorośl")</f>
        <v>winorośl</v>
      </c>
    </row>
    <row r="5152">
      <c r="C5152" s="1" t="s">
        <v>5146</v>
      </c>
      <c r="D5152" s="3" t="str">
        <f>IFERROR(__xludf.DUMMYFUNCTION("GOOGLETRANSLATE(C5152,""en"",""pl"")"),"pomyślny")</f>
        <v>pomyślny</v>
      </c>
    </row>
    <row r="5153">
      <c r="C5153" s="1" t="s">
        <v>5147</v>
      </c>
      <c r="D5153" s="3" t="str">
        <f>IFERROR(__xludf.DUMMYFUNCTION("GOOGLETRANSLATE(C5153,""en"",""pl"")"),"dreptanie")</f>
        <v>dreptanie</v>
      </c>
    </row>
    <row r="5154">
      <c r="C5154" s="1" t="s">
        <v>5148</v>
      </c>
      <c r="D5154" s="3" t="str">
        <f>IFERROR(__xludf.DUMMYFUNCTION("GOOGLETRANSLATE(C5154,""en"",""pl"")"),"owoce morza")</f>
        <v>owoce morza</v>
      </c>
    </row>
    <row r="5155">
      <c r="C5155" s="1" t="s">
        <v>5149</v>
      </c>
      <c r="D5155" s="3" t="str">
        <f>IFERROR(__xludf.DUMMYFUNCTION("GOOGLETRANSLATE(C5155,""en"",""pl"")"),"łagodny")</f>
        <v>łagodny</v>
      </c>
    </row>
    <row r="5156">
      <c r="C5156" s="1" t="s">
        <v>5150</v>
      </c>
      <c r="D5156" s="3" t="str">
        <f>IFERROR(__xludf.DUMMYFUNCTION("GOOGLETRANSLATE(C5156,""en"",""pl"")"),"ogłaszanie")</f>
        <v>ogłaszanie</v>
      </c>
    </row>
    <row r="5157">
      <c r="C5157" s="1" t="s">
        <v>5151</v>
      </c>
      <c r="D5157" s="3" t="str">
        <f>IFERROR(__xludf.DUMMYFUNCTION("GOOGLETRANSLATE(C5157,""en"",""pl"")"),"Wznawianie")</f>
        <v>Wznawianie</v>
      </c>
    </row>
    <row r="5158">
      <c r="C5158" s="1" t="s">
        <v>5152</v>
      </c>
      <c r="D5158" s="3" t="str">
        <f>IFERROR(__xludf.DUMMYFUNCTION("GOOGLETRANSLATE(C5158,""en"",""pl"")"),"hawajski")</f>
        <v>hawajski</v>
      </c>
    </row>
    <row r="5159">
      <c r="C5159" s="1" t="s">
        <v>5153</v>
      </c>
      <c r="D5159" s="3" t="str">
        <f>IFERROR(__xludf.DUMMYFUNCTION("GOOGLETRANSLATE(C5159,""en"",""pl"")"),"prąd zmienny")</f>
        <v>prąd zmienny</v>
      </c>
    </row>
    <row r="5160">
      <c r="C5160" s="1" t="s">
        <v>5154</v>
      </c>
      <c r="D5160" s="3" t="str">
        <f>IFERROR(__xludf.DUMMYFUNCTION("GOOGLETRANSLATE(C5160,""en"",""pl"")"),"centra")</f>
        <v>centra</v>
      </c>
    </row>
    <row r="5161">
      <c r="C5161" s="1" t="s">
        <v>5155</v>
      </c>
      <c r="D5161" s="3" t="str">
        <f>IFERROR(__xludf.DUMMYFUNCTION("GOOGLETRANSLATE(C5161,""en"",""pl"")"),"cudzołóstwo")</f>
        <v>cudzołóstwo</v>
      </c>
    </row>
    <row r="5162">
      <c r="C5162" s="1" t="s">
        <v>5156</v>
      </c>
      <c r="D5162" s="3" t="str">
        <f>IFERROR(__xludf.DUMMYFUNCTION("GOOGLETRANSLATE(C5162,""en"",""pl"")"),"rozpraszać")</f>
        <v>rozpraszać</v>
      </c>
    </row>
    <row r="5163">
      <c r="C5163" s="1" t="s">
        <v>5157</v>
      </c>
      <c r="D5163" s="3" t="str">
        <f>IFERROR(__xludf.DUMMYFUNCTION("GOOGLETRANSLATE(C5163,""en"",""pl"")"),"płyn kosmetyczny")</f>
        <v>płyn kosmetyczny</v>
      </c>
    </row>
    <row r="5164">
      <c r="C5164" s="1" t="s">
        <v>5158</v>
      </c>
      <c r="D5164" s="3" t="str">
        <f>IFERROR(__xludf.DUMMYFUNCTION("GOOGLETRANSLATE(C5164,""en"",""pl"")"),"przeciwny")</f>
        <v>przeciwny</v>
      </c>
    </row>
    <row r="5165">
      <c r="C5165" s="1" t="s">
        <v>5159</v>
      </c>
      <c r="D5165" s="3" t="str">
        <f>IFERROR(__xludf.DUMMYFUNCTION("GOOGLETRANSLATE(C5165,""en"",""pl"")"),"zdominowany")</f>
        <v>zdominowany</v>
      </c>
    </row>
    <row r="5166">
      <c r="C5166" s="1" t="s">
        <v>5160</v>
      </c>
      <c r="D5166" s="3" t="str">
        <f>IFERROR(__xludf.DUMMYFUNCTION("GOOGLETRANSLATE(C5166,""en"",""pl"")"),"rozpakować")</f>
        <v>rozpakować</v>
      </c>
    </row>
    <row r="5167">
      <c r="C5167" s="1" t="s">
        <v>5161</v>
      </c>
      <c r="D5167" s="3" t="str">
        <f>IFERROR(__xludf.DUMMYFUNCTION("GOOGLETRANSLATE(C5167,""en"",""pl"")"),"naruszać")</f>
        <v>naruszać</v>
      </c>
    </row>
    <row r="5168">
      <c r="C5168" s="1" t="s">
        <v>5162</v>
      </c>
      <c r="D5168" s="3" t="str">
        <f>IFERROR(__xludf.DUMMYFUNCTION("GOOGLETRANSLATE(C5168,""en"",""pl"")"),"przekazać")</f>
        <v>przekazać</v>
      </c>
    </row>
    <row r="5169">
      <c r="C5169" s="1" t="s">
        <v>5163</v>
      </c>
      <c r="D5169" s="3" t="str">
        <f>IFERROR(__xludf.DUMMYFUNCTION("GOOGLETRANSLATE(C5169,""en"",""pl"")"),"jądra")</f>
        <v>jądra</v>
      </c>
    </row>
    <row r="5170">
      <c r="C5170" s="1" t="s">
        <v>5164</v>
      </c>
      <c r="D5170" s="3" t="str">
        <f>IFERROR(__xludf.DUMMYFUNCTION("GOOGLETRANSLATE(C5170,""en"",""pl"")"),"zhao")</f>
        <v>zhao</v>
      </c>
    </row>
    <row r="5171">
      <c r="C5171" s="1" t="s">
        <v>5165</v>
      </c>
      <c r="D5171" s="3" t="str">
        <f>IFERROR(__xludf.DUMMYFUNCTION("GOOGLETRANSLATE(C5171,""en"",""pl"")"),"Ames")</f>
        <v>Ames</v>
      </c>
    </row>
    <row r="5172">
      <c r="C5172" s="1" t="s">
        <v>5166</v>
      </c>
      <c r="D5172" s="3" t="str">
        <f>IFERROR(__xludf.DUMMYFUNCTION("GOOGLETRANSLATE(C5172,""en"",""pl"")"),"t.c.")</f>
        <v>t.c.</v>
      </c>
    </row>
    <row r="5173">
      <c r="C5173" s="1" t="s">
        <v>5167</v>
      </c>
      <c r="D5173" s="3" t="str">
        <f>IFERROR(__xludf.DUMMYFUNCTION("GOOGLETRANSLATE(C5173,""en"",""pl"")"),"Kayla")</f>
        <v>Kayla</v>
      </c>
    </row>
    <row r="5174">
      <c r="C5174" s="1" t="s">
        <v>5168</v>
      </c>
      <c r="D5174" s="3" t="str">
        <f>IFERROR(__xludf.DUMMYFUNCTION("GOOGLETRANSLATE(C5174,""en"",""pl"")"),"Węgry")</f>
        <v>Węgry</v>
      </c>
    </row>
    <row r="5175">
      <c r="C5175" s="1" t="s">
        <v>5169</v>
      </c>
      <c r="D5175" s="3" t="str">
        <f>IFERROR(__xludf.DUMMYFUNCTION("GOOGLETRANSLATE(C5175,""en"",""pl"")"),"albumy")</f>
        <v>albumy</v>
      </c>
    </row>
    <row r="5176">
      <c r="C5176" s="1" t="s">
        <v>5170</v>
      </c>
      <c r="D5176" s="3" t="str">
        <f>IFERROR(__xludf.DUMMYFUNCTION("GOOGLETRANSLATE(C5176,""en"",""pl"")"),"dobre samopoczucie")</f>
        <v>dobre samopoczucie</v>
      </c>
    </row>
    <row r="5177">
      <c r="C5177" s="1" t="s">
        <v>5171</v>
      </c>
      <c r="D5177" s="3" t="str">
        <f>IFERROR(__xludf.DUMMYFUNCTION("GOOGLETRANSLATE(C5177,""en"",""pl"")"),"owsianka")</f>
        <v>owsianka</v>
      </c>
    </row>
    <row r="5178">
      <c r="C5178" s="1" t="s">
        <v>5172</v>
      </c>
      <c r="D5178" s="3" t="str">
        <f>IFERROR(__xludf.DUMMYFUNCTION("GOOGLETRANSLATE(C5178,""en"",""pl"")"),"młotek licytacyjny")</f>
        <v>młotek licytacyjny</v>
      </c>
    </row>
    <row r="5179">
      <c r="C5179" s="1" t="s">
        <v>5173</v>
      </c>
      <c r="D5179" s="3" t="str">
        <f>IFERROR(__xludf.DUMMYFUNCTION("GOOGLETRANSLATE(C5179,""en"",""pl"")"),"prem")</f>
        <v>prem</v>
      </c>
    </row>
    <row r="5180">
      <c r="C5180" s="1" t="s">
        <v>5174</v>
      </c>
      <c r="D5180" s="3" t="str">
        <f>IFERROR(__xludf.DUMMYFUNCTION("GOOGLETRANSLATE(C5180,""en"",""pl"")"),"grzechotki")</f>
        <v>grzechotki</v>
      </c>
    </row>
    <row r="5181">
      <c r="C5181" s="1" t="s">
        <v>5175</v>
      </c>
      <c r="D5181" s="3" t="str">
        <f>IFERROR(__xludf.DUMMYFUNCTION("GOOGLETRANSLATE(C5181,""en"",""pl"")"),"eliot")</f>
        <v>eliot</v>
      </c>
    </row>
    <row r="5182">
      <c r="C5182" s="1" t="s">
        <v>5176</v>
      </c>
      <c r="D5182" s="3" t="str">
        <f>IFERROR(__xludf.DUMMYFUNCTION("GOOGLETRANSLATE(C5182,""en"",""pl"")"),"cycki")</f>
        <v>cycki</v>
      </c>
    </row>
    <row r="5183">
      <c r="C5183" s="1" t="s">
        <v>5177</v>
      </c>
      <c r="D5183" s="3" t="str">
        <f>IFERROR(__xludf.DUMMYFUNCTION("GOOGLETRANSLATE(C5183,""en"",""pl"")"),"wzmacniać")</f>
        <v>wzmacniać</v>
      </c>
    </row>
    <row r="5184">
      <c r="C5184" s="1" t="s">
        <v>5178</v>
      </c>
      <c r="D5184" s="3" t="str">
        <f>IFERROR(__xludf.DUMMYFUNCTION("GOOGLETRANSLATE(C5184,""en"",""pl"")"),"wrażliwość")</f>
        <v>wrażliwość</v>
      </c>
    </row>
    <row r="5185">
      <c r="C5185" s="1" t="s">
        <v>5179</v>
      </c>
      <c r="D5185" s="3" t="str">
        <f>IFERROR(__xludf.DUMMYFUNCTION("GOOGLETRANSLATE(C5185,""en"",""pl"")"),"fitzgerald")</f>
        <v>fitzgerald</v>
      </c>
    </row>
    <row r="5186">
      <c r="C5186" s="1" t="s">
        <v>5180</v>
      </c>
      <c r="D5186" s="3" t="str">
        <f>IFERROR(__xludf.DUMMYFUNCTION("GOOGLETRANSLATE(C5186,""en"",""pl"")"),"tamara")</f>
        <v>tamara</v>
      </c>
    </row>
    <row r="5187">
      <c r="C5187" s="1" t="s">
        <v>5181</v>
      </c>
      <c r="D5187" s="3" t="str">
        <f>IFERROR(__xludf.DUMMYFUNCTION("GOOGLETRANSLATE(C5187,""en"",""pl"")"),"usuwanie")</f>
        <v>usuwanie</v>
      </c>
    </row>
    <row r="5188">
      <c r="C5188" s="1" t="s">
        <v>5182</v>
      </c>
      <c r="D5188" s="3" t="str">
        <f>IFERROR(__xludf.DUMMYFUNCTION("GOOGLETRANSLATE(C5188,""en"",""pl"")"),"worki")</f>
        <v>worki</v>
      </c>
    </row>
    <row r="5189">
      <c r="C5189" s="1" t="s">
        <v>5183</v>
      </c>
      <c r="D5189" s="3" t="str">
        <f>IFERROR(__xludf.DUMMYFUNCTION("GOOGLETRANSLATE(C5189,""en"",""pl"")"),"pobrano")</f>
        <v>pobrano</v>
      </c>
    </row>
    <row r="5190">
      <c r="C5190" s="1" t="s">
        <v>5184</v>
      </c>
      <c r="D5190" s="3" t="str">
        <f>IFERROR(__xludf.DUMMYFUNCTION("GOOGLETRANSLATE(C5190,""en"",""pl"")"),"Maroko")</f>
        <v>Maroko</v>
      </c>
    </row>
    <row r="5191">
      <c r="C5191" s="1" t="s">
        <v>5185</v>
      </c>
      <c r="D5191" s="3" t="str">
        <f>IFERROR(__xludf.DUMMYFUNCTION("GOOGLETRANSLATE(C5191,""en"",""pl"")"),"kichanie")</f>
        <v>kichanie</v>
      </c>
    </row>
    <row r="5192">
      <c r="C5192" s="1" t="s">
        <v>5186</v>
      </c>
      <c r="D5192" s="3" t="str">
        <f>IFERROR(__xludf.DUMMYFUNCTION("GOOGLETRANSLATE(C5192,""en"",""pl"")"),"korony")</f>
        <v>korony</v>
      </c>
    </row>
    <row r="5193">
      <c r="C5193" s="1" t="s">
        <v>5187</v>
      </c>
      <c r="D5193" s="3" t="str">
        <f>IFERROR(__xludf.DUMMYFUNCTION("GOOGLETRANSLATE(C5193,""en"",""pl"")"),"Saddam")</f>
        <v>Saddam</v>
      </c>
    </row>
    <row r="5194">
      <c r="C5194" s="1" t="s">
        <v>5188</v>
      </c>
      <c r="D5194" s="3" t="str">
        <f>IFERROR(__xludf.DUMMYFUNCTION("GOOGLETRANSLATE(C5194,""en"",""pl"")"),"kujony")</f>
        <v>kujony</v>
      </c>
    </row>
    <row r="5195">
      <c r="C5195" s="1" t="s">
        <v>5189</v>
      </c>
      <c r="D5195" s="3" t="str">
        <f>IFERROR(__xludf.DUMMYFUNCTION("GOOGLETRANSLATE(C5195,""en"",""pl"")"),"akceptuje")</f>
        <v>akceptuje</v>
      </c>
    </row>
    <row r="5196">
      <c r="C5196" s="1" t="s">
        <v>5190</v>
      </c>
      <c r="D5196" s="3" t="str">
        <f>IFERROR(__xludf.DUMMYFUNCTION("GOOGLETRANSLATE(C5196,""en"",""pl"")"),"ul")</f>
        <v>ul</v>
      </c>
    </row>
    <row r="5197">
      <c r="C5197" s="1" t="s">
        <v>5191</v>
      </c>
      <c r="D5197" s="3" t="str">
        <f>IFERROR(__xludf.DUMMYFUNCTION("GOOGLETRANSLATE(C5197,""en"",""pl"")"),"Radha")</f>
        <v>Radha</v>
      </c>
    </row>
    <row r="5198">
      <c r="C5198" s="1" t="s">
        <v>5192</v>
      </c>
      <c r="D5198" s="3" t="str">
        <f>IFERROR(__xludf.DUMMYFUNCTION("GOOGLETRANSLATE(C5198,""en"",""pl"")"),"plenerowy")</f>
        <v>plenerowy</v>
      </c>
    </row>
    <row r="5199">
      <c r="C5199" s="1" t="s">
        <v>5193</v>
      </c>
      <c r="D5199" s="3" t="str">
        <f>IFERROR(__xludf.DUMMYFUNCTION("GOOGLETRANSLATE(C5199,""en"",""pl"")"),"Raquel")</f>
        <v>Raquel</v>
      </c>
    </row>
    <row r="5200">
      <c r="C5200" s="1" t="s">
        <v>5194</v>
      </c>
      <c r="D5200" s="3" t="str">
        <f>IFERROR(__xludf.DUMMYFUNCTION("GOOGLETRANSLATE(C5200,""en"",""pl"")"),"rosa")</f>
        <v>rosa</v>
      </c>
    </row>
    <row r="5201">
      <c r="C5201" s="1" t="s">
        <v>5195</v>
      </c>
      <c r="D5201" s="3" t="str">
        <f>IFERROR(__xludf.DUMMYFUNCTION("GOOGLETRANSLATE(C5201,""en"",""pl"")"),"wchodzenie")</f>
        <v>wchodzenie</v>
      </c>
    </row>
    <row r="5202">
      <c r="C5202" s="1" t="s">
        <v>5196</v>
      </c>
      <c r="D5202" s="3" t="str">
        <f>IFERROR(__xludf.DUMMYFUNCTION("GOOGLETRANSLATE(C5202,""en"",""pl"")"),"góra")</f>
        <v>góra</v>
      </c>
    </row>
    <row r="5203">
      <c r="C5203" s="1" t="s">
        <v>5197</v>
      </c>
      <c r="D5203" s="3" t="str">
        <f>IFERROR(__xludf.DUMMYFUNCTION("GOOGLETRANSLATE(C5203,""en"",""pl"")"),"prądy")</f>
        <v>prądy</v>
      </c>
    </row>
    <row r="5204">
      <c r="C5204" s="1" t="s">
        <v>5198</v>
      </c>
      <c r="D5204" s="3" t="str">
        <f>IFERROR(__xludf.DUMMYFUNCTION("GOOGLETRANSLATE(C5204,""en"",""pl"")"),"wyjaśnienia")</f>
        <v>wyjaśnienia</v>
      </c>
    </row>
    <row r="5205">
      <c r="C5205" s="1" t="s">
        <v>5199</v>
      </c>
      <c r="D5205" s="3" t="str">
        <f>IFERROR(__xludf.DUMMYFUNCTION("GOOGLETRANSLATE(C5205,""en"",""pl"")"),"moczenie")</f>
        <v>moczenie</v>
      </c>
    </row>
    <row r="5206">
      <c r="C5206" s="1" t="s">
        <v>5200</v>
      </c>
      <c r="D5206" s="3" t="str">
        <f>IFERROR(__xludf.DUMMYFUNCTION("GOOGLETRANSLATE(C5206,""en"",""pl"")"),"tanaka")</f>
        <v>tanaka</v>
      </c>
    </row>
    <row r="5207">
      <c r="C5207" s="1" t="s">
        <v>5201</v>
      </c>
      <c r="D5207" s="3" t="str">
        <f>IFERROR(__xludf.DUMMYFUNCTION("GOOGLETRANSLATE(C5207,""en"",""pl"")"),"narządy")</f>
        <v>narządy</v>
      </c>
    </row>
    <row r="5208">
      <c r="C5208" s="1" t="s">
        <v>5202</v>
      </c>
      <c r="D5208" s="3" t="str">
        <f>IFERROR(__xludf.DUMMYFUNCTION("GOOGLETRANSLATE(C5208,""en"",""pl"")"),"nawigacja")</f>
        <v>nawigacja</v>
      </c>
    </row>
    <row r="5209">
      <c r="C5209" s="1" t="s">
        <v>5203</v>
      </c>
      <c r="D5209" s="3" t="str">
        <f>IFERROR(__xludf.DUMMYFUNCTION("GOOGLETRANSLATE(C5209,""en"",""pl"")"),"dołącza")</f>
        <v>dołącza</v>
      </c>
    </row>
    <row r="5210">
      <c r="C5210" s="1" t="s">
        <v>5204</v>
      </c>
      <c r="D5210" s="3" t="str">
        <f>IFERROR(__xludf.DUMMYFUNCTION("GOOGLETRANSLATE(C5210,""en"",""pl"")"),"zaintrygowany")</f>
        <v>zaintrygowany</v>
      </c>
    </row>
    <row r="5211">
      <c r="C5211" s="1" t="s">
        <v>5205</v>
      </c>
      <c r="D5211" s="3" t="str">
        <f>IFERROR(__xludf.DUMMYFUNCTION("GOOGLETRANSLATE(C5211,""en"",""pl"")"),"harfa")</f>
        <v>harfa</v>
      </c>
    </row>
    <row r="5212">
      <c r="C5212" s="1" t="s">
        <v>5206</v>
      </c>
      <c r="D5212" s="3" t="str">
        <f>IFERROR(__xludf.DUMMYFUNCTION("GOOGLETRANSLATE(C5212,""en"",""pl"")"),"Führer")</f>
        <v>Führer</v>
      </c>
    </row>
    <row r="5213">
      <c r="C5213" s="1" t="s">
        <v>5207</v>
      </c>
      <c r="D5213" s="3" t="str">
        <f>IFERROR(__xludf.DUMMYFUNCTION("GOOGLETRANSLATE(C5213,""en"",""pl"")"),"margines")</f>
        <v>margines</v>
      </c>
    </row>
    <row r="5214">
      <c r="C5214" s="1" t="s">
        <v>5208</v>
      </c>
      <c r="D5214" s="3" t="str">
        <f>IFERROR(__xludf.DUMMYFUNCTION("GOOGLETRANSLATE(C5214,""en"",""pl"")"),"Everett")</f>
        <v>Everett</v>
      </c>
    </row>
    <row r="5215">
      <c r="C5215" s="1" t="s">
        <v>5209</v>
      </c>
      <c r="D5215" s="3" t="str">
        <f>IFERROR(__xludf.DUMMYFUNCTION("GOOGLETRANSLATE(C5215,""en"",""pl"")"),"hymn")</f>
        <v>hymn</v>
      </c>
    </row>
    <row r="5216">
      <c r="C5216" s="1" t="s">
        <v>5210</v>
      </c>
      <c r="D5216" s="3" t="str">
        <f>IFERROR(__xludf.DUMMYFUNCTION("GOOGLETRANSLATE(C5216,""en"",""pl"")"),"aa")</f>
        <v>aa</v>
      </c>
    </row>
    <row r="5217">
      <c r="C5217" s="1" t="s">
        <v>5211</v>
      </c>
      <c r="D5217" s="3" t="str">
        <f>IFERROR(__xludf.DUMMYFUNCTION("GOOGLETRANSLATE(C5217,""en"",""pl"")"),"Kylie")</f>
        <v>Kylie</v>
      </c>
    </row>
    <row r="5218">
      <c r="C5218" s="4" t="s">
        <v>5212</v>
      </c>
      <c r="D5218" s="3" t="str">
        <f>IFERROR(__xludf.DUMMYFUNCTION("GOOGLETRANSLATE(C5218,""en"",""pl"")"),"C")</f>
        <v>C</v>
      </c>
    </row>
    <row r="5219">
      <c r="C5219" s="1" t="s">
        <v>5213</v>
      </c>
      <c r="D5219" s="3" t="str">
        <f>IFERROR(__xludf.DUMMYFUNCTION("GOOGLETRANSLATE(C5219,""en"",""pl"")"),"rozpraszający")</f>
        <v>rozpraszający</v>
      </c>
    </row>
    <row r="5220">
      <c r="C5220" s="1" t="s">
        <v>5214</v>
      </c>
      <c r="D5220" s="3" t="str">
        <f>IFERROR(__xludf.DUMMYFUNCTION("GOOGLETRANSLATE(C5220,""en"",""pl"")"),"płodność")</f>
        <v>płodność</v>
      </c>
    </row>
    <row r="5221">
      <c r="C5221" s="1" t="s">
        <v>5215</v>
      </c>
      <c r="D5221" s="3" t="str">
        <f>IFERROR(__xludf.DUMMYFUNCTION("GOOGLETRANSLATE(C5221,""en"",""pl"")"),"niesamowicie")</f>
        <v>niesamowicie</v>
      </c>
    </row>
    <row r="5222">
      <c r="C5222" s="1" t="s">
        <v>5216</v>
      </c>
      <c r="D5222" s="3" t="str">
        <f>IFERROR(__xludf.DUMMYFUNCTION("GOOGLETRANSLATE(C5222,""en"",""pl"")"),"przerażający")</f>
        <v>przerażający</v>
      </c>
    </row>
    <row r="5223">
      <c r="C5223" s="1" t="s">
        <v>5217</v>
      </c>
      <c r="D5223" s="3" t="str">
        <f>IFERROR(__xludf.DUMMYFUNCTION("GOOGLETRANSLATE(C5223,""en"",""pl"")"),"akt oskarżenia")</f>
        <v>akt oskarżenia</v>
      </c>
    </row>
    <row r="5224">
      <c r="C5224" s="1" t="s">
        <v>5218</v>
      </c>
      <c r="D5224" s="3" t="str">
        <f>IFERROR(__xludf.DUMMYFUNCTION("GOOGLETRANSLATE(C5224,""en"",""pl"")"),"zabobon")</f>
        <v>zabobon</v>
      </c>
    </row>
    <row r="5225">
      <c r="C5225" s="1" t="s">
        <v>5219</v>
      </c>
      <c r="D5225" s="3" t="str">
        <f>IFERROR(__xludf.DUMMYFUNCTION("GOOGLETRANSLATE(C5225,""en"",""pl"")"),"ultradźwięk")</f>
        <v>ultradźwięk</v>
      </c>
    </row>
    <row r="5226">
      <c r="C5226" s="1" t="s">
        <v>5220</v>
      </c>
      <c r="D5226" s="3" t="str">
        <f>IFERROR(__xludf.DUMMYFUNCTION("GOOGLETRANSLATE(C5226,""en"",""pl"")"),"przesunięty")</f>
        <v>przesunięty</v>
      </c>
    </row>
    <row r="5227">
      <c r="C5227" s="1" t="s">
        <v>5221</v>
      </c>
      <c r="D5227" s="3" t="str">
        <f>IFERROR(__xludf.DUMMYFUNCTION("GOOGLETRANSLATE(C5227,""en"",""pl"")"),"szczerość")</f>
        <v>szczerość</v>
      </c>
    </row>
    <row r="5228">
      <c r="C5228" s="1" t="s">
        <v>5222</v>
      </c>
      <c r="D5228" s="3" t="str">
        <f>IFERROR(__xludf.DUMMYFUNCTION("GOOGLETRANSLATE(C5228,""en"",""pl"")"),"Hamburg")</f>
        <v>Hamburg</v>
      </c>
    </row>
    <row r="5229">
      <c r="C5229" s="1" t="s">
        <v>5223</v>
      </c>
      <c r="D5229" s="3" t="str">
        <f>IFERROR(__xludf.DUMMYFUNCTION("GOOGLETRANSLATE(C5229,""en"",""pl"")"),"Dawid")</f>
        <v>Dawid</v>
      </c>
    </row>
    <row r="5230">
      <c r="C5230" s="1" t="s">
        <v>5224</v>
      </c>
      <c r="D5230" s="3" t="str">
        <f>IFERROR(__xludf.DUMMYFUNCTION("GOOGLETRANSLATE(C5230,""en"",""pl"")"),"wyrzucony")</f>
        <v>wyrzucony</v>
      </c>
    </row>
    <row r="5231">
      <c r="C5231" s="1" t="s">
        <v>5225</v>
      </c>
      <c r="D5231" s="3" t="str">
        <f>IFERROR(__xludf.DUMMYFUNCTION("GOOGLETRANSLATE(C5231,""en"",""pl"")"),"Kacper")</f>
        <v>Kacper</v>
      </c>
    </row>
    <row r="5232">
      <c r="C5232" s="1" t="s">
        <v>5226</v>
      </c>
      <c r="D5232" s="3" t="str">
        <f>IFERROR(__xludf.DUMMYFUNCTION("GOOGLETRANSLATE(C5232,""en"",""pl"")"),"pierogi")</f>
        <v>pierogi</v>
      </c>
    </row>
    <row r="5233">
      <c r="C5233" s="1" t="s">
        <v>5227</v>
      </c>
      <c r="D5233" s="3" t="str">
        <f>IFERROR(__xludf.DUMMYFUNCTION("GOOGLETRANSLATE(C5233,""en"",""pl"")"),"strawić")</f>
        <v>strawić</v>
      </c>
    </row>
    <row r="5234">
      <c r="C5234" s="1" t="s">
        <v>5228</v>
      </c>
      <c r="D5234" s="3" t="str">
        <f>IFERROR(__xludf.DUMMYFUNCTION("GOOGLETRANSLATE(C5234,""en"",""pl"")"),"skonany")</f>
        <v>skonany</v>
      </c>
    </row>
    <row r="5235">
      <c r="C5235" s="1" t="s">
        <v>5229</v>
      </c>
      <c r="D5235" s="3" t="str">
        <f>IFERROR(__xludf.DUMMYFUNCTION("GOOGLETRANSLATE(C5235,""en"",""pl"")"),"podnośniki")</f>
        <v>podnośniki</v>
      </c>
    </row>
    <row r="5236">
      <c r="C5236" s="1" t="s">
        <v>5230</v>
      </c>
      <c r="D5236" s="3" t="str">
        <f>IFERROR(__xludf.DUMMYFUNCTION("GOOGLETRANSLATE(C5236,""en"",""pl"")"),"żartować")</f>
        <v>żartować</v>
      </c>
    </row>
    <row r="5237">
      <c r="C5237" s="1" t="s">
        <v>5231</v>
      </c>
      <c r="D5237" s="3" t="str">
        <f>IFERROR(__xludf.DUMMYFUNCTION("GOOGLETRANSLATE(C5237,""en"",""pl"")"),"wypadek")</f>
        <v>wypadek</v>
      </c>
    </row>
    <row r="5238">
      <c r="C5238" s="1" t="s">
        <v>5232</v>
      </c>
      <c r="D5238" s="3" t="str">
        <f>IFERROR(__xludf.DUMMYFUNCTION("GOOGLETRANSLATE(C5238,""en"",""pl"")"),"bethany")</f>
        <v>bethany</v>
      </c>
    </row>
    <row r="5239">
      <c r="C5239" s="1" t="s">
        <v>5233</v>
      </c>
      <c r="D5239" s="3" t="str">
        <f>IFERROR(__xludf.DUMMYFUNCTION("GOOGLETRANSLATE(C5239,""en"",""pl"")"),"uderzenie")</f>
        <v>uderzenie</v>
      </c>
    </row>
    <row r="5240">
      <c r="C5240" s="1" t="s">
        <v>5234</v>
      </c>
      <c r="D5240" s="3" t="str">
        <f>IFERROR(__xludf.DUMMYFUNCTION("GOOGLETRANSLATE(C5240,""en"",""pl"")"),"proporcja")</f>
        <v>proporcja</v>
      </c>
    </row>
    <row r="5241">
      <c r="C5241" s="1" t="s">
        <v>5235</v>
      </c>
      <c r="D5241" s="3" t="str">
        <f>IFERROR(__xludf.DUMMYFUNCTION("GOOGLETRANSLATE(C5241,""en"",""pl"")"),"ilość")</f>
        <v>ilość</v>
      </c>
    </row>
    <row r="5242">
      <c r="C5242" s="1" t="s">
        <v>5236</v>
      </c>
      <c r="D5242" s="3" t="str">
        <f>IFERROR(__xludf.DUMMYFUNCTION("GOOGLETRANSLATE(C5242,""en"",""pl"")"),"Janina")</f>
        <v>Janina</v>
      </c>
    </row>
    <row r="5243">
      <c r="C5243" s="1" t="s">
        <v>5237</v>
      </c>
      <c r="D5243" s="3" t="str">
        <f>IFERROR(__xludf.DUMMYFUNCTION("GOOGLETRANSLATE(C5243,""en"",""pl"")"),"oszukać")</f>
        <v>oszukać</v>
      </c>
    </row>
    <row r="5244">
      <c r="C5244" s="1" t="s">
        <v>5238</v>
      </c>
      <c r="D5244" s="3" t="str">
        <f>IFERROR(__xludf.DUMMYFUNCTION("GOOGLETRANSLATE(C5244,""en"",""pl"")"),"splot")</f>
        <v>splot</v>
      </c>
    </row>
    <row r="5245">
      <c r="C5245" s="1" t="s">
        <v>5239</v>
      </c>
      <c r="D5245" s="3" t="str">
        <f>IFERROR(__xludf.DUMMYFUNCTION("GOOGLETRANSLATE(C5245,""en"",""pl"")"),"Hikaru")</f>
        <v>Hikaru</v>
      </c>
    </row>
    <row r="5246">
      <c r="C5246" s="1" t="s">
        <v>5240</v>
      </c>
      <c r="D5246" s="3" t="str">
        <f>IFERROR(__xludf.DUMMYFUNCTION("GOOGLETRANSLATE(C5246,""en"",""pl"")"),"spokojnie")</f>
        <v>spokojnie</v>
      </c>
    </row>
    <row r="5247">
      <c r="C5247" s="1" t="s">
        <v>5241</v>
      </c>
      <c r="D5247" s="3" t="str">
        <f>IFERROR(__xludf.DUMMYFUNCTION("GOOGLETRANSLATE(C5247,""en"",""pl"")"),"skorumpowany")</f>
        <v>skorumpowany</v>
      </c>
    </row>
    <row r="5248">
      <c r="C5248" s="1" t="s">
        <v>5242</v>
      </c>
      <c r="D5248" s="3" t="str">
        <f>IFERROR(__xludf.DUMMYFUNCTION("GOOGLETRANSLATE(C5248,""en"",""pl"")"),"szubienica")</f>
        <v>szubienica</v>
      </c>
    </row>
    <row r="5249">
      <c r="C5249" s="1" t="s">
        <v>5243</v>
      </c>
      <c r="D5249" s="3" t="str">
        <f>IFERROR(__xludf.DUMMYFUNCTION("GOOGLETRANSLATE(C5249,""en"",""pl"")"),"drgnąć")</f>
        <v>drgnąć</v>
      </c>
    </row>
    <row r="5250">
      <c r="C5250" s="1" t="s">
        <v>5244</v>
      </c>
      <c r="D5250" s="3" t="str">
        <f>IFERROR(__xludf.DUMMYFUNCTION("GOOGLETRANSLATE(C5250,""en"",""pl"")"),"frakcja")</f>
        <v>frakcja</v>
      </c>
    </row>
    <row r="5251">
      <c r="C5251" s="1" t="s">
        <v>5245</v>
      </c>
      <c r="D5251" s="3" t="str">
        <f>IFERROR(__xludf.DUMMYFUNCTION("GOOGLETRANSLATE(C5251,""en"",""pl"")"),"z daleka")</f>
        <v>z daleka</v>
      </c>
    </row>
    <row r="5252">
      <c r="C5252" s="1" t="s">
        <v>5246</v>
      </c>
      <c r="D5252" s="3" t="str">
        <f>IFERROR(__xludf.DUMMYFUNCTION("GOOGLETRANSLATE(C5252,""en"",""pl"")"),"Hiroszi")</f>
        <v>Hiroszi</v>
      </c>
    </row>
    <row r="5253">
      <c r="C5253" s="1" t="s">
        <v>5247</v>
      </c>
      <c r="D5253" s="3" t="str">
        <f>IFERROR(__xludf.DUMMYFUNCTION("GOOGLETRANSLATE(C5253,""en"",""pl"")"),"leela")</f>
        <v>leela</v>
      </c>
    </row>
    <row r="5254">
      <c r="C5254" s="1" t="s">
        <v>5248</v>
      </c>
      <c r="D5254" s="3" t="str">
        <f>IFERROR(__xludf.DUMMYFUNCTION("GOOGLETRANSLATE(C5254,""en"",""pl"")"),"pomiary")</f>
        <v>pomiary</v>
      </c>
    </row>
    <row r="5255">
      <c r="C5255" s="1" t="s">
        <v>5249</v>
      </c>
      <c r="D5255" s="3" t="str">
        <f>IFERROR(__xludf.DUMMYFUNCTION("GOOGLETRANSLATE(C5255,""en"",""pl"")"),"gospodyni")</f>
        <v>gospodyni</v>
      </c>
    </row>
    <row r="5256">
      <c r="C5256" s="1" t="s">
        <v>5250</v>
      </c>
      <c r="D5256" s="3" t="str">
        <f>IFERROR(__xludf.DUMMYFUNCTION("GOOGLETRANSLATE(C5256,""en"",""pl"")"),"atestowany")</f>
        <v>atestowany</v>
      </c>
    </row>
    <row r="5257">
      <c r="C5257" s="1" t="s">
        <v>5251</v>
      </c>
      <c r="D5257" s="3" t="str">
        <f>IFERROR(__xludf.DUMMYFUNCTION("GOOGLETRANSLATE(C5257,""en"",""pl"")"),"zmierzch")</f>
        <v>zmierzch</v>
      </c>
    </row>
    <row r="5258">
      <c r="C5258" s="1" t="s">
        <v>5252</v>
      </c>
      <c r="D5258" s="3" t="str">
        <f>IFERROR(__xludf.DUMMYFUNCTION("GOOGLETRANSLATE(C5258,""en"",""pl"")"),"Luiza")</f>
        <v>Luiza</v>
      </c>
    </row>
    <row r="5259">
      <c r="C5259" s="1" t="s">
        <v>5253</v>
      </c>
      <c r="D5259" s="3" t="str">
        <f>IFERROR(__xludf.DUMMYFUNCTION("GOOGLETRANSLATE(C5259,""en"",""pl"")"),"nalegać")</f>
        <v>nalegać</v>
      </c>
    </row>
    <row r="5260">
      <c r="C5260" s="1" t="s">
        <v>5254</v>
      </c>
      <c r="D5260" s="3" t="str">
        <f>IFERROR(__xludf.DUMMYFUNCTION("GOOGLETRANSLATE(C5260,""en"",""pl"")"),"Hilton")</f>
        <v>Hilton</v>
      </c>
    </row>
    <row r="5261">
      <c r="C5261" s="1" t="s">
        <v>5255</v>
      </c>
      <c r="D5261" s="3" t="str">
        <f>IFERROR(__xludf.DUMMYFUNCTION("GOOGLETRANSLATE(C5261,""en"",""pl"")"),"w domu")</f>
        <v>w domu</v>
      </c>
    </row>
    <row r="5262">
      <c r="C5262" s="1" t="s">
        <v>5256</v>
      </c>
      <c r="D5262" s="3" t="str">
        <f>IFERROR(__xludf.DUMMYFUNCTION("GOOGLETRANSLATE(C5262,""en"",""pl"")"),"jastrzębie oko")</f>
        <v>jastrzębie oko</v>
      </c>
    </row>
    <row r="5263">
      <c r="C5263" s="1" t="s">
        <v>5257</v>
      </c>
      <c r="D5263" s="3" t="str">
        <f>IFERROR(__xludf.DUMMYFUNCTION("GOOGLETRANSLATE(C5263,""en"",""pl"")"),"ślina")</f>
        <v>ślina</v>
      </c>
    </row>
    <row r="5264">
      <c r="C5264" s="1" t="s">
        <v>5258</v>
      </c>
      <c r="D5264" s="3" t="str">
        <f>IFERROR(__xludf.DUMMYFUNCTION("GOOGLETRANSLATE(C5264,""en"",""pl"")"),"przytulny")</f>
        <v>przytulny</v>
      </c>
    </row>
    <row r="5265">
      <c r="C5265" s="1" t="s">
        <v>5259</v>
      </c>
      <c r="D5265" s="3" t="str">
        <f>IFERROR(__xludf.DUMMYFUNCTION("GOOGLETRANSLATE(C5265,""en"",""pl"")"),"szeptał")</f>
        <v>szeptał</v>
      </c>
    </row>
    <row r="5266">
      <c r="C5266" s="1" t="s">
        <v>5260</v>
      </c>
      <c r="D5266" s="3" t="str">
        <f>IFERROR(__xludf.DUMMYFUNCTION("GOOGLETRANSLATE(C5266,""en"",""pl"")"),"Maura")</f>
        <v>Maura</v>
      </c>
    </row>
    <row r="5267">
      <c r="C5267" s="1" t="s">
        <v>5261</v>
      </c>
      <c r="D5267" s="3" t="str">
        <f>IFERROR(__xludf.DUMMYFUNCTION("GOOGLETRANSLATE(C5267,""en"",""pl"")"),"cyjanek")</f>
        <v>cyjanek</v>
      </c>
    </row>
    <row r="5268">
      <c r="C5268" s="1" t="s">
        <v>5262</v>
      </c>
      <c r="D5268" s="3" t="str">
        <f>IFERROR(__xludf.DUMMYFUNCTION("GOOGLETRANSLATE(C5268,""en"",""pl"")"),"maszerował")</f>
        <v>maszerował</v>
      </c>
    </row>
    <row r="5269">
      <c r="C5269" s="1" t="s">
        <v>5263</v>
      </c>
      <c r="D5269" s="3" t="str">
        <f>IFERROR(__xludf.DUMMYFUNCTION("GOOGLETRANSLATE(C5269,""en"",""pl"")"),"rozliczany")</f>
        <v>rozliczany</v>
      </c>
    </row>
    <row r="5270">
      <c r="C5270" s="1" t="s">
        <v>5264</v>
      </c>
      <c r="D5270" s="3" t="str">
        <f>IFERROR(__xludf.DUMMYFUNCTION("GOOGLETRANSLATE(C5270,""en"",""pl"")"),"nurek")</f>
        <v>nurek</v>
      </c>
    </row>
    <row r="5271">
      <c r="C5271" s="1" t="s">
        <v>5265</v>
      </c>
      <c r="D5271" s="3" t="str">
        <f>IFERROR(__xludf.DUMMYFUNCTION("GOOGLETRANSLATE(C5271,""en"",""pl"")"),"odpowiedni")</f>
        <v>odpowiedni</v>
      </c>
    </row>
    <row r="5272">
      <c r="C5272" s="1" t="s">
        <v>5266</v>
      </c>
      <c r="D5272" s="3" t="str">
        <f>IFERROR(__xludf.DUMMYFUNCTION("GOOGLETRANSLATE(C5272,""en"",""pl"")"),"robbins")</f>
        <v>robbins</v>
      </c>
    </row>
    <row r="5273">
      <c r="C5273" s="1" t="s">
        <v>5267</v>
      </c>
      <c r="D5273" s="3" t="str">
        <f>IFERROR(__xludf.DUMMYFUNCTION("GOOGLETRANSLATE(C5273,""en"",""pl"")"),"ch00ff00")</f>
        <v>ch00ff00</v>
      </c>
    </row>
    <row r="5274">
      <c r="C5274" s="1" t="s">
        <v>5268</v>
      </c>
      <c r="D5274" s="3" t="str">
        <f>IFERROR(__xludf.DUMMYFUNCTION("GOOGLETRANSLATE(C5274,""en"",""pl"")"),"bałagan")</f>
        <v>bałagan</v>
      </c>
    </row>
    <row r="5275">
      <c r="C5275" s="1" t="s">
        <v>5269</v>
      </c>
      <c r="D5275" s="3" t="str">
        <f>IFERROR(__xludf.DUMMYFUNCTION("GOOGLETRANSLATE(C5275,""en"",""pl"")"),"porzucenie")</f>
        <v>porzucenie</v>
      </c>
    </row>
    <row r="5276">
      <c r="C5276" s="1" t="s">
        <v>5270</v>
      </c>
      <c r="D5276" s="3" t="str">
        <f>IFERROR(__xludf.DUMMYFUNCTION("GOOGLETRANSLATE(C5276,""en"",""pl"")"),"kwiaty")</f>
        <v>kwiaty</v>
      </c>
    </row>
    <row r="5277">
      <c r="C5277" s="1" t="s">
        <v>5271</v>
      </c>
      <c r="D5277" s="3" t="str">
        <f>IFERROR(__xludf.DUMMYFUNCTION("GOOGLETRANSLATE(C5277,""en"",""pl"")"),"kręcić się")</f>
        <v>kręcić się</v>
      </c>
    </row>
    <row r="5278">
      <c r="C5278" s="1" t="s">
        <v>5272</v>
      </c>
      <c r="D5278" s="3" t="str">
        <f>IFERROR(__xludf.DUMMYFUNCTION("GOOGLETRANSLATE(C5278,""en"",""pl"")"),"obudzić")</f>
        <v>obudzić</v>
      </c>
    </row>
    <row r="5279">
      <c r="C5279" s="1" t="s">
        <v>5273</v>
      </c>
      <c r="D5279" s="3" t="str">
        <f>IFERROR(__xludf.DUMMYFUNCTION("GOOGLETRANSLATE(C5279,""en"",""pl"")"),"cydru")</f>
        <v>cydru</v>
      </c>
    </row>
    <row r="5280">
      <c r="C5280" s="1" t="s">
        <v>5274</v>
      </c>
      <c r="D5280" s="3" t="str">
        <f>IFERROR(__xludf.DUMMYFUNCTION("GOOGLETRANSLATE(C5280,""en"",""pl"")"),"barwiony")</f>
        <v>barwiony</v>
      </c>
    </row>
    <row r="5281">
      <c r="C5281" s="1" t="s">
        <v>5275</v>
      </c>
      <c r="D5281" s="3" t="str">
        <f>IFERROR(__xludf.DUMMYFUNCTION("GOOGLETRANSLATE(C5281,""en"",""pl"")"),"kulka")</f>
        <v>kulka</v>
      </c>
    </row>
    <row r="5282">
      <c r="C5282" s="1" t="s">
        <v>5276</v>
      </c>
      <c r="D5282" s="3" t="str">
        <f>IFERROR(__xludf.DUMMYFUNCTION("GOOGLETRANSLATE(C5282,""en"",""pl"")"),"podniesiony")</f>
        <v>podniesiony</v>
      </c>
    </row>
    <row r="5283">
      <c r="C5283" s="1" t="s">
        <v>5277</v>
      </c>
      <c r="D5283" s="3" t="str">
        <f>IFERROR(__xludf.DUMMYFUNCTION("GOOGLETRANSLATE(C5283,""en"",""pl"")"),"Ryo")</f>
        <v>Ryo</v>
      </c>
    </row>
    <row r="5284">
      <c r="C5284" s="1" t="s">
        <v>5278</v>
      </c>
      <c r="D5284" s="3" t="str">
        <f>IFERROR(__xludf.DUMMYFUNCTION("GOOGLETRANSLATE(C5284,""en"",""pl"")"),"przezroczysty")</f>
        <v>przezroczysty</v>
      </c>
    </row>
    <row r="5285">
      <c r="C5285" s="1" t="s">
        <v>5279</v>
      </c>
      <c r="D5285" s="3" t="str">
        <f>IFERROR(__xludf.DUMMYFUNCTION("GOOGLETRANSLATE(C5285,""en"",""pl"")"),"niejasny")</f>
        <v>niejasny</v>
      </c>
    </row>
    <row r="5286">
      <c r="C5286" s="1" t="s">
        <v>5280</v>
      </c>
      <c r="D5286" s="3" t="str">
        <f>IFERROR(__xludf.DUMMYFUNCTION("GOOGLETRANSLATE(C5286,""en"",""pl"")"),"udary")</f>
        <v>udary</v>
      </c>
    </row>
    <row r="5287">
      <c r="C5287" s="1" t="s">
        <v>5281</v>
      </c>
      <c r="D5287" s="3" t="str">
        <f>IFERROR(__xludf.DUMMYFUNCTION("GOOGLETRANSLATE(C5287,""en"",""pl"")"),"aria")</f>
        <v>aria</v>
      </c>
    </row>
    <row r="5288">
      <c r="C5288" s="1" t="s">
        <v>5282</v>
      </c>
      <c r="D5288" s="3" t="str">
        <f>IFERROR(__xludf.DUMMYFUNCTION("GOOGLETRANSLATE(C5288,""en"",""pl"")"),"co?")</f>
        <v>co?</v>
      </c>
    </row>
    <row r="5289">
      <c r="C5289" s="1" t="s">
        <v>5283</v>
      </c>
      <c r="D5289" s="3" t="str">
        <f>IFERROR(__xludf.DUMMYFUNCTION("GOOGLETRANSLATE(C5289,""en"",""pl"")"),"solidarność")</f>
        <v>solidarność</v>
      </c>
    </row>
    <row r="5290">
      <c r="C5290" s="1" t="s">
        <v>5284</v>
      </c>
      <c r="D5290" s="3" t="str">
        <f>IFERROR(__xludf.DUMMYFUNCTION("GOOGLETRANSLATE(C5290,""en"",""pl"")"),"pomocnik")</f>
        <v>pomocnik</v>
      </c>
    </row>
    <row r="5291">
      <c r="C5291" s="1" t="s">
        <v>5285</v>
      </c>
      <c r="D5291" s="3" t="str">
        <f>IFERROR(__xludf.DUMMYFUNCTION("GOOGLETRANSLATE(C5291,""en"",""pl"")"),"rozrusznik")</f>
        <v>rozrusznik</v>
      </c>
    </row>
    <row r="5292">
      <c r="C5292" s="1" t="s">
        <v>5286</v>
      </c>
      <c r="D5292" s="3" t="str">
        <f>IFERROR(__xludf.DUMMYFUNCTION("GOOGLETRANSLATE(C5292,""en"",""pl"")"),"uważany")</f>
        <v>uważany</v>
      </c>
    </row>
    <row r="5293">
      <c r="C5293" s="1" t="s">
        <v>5287</v>
      </c>
      <c r="D5293" s="3" t="str">
        <f>IFERROR(__xludf.DUMMYFUNCTION("GOOGLETRANSLATE(C5293,""en"",""pl"")"),"Korynna")</f>
        <v>Korynna</v>
      </c>
    </row>
    <row r="5294">
      <c r="C5294" s="1" t="s">
        <v>5288</v>
      </c>
      <c r="D5294" s="3" t="str">
        <f>IFERROR(__xludf.DUMMYFUNCTION("GOOGLETRANSLATE(C5294,""en"",""pl"")"),"wulkan")</f>
        <v>wulkan</v>
      </c>
    </row>
    <row r="5295">
      <c r="C5295" s="1" t="s">
        <v>5289</v>
      </c>
      <c r="D5295" s="3" t="str">
        <f>IFERROR(__xludf.DUMMYFUNCTION("GOOGLETRANSLATE(C5295,""en"",""pl"")"),"Bradford-powrót")</f>
        <v>Bradford-powrót</v>
      </c>
    </row>
    <row r="5296">
      <c r="C5296" s="1" t="s">
        <v>5290</v>
      </c>
      <c r="D5296" s="3" t="str">
        <f>IFERROR(__xludf.DUMMYFUNCTION("GOOGLETRANSLATE(C5296,""en"",""pl"")"),"Godzilla")</f>
        <v>Godzilla</v>
      </c>
    </row>
    <row r="5297">
      <c r="C5297" s="1" t="s">
        <v>5291</v>
      </c>
      <c r="D5297" s="3" t="str">
        <f>IFERROR(__xludf.DUMMYFUNCTION("GOOGLETRANSLATE(C5297,""en"",""pl"")"),"belgijski")</f>
        <v>belgijski</v>
      </c>
    </row>
    <row r="5298">
      <c r="C5298" s="1" t="s">
        <v>5292</v>
      </c>
      <c r="D5298" s="3" t="str">
        <f>IFERROR(__xludf.DUMMYFUNCTION("GOOGLETRANSLATE(C5298,""en"",""pl"")"),"pozornie")</f>
        <v>pozornie</v>
      </c>
    </row>
    <row r="5299">
      <c r="C5299" s="1" t="s">
        <v>5293</v>
      </c>
      <c r="D5299" s="3" t="str">
        <f>IFERROR(__xludf.DUMMYFUNCTION("GOOGLETRANSLATE(C5299,""en"",""pl"")"),"przylgnąć")</f>
        <v>przylgnąć</v>
      </c>
    </row>
    <row r="5300">
      <c r="C5300" s="1" t="s">
        <v>5294</v>
      </c>
      <c r="D5300" s="3" t="str">
        <f>IFERROR(__xludf.DUMMYFUNCTION("GOOGLETRANSLATE(C5300,""en"",""pl"")"),"składniki")</f>
        <v>składniki</v>
      </c>
    </row>
    <row r="5301">
      <c r="C5301" s="1" t="s">
        <v>5295</v>
      </c>
      <c r="D5301" s="3" t="str">
        <f>IFERROR(__xludf.DUMMYFUNCTION("GOOGLETRANSLATE(C5301,""en"",""pl"")"),"wibruje")</f>
        <v>wibruje</v>
      </c>
    </row>
    <row r="5302">
      <c r="C5302" s="1" t="s">
        <v>5296</v>
      </c>
      <c r="D5302" s="3" t="str">
        <f>IFERROR(__xludf.DUMMYFUNCTION("GOOGLETRANSLATE(C5302,""en"",""pl"")"),"Missouri")</f>
        <v>Missouri</v>
      </c>
    </row>
    <row r="5303">
      <c r="C5303" s="1" t="s">
        <v>5297</v>
      </c>
      <c r="D5303" s="3" t="str">
        <f>IFERROR(__xludf.DUMMYFUNCTION("GOOGLETRANSLATE(C5303,""en"",""pl"")"),"Konstancja")</f>
        <v>Konstancja</v>
      </c>
    </row>
    <row r="5304">
      <c r="C5304" s="1" t="s">
        <v>5298</v>
      </c>
      <c r="D5304" s="3" t="str">
        <f>IFERROR(__xludf.DUMMYFUNCTION("GOOGLETRANSLATE(C5304,""en"",""pl"")"),"odbijanie")</f>
        <v>odbijanie</v>
      </c>
    </row>
    <row r="5305">
      <c r="C5305" s="1" t="s">
        <v>5299</v>
      </c>
      <c r="D5305" s="3" t="str">
        <f>IFERROR(__xludf.DUMMYFUNCTION("GOOGLETRANSLATE(C5305,""en"",""pl"")"),"kanał")</f>
        <v>kanał</v>
      </c>
    </row>
    <row r="5306">
      <c r="C5306" s="1" t="s">
        <v>5300</v>
      </c>
      <c r="D5306" s="3" t="str">
        <f>IFERROR(__xludf.DUMMYFUNCTION("GOOGLETRANSLATE(C5306,""en"",""pl"")"),"sok roślinny")</f>
        <v>sok roślinny</v>
      </c>
    </row>
    <row r="5307">
      <c r="C5307" s="1" t="s">
        <v>5301</v>
      </c>
      <c r="D5307" s="3" t="str">
        <f>IFERROR(__xludf.DUMMYFUNCTION("GOOGLETRANSLATE(C5307,""en"",""pl"")"),"rzeźby")</f>
        <v>rzeźby</v>
      </c>
    </row>
    <row r="5308">
      <c r="C5308" s="1" t="s">
        <v>5302</v>
      </c>
      <c r="D5308" s="3" t="str">
        <f>IFERROR(__xludf.DUMMYFUNCTION("GOOGLETRANSLATE(C5308,""en"",""pl"")"),"przesuwalny")</f>
        <v>przesuwalny</v>
      </c>
    </row>
    <row r="5309">
      <c r="C5309" s="1" t="s">
        <v>5303</v>
      </c>
      <c r="D5309" s="3" t="str">
        <f>IFERROR(__xludf.DUMMYFUNCTION("GOOGLETRANSLATE(C5309,""en"",""pl"")"),"wycieranie")</f>
        <v>wycieranie</v>
      </c>
    </row>
    <row r="5310">
      <c r="C5310" s="1" t="s">
        <v>5304</v>
      </c>
      <c r="D5310" s="3" t="str">
        <f>IFERROR(__xludf.DUMMYFUNCTION("GOOGLETRANSLATE(C5310,""en"",""pl"")"),"wkład")</f>
        <v>wkład</v>
      </c>
    </row>
    <row r="5311">
      <c r="C5311" s="1" t="s">
        <v>5305</v>
      </c>
      <c r="D5311" s="3" t="str">
        <f>IFERROR(__xludf.DUMMYFUNCTION("GOOGLETRANSLATE(C5311,""en"",""pl"")"),"głód")</f>
        <v>głód</v>
      </c>
    </row>
    <row r="5312">
      <c r="C5312" s="1" t="s">
        <v>5306</v>
      </c>
      <c r="D5312" s="3" t="str">
        <f>IFERROR(__xludf.DUMMYFUNCTION("GOOGLETRANSLATE(C5312,""en"",""pl"")"),"kichnięcie")</f>
        <v>kichnięcie</v>
      </c>
    </row>
    <row r="5313">
      <c r="C5313" s="1" t="s">
        <v>5307</v>
      </c>
      <c r="D5313" s="3" t="str">
        <f>IFERROR(__xludf.DUMMYFUNCTION("GOOGLETRANSLATE(C5313,""en"",""pl"")"),"zagadki")</f>
        <v>zagadki</v>
      </c>
    </row>
    <row r="5314">
      <c r="C5314" s="1" t="s">
        <v>5308</v>
      </c>
      <c r="D5314" s="3" t="str">
        <f>IFERROR(__xludf.DUMMYFUNCTION("GOOGLETRANSLATE(C5314,""en"",""pl"")"),"zaprowiantowanie")</f>
        <v>zaprowiantowanie</v>
      </c>
    </row>
    <row r="5315">
      <c r="C5315" s="1" t="s">
        <v>5309</v>
      </c>
      <c r="D5315" s="3" t="str">
        <f>IFERROR(__xludf.DUMMYFUNCTION("GOOGLETRANSLATE(C5315,""en"",""pl"")"),"gówno")</f>
        <v>gówno</v>
      </c>
    </row>
    <row r="5316">
      <c r="C5316" s="1" t="s">
        <v>5310</v>
      </c>
      <c r="D5316" s="3" t="str">
        <f>IFERROR(__xludf.DUMMYFUNCTION("GOOGLETRANSLATE(C5316,""en"",""pl"")"),"spacerować")</f>
        <v>spacerować</v>
      </c>
    </row>
    <row r="5317">
      <c r="C5317" s="1" t="s">
        <v>5311</v>
      </c>
      <c r="D5317" s="3" t="str">
        <f>IFERROR(__xludf.DUMMYFUNCTION("GOOGLETRANSLATE(C5317,""en"",""pl"")"),"strzykawka")</f>
        <v>strzykawka</v>
      </c>
    </row>
    <row r="5318">
      <c r="C5318" s="1" t="s">
        <v>5312</v>
      </c>
      <c r="D5318" s="3" t="str">
        <f>IFERROR(__xludf.DUMMYFUNCTION("GOOGLETRANSLATE(C5318,""en"",""pl"")"),"platyna")</f>
        <v>platyna</v>
      </c>
    </row>
    <row r="5319">
      <c r="C5319" s="1" t="s">
        <v>5313</v>
      </c>
      <c r="D5319" s="3" t="str">
        <f>IFERROR(__xludf.DUMMYFUNCTION("GOOGLETRANSLATE(C5319,""en"",""pl"")"),"raczej")</f>
        <v>raczej</v>
      </c>
    </row>
    <row r="5320">
      <c r="C5320" s="1" t="s">
        <v>5314</v>
      </c>
      <c r="D5320" s="3" t="str">
        <f>IFERROR(__xludf.DUMMYFUNCTION("GOOGLETRANSLATE(C5320,""en"",""pl"")"),"ostryga")</f>
        <v>ostryga</v>
      </c>
    </row>
    <row r="5321">
      <c r="C5321" s="1" t="s">
        <v>5315</v>
      </c>
      <c r="D5321" s="3" t="str">
        <f>IFERROR(__xludf.DUMMYFUNCTION("GOOGLETRANSLATE(C5321,""en"",""pl"")"),"wydechowy")</f>
        <v>wydechowy</v>
      </c>
    </row>
    <row r="5322">
      <c r="C5322" s="1" t="s">
        <v>5316</v>
      </c>
      <c r="D5322" s="3" t="str">
        <f>IFERROR(__xludf.DUMMYFUNCTION("GOOGLETRANSLATE(C5322,""en"",""pl"")"),"elektromagnetyczny")</f>
        <v>elektromagnetyczny</v>
      </c>
    </row>
    <row r="5323">
      <c r="C5323" s="1" t="s">
        <v>5317</v>
      </c>
      <c r="D5323" s="3" t="str">
        <f>IFERROR(__xludf.DUMMYFUNCTION("GOOGLETRANSLATE(C5323,""en"",""pl"")"),"konsument")</f>
        <v>konsument</v>
      </c>
    </row>
    <row r="5324">
      <c r="C5324" s="1" t="s">
        <v>5318</v>
      </c>
      <c r="D5324" s="3" t="str">
        <f>IFERROR(__xludf.DUMMYFUNCTION("GOOGLETRANSLATE(C5324,""en"",""pl"")"),"lasagne")</f>
        <v>lasagne</v>
      </c>
    </row>
    <row r="5325">
      <c r="C5325" s="1" t="s">
        <v>5319</v>
      </c>
      <c r="D5325" s="3" t="str">
        <f>IFERROR(__xludf.DUMMYFUNCTION("GOOGLETRANSLATE(C5325,""en"",""pl"")"),"Barnaba")</f>
        <v>Barnaba</v>
      </c>
    </row>
    <row r="5326">
      <c r="C5326" s="1" t="s">
        <v>5320</v>
      </c>
      <c r="D5326" s="3" t="str">
        <f>IFERROR(__xludf.DUMMYFUNCTION("GOOGLETRANSLATE(C5326,""en"",""pl"")"),"katastrofalny")</f>
        <v>katastrofalny</v>
      </c>
    </row>
    <row r="5327">
      <c r="C5327" s="1" t="s">
        <v>5321</v>
      </c>
      <c r="D5327" s="3" t="str">
        <f>IFERROR(__xludf.DUMMYFUNCTION("GOOGLETRANSLATE(C5327,""en"",""pl"")"),"Winchester")</f>
        <v>Winchester</v>
      </c>
    </row>
    <row r="5328">
      <c r="C5328" s="1" t="s">
        <v>5322</v>
      </c>
      <c r="D5328" s="3" t="str">
        <f>IFERROR(__xludf.DUMMYFUNCTION("GOOGLETRANSLATE(C5328,""en"",""pl"")"),"ojej")</f>
        <v>ojej</v>
      </c>
    </row>
    <row r="5329">
      <c r="C5329" s="1" t="s">
        <v>5323</v>
      </c>
      <c r="D5329" s="3" t="str">
        <f>IFERROR(__xludf.DUMMYFUNCTION("GOOGLETRANSLATE(C5329,""en"",""pl"")"),"Być-")</f>
        <v>Być-</v>
      </c>
    </row>
    <row r="5330">
      <c r="C5330" s="1" t="s">
        <v>5324</v>
      </c>
      <c r="D5330" s="3" t="str">
        <f>IFERROR(__xludf.DUMMYFUNCTION("GOOGLETRANSLATE(C5330,""en"",""pl"")"),"ewakuowany")</f>
        <v>ewakuowany</v>
      </c>
    </row>
    <row r="5331">
      <c r="C5331" s="1" t="s">
        <v>5325</v>
      </c>
      <c r="D5331" s="3" t="str">
        <f>IFERROR(__xludf.DUMMYFUNCTION("GOOGLETRANSLATE(C5331,""en"",""pl"")"),"serż")</f>
        <v>serż</v>
      </c>
    </row>
    <row r="5332">
      <c r="C5332" s="1" t="s">
        <v>5326</v>
      </c>
      <c r="D5332" s="3" t="str">
        <f>IFERROR(__xludf.DUMMYFUNCTION("GOOGLETRANSLATE(C5332,""en"",""pl"")"),"relikt")</f>
        <v>relikt</v>
      </c>
    </row>
    <row r="5333">
      <c r="C5333" s="1" t="s">
        <v>5327</v>
      </c>
      <c r="D5333" s="3" t="str">
        <f>IFERROR(__xludf.DUMMYFUNCTION("GOOGLETRANSLATE(C5333,""en"",""pl"")"),"opisuje")</f>
        <v>opisuje</v>
      </c>
    </row>
    <row r="5334">
      <c r="C5334" s="1" t="s">
        <v>5328</v>
      </c>
      <c r="D5334" s="3" t="str">
        <f>IFERROR(__xludf.DUMMYFUNCTION("GOOGLETRANSLATE(C5334,""en"",""pl"")"),"połączenie")</f>
        <v>połączenie</v>
      </c>
    </row>
    <row r="5335">
      <c r="C5335" s="1" t="s">
        <v>5329</v>
      </c>
      <c r="D5335" s="3" t="str">
        <f>IFERROR(__xludf.DUMMYFUNCTION("GOOGLETRANSLATE(C5335,""en"",""pl"")"),"błoto")</f>
        <v>błoto</v>
      </c>
    </row>
    <row r="5336">
      <c r="C5336" s="1" t="s">
        <v>5330</v>
      </c>
      <c r="D5336" s="3" t="str">
        <f>IFERROR(__xludf.DUMMYFUNCTION("GOOGLETRANSLATE(C5336,""en"",""pl"")"),"pąki")</f>
        <v>pąki</v>
      </c>
    </row>
    <row r="5337">
      <c r="C5337" s="1" t="s">
        <v>5331</v>
      </c>
      <c r="D5337" s="3" t="str">
        <f>IFERROR(__xludf.DUMMYFUNCTION("GOOGLETRANSLATE(C5337,""en"",""pl"")"),"społecznie")</f>
        <v>społecznie</v>
      </c>
    </row>
    <row r="5338">
      <c r="C5338" s="1" t="s">
        <v>5332</v>
      </c>
      <c r="D5338" s="3" t="str">
        <f>IFERROR(__xludf.DUMMYFUNCTION("GOOGLETRANSLATE(C5338,""en"",""pl"")"),"zaciągnął się")</f>
        <v>zaciągnął się</v>
      </c>
    </row>
    <row r="5339">
      <c r="C5339" s="1" t="s">
        <v>5333</v>
      </c>
      <c r="D5339" s="3" t="str">
        <f>IFERROR(__xludf.DUMMYFUNCTION("GOOGLETRANSLATE(C5339,""en"",""pl"")"),"depozyty")</f>
        <v>depozyty</v>
      </c>
    </row>
    <row r="5340">
      <c r="C5340" s="1" t="s">
        <v>5334</v>
      </c>
      <c r="D5340" s="3" t="str">
        <f>IFERROR(__xludf.DUMMYFUNCTION("GOOGLETRANSLATE(C5340,""en"",""pl"")"),"Filipiny")</f>
        <v>Filipiny</v>
      </c>
    </row>
    <row r="5341">
      <c r="C5341" s="1" t="s">
        <v>5335</v>
      </c>
      <c r="D5341" s="3" t="str">
        <f>IFERROR(__xludf.DUMMYFUNCTION("GOOGLETRANSLATE(C5341,""en"",""pl"")"),"arcybiskup")</f>
        <v>arcybiskup</v>
      </c>
    </row>
    <row r="5342">
      <c r="C5342" s="1" t="s">
        <v>5336</v>
      </c>
      <c r="D5342" s="3" t="str">
        <f>IFERROR(__xludf.DUMMYFUNCTION("GOOGLETRANSLATE(C5342,""en"",""pl"")"),"przemycać")</f>
        <v>przemycać</v>
      </c>
    </row>
    <row r="5343">
      <c r="C5343" s="1" t="s">
        <v>5337</v>
      </c>
      <c r="D5343" s="3" t="str">
        <f>IFERROR(__xludf.DUMMYFUNCTION("GOOGLETRANSLATE(C5343,""en"",""pl"")"),"punkt kulminacyjny")</f>
        <v>punkt kulminacyjny</v>
      </c>
    </row>
    <row r="5344">
      <c r="C5344" s="1" t="s">
        <v>5338</v>
      </c>
      <c r="D5344" s="3" t="str">
        <f>IFERROR(__xludf.DUMMYFUNCTION("GOOGLETRANSLATE(C5344,""en"",""pl"")"),"progresywny")</f>
        <v>progresywny</v>
      </c>
    </row>
    <row r="5345">
      <c r="C5345" s="1" t="s">
        <v>5339</v>
      </c>
      <c r="D5345" s="3" t="str">
        <f>IFERROR(__xludf.DUMMYFUNCTION("GOOGLETRANSLATE(C5345,""en"",""pl"")"),"świszczący oddech")</f>
        <v>świszczący oddech</v>
      </c>
    </row>
    <row r="5346">
      <c r="C5346" s="1" t="s">
        <v>5340</v>
      </c>
      <c r="D5346" s="3" t="str">
        <f>IFERROR(__xludf.DUMMYFUNCTION("GOOGLETRANSLATE(C5346,""en"",""pl"")"),"syngiel")</f>
        <v>syngiel</v>
      </c>
    </row>
    <row r="5347">
      <c r="C5347" s="1" t="s">
        <v>5341</v>
      </c>
      <c r="D5347" s="3" t="str">
        <f>IFERROR(__xludf.DUMMYFUNCTION("GOOGLETRANSLATE(C5347,""en"",""pl"")"),"filar")</f>
        <v>filar</v>
      </c>
    </row>
    <row r="5348">
      <c r="C5348" s="1" t="s">
        <v>5342</v>
      </c>
      <c r="D5348" s="3" t="str">
        <f>IFERROR(__xludf.DUMMYFUNCTION("GOOGLETRANSLATE(C5348,""en"",""pl"")"),"straszliwy")</f>
        <v>straszliwy</v>
      </c>
    </row>
    <row r="5349">
      <c r="C5349" s="1" t="s">
        <v>5343</v>
      </c>
      <c r="D5349" s="3" t="str">
        <f>IFERROR(__xludf.DUMMYFUNCTION("GOOGLETRANSLATE(C5349,""en"",""pl"")"),"łopata")</f>
        <v>łopata</v>
      </c>
    </row>
    <row r="5350">
      <c r="C5350" s="1" t="s">
        <v>5344</v>
      </c>
      <c r="D5350" s="3" t="str">
        <f>IFERROR(__xludf.DUMMYFUNCTION("GOOGLETRANSLATE(C5350,""en"",""pl"")"),"spodek")</f>
        <v>spodek</v>
      </c>
    </row>
    <row r="5351">
      <c r="C5351" s="1" t="s">
        <v>5345</v>
      </c>
      <c r="D5351" s="3" t="str">
        <f>IFERROR(__xludf.DUMMYFUNCTION("GOOGLETRANSLATE(C5351,""en"",""pl"")"),"stosunek")</f>
        <v>stosunek</v>
      </c>
    </row>
    <row r="5352">
      <c r="C5352" s="1" t="s">
        <v>5346</v>
      </c>
      <c r="D5352" s="3" t="str">
        <f>IFERROR(__xludf.DUMMYFUNCTION("GOOGLETRANSLATE(C5352,""en"",""pl"")"),"pragnienie")</f>
        <v>pragnienie</v>
      </c>
    </row>
    <row r="5353">
      <c r="C5353" s="1" t="s">
        <v>5347</v>
      </c>
      <c r="D5353" s="3" t="str">
        <f>IFERROR(__xludf.DUMMYFUNCTION("GOOGLETRANSLATE(C5353,""en"",""pl"")"),"narkomani")</f>
        <v>narkomani</v>
      </c>
    </row>
    <row r="5354">
      <c r="C5354" s="1" t="s">
        <v>5348</v>
      </c>
      <c r="D5354" s="3" t="str">
        <f>IFERROR(__xludf.DUMMYFUNCTION("GOOGLETRANSLATE(C5354,""en"",""pl"")"),"klif")</f>
        <v>klif</v>
      </c>
    </row>
    <row r="5355">
      <c r="C5355" s="1" t="s">
        <v>5349</v>
      </c>
      <c r="D5355" s="3" t="str">
        <f>IFERROR(__xludf.DUMMYFUNCTION("GOOGLETRANSLATE(C5355,""en"",""pl"")"),"Orson")</f>
        <v>Orson</v>
      </c>
    </row>
    <row r="5356">
      <c r="C5356" s="1" t="s">
        <v>5350</v>
      </c>
      <c r="D5356" s="3" t="str">
        <f>IFERROR(__xludf.DUMMYFUNCTION("GOOGLETRANSLATE(C5356,""en"",""pl"")"),"Nashville")</f>
        <v>Nashville</v>
      </c>
    </row>
    <row r="5357">
      <c r="C5357" s="1" t="s">
        <v>5351</v>
      </c>
      <c r="D5357" s="3" t="str">
        <f>IFERROR(__xludf.DUMMYFUNCTION("GOOGLETRANSLATE(C5357,""en"",""pl"")"),"piękności")</f>
        <v>piękności</v>
      </c>
    </row>
    <row r="5358">
      <c r="C5358" s="1" t="s">
        <v>5352</v>
      </c>
      <c r="D5358" s="3" t="str">
        <f>IFERROR(__xludf.DUMMYFUNCTION("GOOGLETRANSLATE(C5358,""en"",""pl"")"),"niejasny")</f>
        <v>niejasny</v>
      </c>
    </row>
    <row r="5359">
      <c r="C5359" s="1" t="s">
        <v>5353</v>
      </c>
      <c r="D5359" s="3" t="str">
        <f>IFERROR(__xludf.DUMMYFUNCTION("GOOGLETRANSLATE(C5359,""en"",""pl"")"),"Pani")</f>
        <v>Pani</v>
      </c>
    </row>
    <row r="5360">
      <c r="C5360" s="1" t="s">
        <v>5354</v>
      </c>
      <c r="D5360" s="3" t="str">
        <f>IFERROR(__xludf.DUMMYFUNCTION("GOOGLETRANSLATE(C5360,""en"",""pl"")"),"kłopotliwy")</f>
        <v>kłopotliwy</v>
      </c>
    </row>
    <row r="5361">
      <c r="C5361" s="1" t="s">
        <v>5355</v>
      </c>
      <c r="D5361" s="3" t="str">
        <f>IFERROR(__xludf.DUMMYFUNCTION("GOOGLETRANSLATE(C5361,""en"",""pl"")"),"gruz")</f>
        <v>gruz</v>
      </c>
    </row>
    <row r="5362">
      <c r="C5362" s="1" t="s">
        <v>5356</v>
      </c>
      <c r="D5362" s="3" t="str">
        <f>IFERROR(__xludf.DUMMYFUNCTION("GOOGLETRANSLATE(C5362,""en"",""pl"")"),"w dużej mierze")</f>
        <v>w dużej mierze</v>
      </c>
    </row>
    <row r="5363">
      <c r="C5363" s="1" t="s">
        <v>5357</v>
      </c>
      <c r="D5363" s="3" t="str">
        <f>IFERROR(__xludf.DUMMYFUNCTION("GOOGLETRANSLATE(C5363,""en"",""pl"")"),"Fong")</f>
        <v>Fong</v>
      </c>
    </row>
    <row r="5364">
      <c r="C5364" s="1" t="s">
        <v>5358</v>
      </c>
      <c r="D5364" s="3" t="str">
        <f>IFERROR(__xludf.DUMMYFUNCTION("GOOGLETRANSLATE(C5364,""en"",""pl"")"),"Irina")</f>
        <v>Irina</v>
      </c>
    </row>
    <row r="5365">
      <c r="C5365" s="1" t="s">
        <v>5359</v>
      </c>
      <c r="D5365" s="3" t="str">
        <f>IFERROR(__xludf.DUMMYFUNCTION("GOOGLETRANSLATE(C5365,""en"",""pl"")"),"ahn")</f>
        <v>ahn</v>
      </c>
    </row>
    <row r="5366">
      <c r="C5366" s="1" t="s">
        <v>5360</v>
      </c>
      <c r="D5366" s="3" t="str">
        <f>IFERROR(__xludf.DUMMYFUNCTION("GOOGLETRANSLATE(C5366,""en"",""pl"")"),"podziw")</f>
        <v>podziw</v>
      </c>
    </row>
    <row r="5367">
      <c r="C5367" s="1" t="s">
        <v>5361</v>
      </c>
      <c r="D5367" s="3" t="str">
        <f>IFERROR(__xludf.DUMMYFUNCTION("GOOGLETRANSLATE(C5367,""en"",""pl"")"),"Lizzy")</f>
        <v>Lizzy</v>
      </c>
    </row>
    <row r="5368">
      <c r="C5368" s="1" t="s">
        <v>5362</v>
      </c>
      <c r="D5368" s="3" t="str">
        <f>IFERROR(__xludf.DUMMYFUNCTION("GOOGLETRANSLATE(C5368,""en"",""pl"")"),"klapka")</f>
        <v>klapka</v>
      </c>
    </row>
    <row r="5369">
      <c r="C5369" s="1" t="s">
        <v>5363</v>
      </c>
      <c r="D5369" s="3" t="str">
        <f>IFERROR(__xludf.DUMMYFUNCTION("GOOGLETRANSLATE(C5369,""en"",""pl"")"),"brutalność")</f>
        <v>brutalność</v>
      </c>
    </row>
    <row r="5370">
      <c r="C5370" s="1" t="s">
        <v>5364</v>
      </c>
      <c r="D5370" s="3" t="str">
        <f>IFERROR(__xludf.DUMMYFUNCTION("GOOGLETRANSLATE(C5370,""en"",""pl"")"),"Marianna")</f>
        <v>Marianna</v>
      </c>
    </row>
    <row r="5371">
      <c r="C5371" s="1" t="s">
        <v>5365</v>
      </c>
      <c r="D5371" s="3" t="str">
        <f>IFERROR(__xludf.DUMMYFUNCTION("GOOGLETRANSLATE(C5371,""en"",""pl"")"),"panować")</f>
        <v>panować</v>
      </c>
    </row>
    <row r="5372">
      <c r="C5372" s="1" t="s">
        <v>5366</v>
      </c>
      <c r="D5372" s="3" t="str">
        <f>IFERROR(__xludf.DUMMYFUNCTION("GOOGLETRANSLATE(C5372,""en"",""pl"")"),"wytatuowany")</f>
        <v>wytatuowany</v>
      </c>
    </row>
    <row r="5373">
      <c r="C5373" s="1" t="s">
        <v>5367</v>
      </c>
      <c r="D5373" s="3" t="str">
        <f>IFERROR(__xludf.DUMMYFUNCTION("GOOGLETRANSLATE(C5373,""en"",""pl"")"),"bachory")</f>
        <v>bachory</v>
      </c>
    </row>
    <row r="5374">
      <c r="C5374" s="1" t="s">
        <v>5368</v>
      </c>
      <c r="D5374" s="3" t="str">
        <f>IFERROR(__xludf.DUMMYFUNCTION("GOOGLETRANSLATE(C5374,""en"",""pl"")"),"boleść")</f>
        <v>boleść</v>
      </c>
    </row>
    <row r="5375">
      <c r="C5375" s="1" t="s">
        <v>5369</v>
      </c>
      <c r="D5375" s="3" t="str">
        <f>IFERROR(__xludf.DUMMYFUNCTION("GOOGLETRANSLATE(C5375,""en"",""pl"")"),"kaprys")</f>
        <v>kaprys</v>
      </c>
    </row>
    <row r="5376">
      <c r="C5376" s="1" t="s">
        <v>5370</v>
      </c>
      <c r="D5376" s="3" t="str">
        <f>IFERROR(__xludf.DUMMYFUNCTION("GOOGLETRANSLATE(C5376,""en"",""pl"")"),"nic")</f>
        <v>nic</v>
      </c>
    </row>
    <row r="5377">
      <c r="C5377" s="1" t="s">
        <v>5371</v>
      </c>
      <c r="D5377" s="3" t="str">
        <f>IFERROR(__xludf.DUMMYFUNCTION("GOOGLETRANSLATE(C5377,""en"",""pl"")"),"przecieki")</f>
        <v>przecieki</v>
      </c>
    </row>
    <row r="5378">
      <c r="C5378" s="1" t="s">
        <v>5372</v>
      </c>
      <c r="D5378" s="3" t="str">
        <f>IFERROR(__xludf.DUMMYFUNCTION("GOOGLETRANSLATE(C5378,""en"",""pl"")"),"smar")</f>
        <v>smar</v>
      </c>
    </row>
    <row r="5379">
      <c r="C5379" s="1" t="s">
        <v>5373</v>
      </c>
      <c r="D5379" s="3" t="str">
        <f>IFERROR(__xludf.DUMMYFUNCTION("GOOGLETRANSLATE(C5379,""en"",""pl"")"),"amorek")</f>
        <v>amorek</v>
      </c>
    </row>
    <row r="5380">
      <c r="C5380" s="1" t="s">
        <v>5374</v>
      </c>
      <c r="D5380" s="3" t="str">
        <f>IFERROR(__xludf.DUMMYFUNCTION("GOOGLETRANSLATE(C5380,""en"",""pl"")"),"hana")</f>
        <v>hana</v>
      </c>
    </row>
    <row r="5381">
      <c r="C5381" s="1" t="s">
        <v>5375</v>
      </c>
      <c r="D5381" s="3" t="str">
        <f>IFERROR(__xludf.DUMMYFUNCTION("GOOGLETRANSLATE(C5381,""en"",""pl"")"),"kolonialny")</f>
        <v>kolonialny</v>
      </c>
    </row>
    <row r="5382">
      <c r="C5382" s="1" t="s">
        <v>5376</v>
      </c>
      <c r="D5382" s="3" t="str">
        <f>IFERROR(__xludf.DUMMYFUNCTION("GOOGLETRANSLATE(C5382,""en"",""pl"")"),"kobieta")</f>
        <v>kobieta</v>
      </c>
    </row>
    <row r="5383">
      <c r="C5383" s="1" t="s">
        <v>5377</v>
      </c>
      <c r="D5383" s="3" t="str">
        <f>IFERROR(__xludf.DUMMYFUNCTION("GOOGLETRANSLATE(C5383,""en"",""pl"")"),"prędkości")</f>
        <v>prędkości</v>
      </c>
    </row>
    <row r="5384">
      <c r="C5384" s="4" t="s">
        <v>5378</v>
      </c>
      <c r="D5384" s="3" t="str">
        <f>IFERROR(__xludf.DUMMYFUNCTION("GOOGLETRANSLATE(C5384,""en"",""pl"")"),"uld")</f>
        <v>uld</v>
      </c>
    </row>
    <row r="5385">
      <c r="C5385" s="1" t="s">
        <v>5379</v>
      </c>
      <c r="D5385" s="3" t="str">
        <f>IFERROR(__xludf.DUMMYFUNCTION("GOOGLETRANSLATE(C5385,""en"",""pl"")"),"sprawca")</f>
        <v>sprawca</v>
      </c>
    </row>
    <row r="5386">
      <c r="C5386" s="1" t="s">
        <v>5380</v>
      </c>
      <c r="D5386" s="3" t="str">
        <f>IFERROR(__xludf.DUMMYFUNCTION("GOOGLETRANSLATE(C5386,""en"",""pl"")"),"arbuz")</f>
        <v>arbuz</v>
      </c>
    </row>
    <row r="5387">
      <c r="C5387" s="1" t="s">
        <v>5381</v>
      </c>
      <c r="D5387" s="3" t="str">
        <f>IFERROR(__xludf.DUMMYFUNCTION("GOOGLETRANSLATE(C5387,""en"",""pl"")"),"opróżniony")</f>
        <v>opróżniony</v>
      </c>
    </row>
    <row r="5388">
      <c r="C5388" s="1" t="s">
        <v>5382</v>
      </c>
      <c r="D5388" s="3" t="str">
        <f>IFERROR(__xludf.DUMMYFUNCTION("GOOGLETRANSLATE(C5388,""en"",""pl"")"),"sponsorowany")</f>
        <v>sponsorowany</v>
      </c>
    </row>
    <row r="5389">
      <c r="C5389" s="1" t="s">
        <v>5383</v>
      </c>
      <c r="D5389" s="3" t="str">
        <f>IFERROR(__xludf.DUMMYFUNCTION("GOOGLETRANSLATE(C5389,""en"",""pl"")"),"dach")</f>
        <v>dach</v>
      </c>
    </row>
    <row r="5390">
      <c r="C5390" s="1" t="s">
        <v>5384</v>
      </c>
      <c r="D5390" s="3" t="str">
        <f>IFERROR(__xludf.DUMMYFUNCTION("GOOGLETRANSLATE(C5390,""en"",""pl"")"),"Atena")</f>
        <v>Atena</v>
      </c>
    </row>
    <row r="5391">
      <c r="C5391" s="1" t="s">
        <v>5385</v>
      </c>
      <c r="D5391" s="3" t="str">
        <f>IFERROR(__xludf.DUMMYFUNCTION("GOOGLETRANSLATE(C5391,""en"",""pl"")"),"menedżerowie")</f>
        <v>menedżerowie</v>
      </c>
    </row>
    <row r="5392">
      <c r="C5392" s="1" t="s">
        <v>5386</v>
      </c>
      <c r="D5392" s="3" t="str">
        <f>IFERROR(__xludf.DUMMYFUNCTION("GOOGLETRANSLATE(C5392,""en"",""pl"")"),"ekstrakcja")</f>
        <v>ekstrakcja</v>
      </c>
    </row>
    <row r="5393">
      <c r="C5393" s="1" t="s">
        <v>5387</v>
      </c>
      <c r="D5393" s="3" t="str">
        <f>IFERROR(__xludf.DUMMYFUNCTION("GOOGLETRANSLATE(C5393,""en"",""pl"")"),"statystyka")</f>
        <v>statystyka</v>
      </c>
    </row>
    <row r="5394">
      <c r="C5394" s="1" t="s">
        <v>5388</v>
      </c>
      <c r="D5394" s="3" t="str">
        <f>IFERROR(__xludf.DUMMYFUNCTION("GOOGLETRANSLATE(C5394,""en"",""pl"")"),"nosorożec")</f>
        <v>nosorożec</v>
      </c>
    </row>
    <row r="5395">
      <c r="C5395" s="1" t="s">
        <v>5389</v>
      </c>
      <c r="D5395" s="3" t="str">
        <f>IFERROR(__xludf.DUMMYFUNCTION("GOOGLETRANSLATE(C5395,""en"",""pl"")"),"biegunka")</f>
        <v>biegunka</v>
      </c>
    </row>
    <row r="5396">
      <c r="C5396" s="1" t="s">
        <v>5390</v>
      </c>
      <c r="D5396" s="3" t="str">
        <f>IFERROR(__xludf.DUMMYFUNCTION("GOOGLETRANSLATE(C5396,""en"",""pl"")"),"lekceważenie")</f>
        <v>lekceważenie</v>
      </c>
    </row>
    <row r="5397">
      <c r="C5397" s="1" t="s">
        <v>5391</v>
      </c>
      <c r="D5397" s="3" t="str">
        <f>IFERROR(__xludf.DUMMYFUNCTION("GOOGLETRANSLATE(C5397,""en"",""pl"")"),"rozgrzany")</f>
        <v>rozgrzany</v>
      </c>
    </row>
    <row r="5398">
      <c r="C5398" s="1" t="s">
        <v>5392</v>
      </c>
      <c r="D5398" s="3" t="str">
        <f>IFERROR(__xludf.DUMMYFUNCTION("GOOGLETRANSLATE(C5398,""en"",""pl"")"),"okulary ochronne")</f>
        <v>okulary ochronne</v>
      </c>
    </row>
    <row r="5399">
      <c r="C5399" s="1" t="s">
        <v>5393</v>
      </c>
      <c r="D5399" s="3" t="str">
        <f>IFERROR(__xludf.DUMMYFUNCTION("GOOGLETRANSLATE(C5399,""en"",""pl"")"),"Kolumbia")</f>
        <v>Kolumbia</v>
      </c>
    </row>
    <row r="5400">
      <c r="C5400" s="1" t="s">
        <v>5394</v>
      </c>
      <c r="D5400" s="3" t="str">
        <f>IFERROR(__xludf.DUMMYFUNCTION("GOOGLETRANSLATE(C5400,""en"",""pl"")"),"zmagania")</f>
        <v>zmagania</v>
      </c>
    </row>
    <row r="5401">
      <c r="C5401" s="1" t="s">
        <v>5395</v>
      </c>
      <c r="D5401" s="3" t="str">
        <f>IFERROR(__xludf.DUMMYFUNCTION("GOOGLETRANSLATE(C5401,""en"",""pl"")"),"zdatność")</f>
        <v>zdatność</v>
      </c>
    </row>
    <row r="5402">
      <c r="C5402" s="1" t="s">
        <v>5396</v>
      </c>
      <c r="D5402" s="3" t="str">
        <f>IFERROR(__xludf.DUMMYFUNCTION("GOOGLETRANSLATE(C5402,""en"",""pl"")"),"oskalpować")</f>
        <v>oskalpować</v>
      </c>
    </row>
    <row r="5403">
      <c r="C5403" s="1" t="s">
        <v>5397</v>
      </c>
      <c r="D5403" s="3" t="str">
        <f>IFERROR(__xludf.DUMMYFUNCTION("GOOGLETRANSLATE(C5403,""en"",""pl"")"),"weterani")</f>
        <v>weterani</v>
      </c>
    </row>
    <row r="5404">
      <c r="C5404" s="1" t="s">
        <v>5398</v>
      </c>
      <c r="D5404" s="3" t="str">
        <f>IFERROR(__xludf.DUMMYFUNCTION("GOOGLETRANSLATE(C5404,""en"",""pl"")"),"walizki")</f>
        <v>walizki</v>
      </c>
    </row>
    <row r="5405">
      <c r="C5405" s="1" t="s">
        <v>5399</v>
      </c>
      <c r="D5405" s="3" t="str">
        <f>IFERROR(__xludf.DUMMYFUNCTION("GOOGLETRANSLATE(C5405,""en"",""pl"")"),"kensi")</f>
        <v>kensi</v>
      </c>
    </row>
    <row r="5406">
      <c r="C5406" s="1" t="s">
        <v>5400</v>
      </c>
      <c r="D5406" s="3" t="str">
        <f>IFERROR(__xludf.DUMMYFUNCTION("GOOGLETRANSLATE(C5406,""en"",""pl"")"),"stróż")</f>
        <v>stróż</v>
      </c>
    </row>
    <row r="5407">
      <c r="C5407" s="1" t="s">
        <v>5401</v>
      </c>
      <c r="D5407" s="3" t="str">
        <f>IFERROR(__xludf.DUMMYFUNCTION("GOOGLETRANSLATE(C5407,""en"",""pl"")"),"pieścić")</f>
        <v>pieścić</v>
      </c>
    </row>
    <row r="5408">
      <c r="C5408" s="1" t="s">
        <v>5402</v>
      </c>
      <c r="D5408" s="3" t="str">
        <f>IFERROR(__xludf.DUMMYFUNCTION("GOOGLETRANSLATE(C5408,""en"",""pl"")"),"Devlin")</f>
        <v>Devlin</v>
      </c>
    </row>
    <row r="5409">
      <c r="C5409" s="1" t="s">
        <v>5403</v>
      </c>
      <c r="D5409" s="3" t="str">
        <f>IFERROR(__xludf.DUMMYFUNCTION("GOOGLETRANSLATE(C5409,""en"",""pl"")"),"wyłącznie")</f>
        <v>wyłącznie</v>
      </c>
    </row>
    <row r="5410">
      <c r="C5410" s="1" t="s">
        <v>5404</v>
      </c>
      <c r="D5410" s="3" t="str">
        <f>IFERROR(__xludf.DUMMYFUNCTION("GOOGLETRANSLATE(C5410,""en"",""pl"")"),"uczeń")</f>
        <v>uczeń</v>
      </c>
    </row>
    <row r="5411">
      <c r="C5411" s="1" t="s">
        <v>5405</v>
      </c>
      <c r="D5411" s="3" t="str">
        <f>IFERROR(__xludf.DUMMYFUNCTION("GOOGLETRANSLATE(C5411,""en"",""pl"")"),"mglisty")</f>
        <v>mglisty</v>
      </c>
    </row>
    <row r="5412">
      <c r="C5412" s="1" t="s">
        <v>5406</v>
      </c>
      <c r="D5412" s="3" t="str">
        <f>IFERROR(__xludf.DUMMYFUNCTION("GOOGLETRANSLATE(C5412,""en"",""pl"")"),"aura")</f>
        <v>aura</v>
      </c>
    </row>
    <row r="5413">
      <c r="C5413" s="1" t="s">
        <v>5407</v>
      </c>
      <c r="D5413" s="3" t="str">
        <f>IFERROR(__xludf.DUMMYFUNCTION("GOOGLETRANSLATE(C5413,""en"",""pl"")"),"hełm")</f>
        <v>hełm</v>
      </c>
    </row>
    <row r="5414">
      <c r="C5414" s="1" t="s">
        <v>5408</v>
      </c>
      <c r="D5414" s="3" t="str">
        <f>IFERROR(__xludf.DUMMYFUNCTION("GOOGLETRANSLATE(C5414,""en"",""pl"")"),"żłobek")</f>
        <v>żłobek</v>
      </c>
    </row>
    <row r="5415">
      <c r="C5415" s="1" t="s">
        <v>5409</v>
      </c>
      <c r="D5415" s="3" t="str">
        <f>IFERROR(__xludf.DUMMYFUNCTION("GOOGLETRANSLATE(C5415,""en"",""pl"")"),"wdychać")</f>
        <v>wdychać</v>
      </c>
    </row>
    <row r="5416">
      <c r="C5416" s="1" t="s">
        <v>5410</v>
      </c>
      <c r="D5416" s="3" t="str">
        <f>IFERROR(__xludf.DUMMYFUNCTION("GOOGLETRANSLATE(C5416,""en"",""pl"")"),"wiadra")</f>
        <v>wiadra</v>
      </c>
    </row>
    <row r="5417">
      <c r="C5417" s="1" t="s">
        <v>5411</v>
      </c>
      <c r="D5417" s="3" t="str">
        <f>IFERROR(__xludf.DUMMYFUNCTION("GOOGLETRANSLATE(C5417,""en"",""pl"")"),"uwielbiany")</f>
        <v>uwielbiany</v>
      </c>
    </row>
    <row r="5418">
      <c r="C5418" s="1" t="s">
        <v>5412</v>
      </c>
      <c r="D5418" s="3" t="str">
        <f>IFERROR(__xludf.DUMMYFUNCTION("GOOGLETRANSLATE(C5418,""en"",""pl"")"),"szylingi")</f>
        <v>szylingi</v>
      </c>
    </row>
    <row r="5419">
      <c r="C5419" s="1" t="s">
        <v>5413</v>
      </c>
      <c r="D5419" s="3" t="str">
        <f>IFERROR(__xludf.DUMMYFUNCTION("GOOGLETRANSLATE(C5419,""en"",""pl"")"),"Kari")</f>
        <v>Kari</v>
      </c>
    </row>
    <row r="5420">
      <c r="C5420" s="1" t="s">
        <v>5414</v>
      </c>
      <c r="D5420" s="3" t="str">
        <f>IFERROR(__xludf.DUMMYFUNCTION("GOOGLETRANSLATE(C5420,""en"",""pl"")"),"namioty")</f>
        <v>namioty</v>
      </c>
    </row>
    <row r="5421">
      <c r="C5421" s="1" t="s">
        <v>5415</v>
      </c>
      <c r="D5421" s="3" t="str">
        <f>IFERROR(__xludf.DUMMYFUNCTION("GOOGLETRANSLATE(C5421,""en"",""pl"")"),"cofnij się")</f>
        <v>cofnij się</v>
      </c>
    </row>
    <row r="5422">
      <c r="C5422" s="1" t="s">
        <v>5416</v>
      </c>
      <c r="D5422" s="3" t="str">
        <f>IFERROR(__xludf.DUMMYFUNCTION("GOOGLETRANSLATE(C5422,""en"",""pl"")"),"żywopłot")</f>
        <v>żywopłot</v>
      </c>
    </row>
    <row r="5423">
      <c r="C5423" s="1" t="s">
        <v>5417</v>
      </c>
      <c r="D5423" s="3" t="str">
        <f>IFERROR(__xludf.DUMMYFUNCTION("GOOGLETRANSLATE(C5423,""en"",""pl"")"),"e.r.")</f>
        <v>e.r.</v>
      </c>
    </row>
    <row r="5424">
      <c r="C5424" s="1" t="s">
        <v>5418</v>
      </c>
      <c r="D5424" s="3" t="str">
        <f>IFERROR(__xludf.DUMMYFUNCTION("GOOGLETRANSLATE(C5424,""en"",""pl"")"),"parskanie")</f>
        <v>parskanie</v>
      </c>
    </row>
    <row r="5425">
      <c r="C5425" s="1" t="s">
        <v>5419</v>
      </c>
      <c r="D5425" s="3" t="str">
        <f>IFERROR(__xludf.DUMMYFUNCTION("GOOGLETRANSLATE(C5425,""en"",""pl"")"),"żmija")</f>
        <v>żmija</v>
      </c>
    </row>
    <row r="5426">
      <c r="C5426" s="1" t="s">
        <v>5420</v>
      </c>
      <c r="D5426" s="3" t="str">
        <f>IFERROR(__xludf.DUMMYFUNCTION("GOOGLETRANSLATE(C5426,""en"",""pl"")"),"koparka")</f>
        <v>koparka</v>
      </c>
    </row>
    <row r="5427">
      <c r="C5427" s="1" t="s">
        <v>5421</v>
      </c>
      <c r="D5427" s="3" t="str">
        <f>IFERROR(__xludf.DUMMYFUNCTION("GOOGLETRANSLATE(C5427,""en"",""pl"")"),"przerywacz")</f>
        <v>przerywacz</v>
      </c>
    </row>
    <row r="5428">
      <c r="C5428" s="1" t="s">
        <v>5422</v>
      </c>
      <c r="D5428" s="3" t="str">
        <f>IFERROR(__xludf.DUMMYFUNCTION("GOOGLETRANSLATE(C5428,""en"",""pl"")"),"klopsiki")</f>
        <v>klopsiki</v>
      </c>
    </row>
    <row r="5429">
      <c r="C5429" s="1" t="s">
        <v>5423</v>
      </c>
      <c r="D5429" s="3" t="str">
        <f>IFERROR(__xludf.DUMMYFUNCTION("GOOGLETRANSLATE(C5429,""en"",""pl"")"),"stłumić")</f>
        <v>stłumić</v>
      </c>
    </row>
    <row r="5430">
      <c r="C5430" s="1" t="s">
        <v>5424</v>
      </c>
      <c r="D5430" s="3" t="str">
        <f>IFERROR(__xludf.DUMMYFUNCTION("GOOGLETRANSLATE(C5430,""en"",""pl"")"),"dowcipny")</f>
        <v>dowcipny</v>
      </c>
    </row>
    <row r="5431">
      <c r="C5431" s="1" t="s">
        <v>5425</v>
      </c>
      <c r="D5431" s="3" t="str">
        <f>IFERROR(__xludf.DUMMYFUNCTION("GOOGLETRANSLATE(C5431,""en"",""pl"")"),"fenomenalnie")</f>
        <v>fenomenalnie</v>
      </c>
    </row>
    <row r="5432">
      <c r="C5432" s="1" t="s">
        <v>5426</v>
      </c>
      <c r="D5432" s="3" t="str">
        <f>IFERROR(__xludf.DUMMYFUNCTION("GOOGLETRANSLATE(C5432,""en"",""pl"")"),"szogun")</f>
        <v>szogun</v>
      </c>
    </row>
    <row r="5433">
      <c r="C5433" s="1" t="s">
        <v>5427</v>
      </c>
      <c r="D5433" s="3" t="str">
        <f>IFERROR(__xludf.DUMMYFUNCTION("GOOGLETRANSLATE(C5433,""en"",""pl"")"),"zachęta")</f>
        <v>zachęta</v>
      </c>
    </row>
    <row r="5434">
      <c r="C5434" s="1" t="s">
        <v>5428</v>
      </c>
      <c r="D5434" s="3" t="str">
        <f>IFERROR(__xludf.DUMMYFUNCTION("GOOGLETRANSLATE(C5434,""en"",""pl"")"),"przechwycony")</f>
        <v>przechwycony</v>
      </c>
    </row>
    <row r="5435">
      <c r="C5435" s="1" t="s">
        <v>5429</v>
      </c>
      <c r="D5435" s="3" t="str">
        <f>IFERROR(__xludf.DUMMYFUNCTION("GOOGLETRANSLATE(C5435,""en"",""pl"")"),"cholera")</f>
        <v>cholera</v>
      </c>
    </row>
    <row r="5436">
      <c r="C5436" s="1" t="s">
        <v>5430</v>
      </c>
      <c r="D5436" s="3" t="str">
        <f>IFERROR(__xludf.DUMMYFUNCTION("GOOGLETRANSLATE(C5436,""en"",""pl"")"),"mianowanie")</f>
        <v>mianowanie</v>
      </c>
    </row>
    <row r="5437">
      <c r="C5437" s="1" t="s">
        <v>5431</v>
      </c>
      <c r="D5437" s="3" t="str">
        <f>IFERROR(__xludf.DUMMYFUNCTION("GOOGLETRANSLATE(C5437,""en"",""pl"")"),"oczyścić")</f>
        <v>oczyścić</v>
      </c>
    </row>
    <row r="5438">
      <c r="C5438" s="1" t="s">
        <v>5432</v>
      </c>
      <c r="D5438" s="3" t="str">
        <f>IFERROR(__xludf.DUMMYFUNCTION("GOOGLETRANSLATE(C5438,""en"",""pl"")"),"FBI")</f>
        <v>FBI</v>
      </c>
    </row>
    <row r="5439">
      <c r="C5439" s="1" t="s">
        <v>5433</v>
      </c>
      <c r="D5439" s="3" t="str">
        <f>IFERROR(__xludf.DUMMYFUNCTION("GOOGLETRANSLATE(C5439,""en"",""pl"")"),"NIE-")</f>
        <v>NIE-</v>
      </c>
    </row>
    <row r="5440">
      <c r="C5440" s="1" t="s">
        <v>5434</v>
      </c>
      <c r="D5440" s="3" t="str">
        <f>IFERROR(__xludf.DUMMYFUNCTION("GOOGLETRANSLATE(C5440,""en"",""pl"")"),"konkurent")</f>
        <v>konkurent</v>
      </c>
    </row>
    <row r="5441">
      <c r="C5441" s="1" t="s">
        <v>5435</v>
      </c>
      <c r="D5441" s="3" t="str">
        <f>IFERROR(__xludf.DUMMYFUNCTION("GOOGLETRANSLATE(C5441,""en"",""pl"")"),"opat")</f>
        <v>opat</v>
      </c>
    </row>
    <row r="5442">
      <c r="C5442" s="1" t="s">
        <v>5436</v>
      </c>
      <c r="D5442" s="3" t="str">
        <f>IFERROR(__xludf.DUMMYFUNCTION("GOOGLETRANSLATE(C5442,""en"",""pl"")"),"Okopy")</f>
        <v>Okopy</v>
      </c>
    </row>
    <row r="5443">
      <c r="C5443" s="1" t="s">
        <v>5437</v>
      </c>
      <c r="D5443" s="3" t="str">
        <f>IFERROR(__xludf.DUMMYFUNCTION("GOOGLETRANSLATE(C5443,""en"",""pl"")"),"syczący")</f>
        <v>syczący</v>
      </c>
    </row>
    <row r="5444">
      <c r="C5444" s="1" t="s">
        <v>5438</v>
      </c>
      <c r="D5444" s="3" t="str">
        <f>IFERROR(__xludf.DUMMYFUNCTION("GOOGLETRANSLATE(C5444,""en"",""pl"")"),"Lyon")</f>
        <v>Lyon</v>
      </c>
    </row>
    <row r="5445">
      <c r="C5445" s="1" t="s">
        <v>5439</v>
      </c>
      <c r="D5445" s="3" t="str">
        <f>IFERROR(__xludf.DUMMYFUNCTION("GOOGLETRANSLATE(C5445,""en"",""pl"")"),"mustang")</f>
        <v>mustang</v>
      </c>
    </row>
    <row r="5446">
      <c r="C5446" s="1" t="s">
        <v>5440</v>
      </c>
      <c r="D5446" s="3" t="str">
        <f>IFERROR(__xludf.DUMMYFUNCTION("GOOGLETRANSLATE(C5446,""en"",""pl"")"),"Stewia")</f>
        <v>Stewia</v>
      </c>
    </row>
    <row r="5447">
      <c r="C5447" s="1" t="s">
        <v>5441</v>
      </c>
      <c r="D5447" s="3" t="str">
        <f>IFERROR(__xludf.DUMMYFUNCTION("GOOGLETRANSLATE(C5447,""en"",""pl"")"),"kg")</f>
        <v>kg</v>
      </c>
    </row>
    <row r="5448">
      <c r="C5448" s="1" t="s">
        <v>5442</v>
      </c>
      <c r="D5448" s="3" t="str">
        <f>IFERROR(__xludf.DUMMYFUNCTION("GOOGLETRANSLATE(C5448,""en"",""pl"")"),"wypoczęty")</f>
        <v>wypoczęty</v>
      </c>
    </row>
    <row r="5449">
      <c r="C5449" s="1" t="s">
        <v>5443</v>
      </c>
      <c r="D5449" s="3" t="str">
        <f>IFERROR(__xludf.DUMMYFUNCTION("GOOGLETRANSLATE(C5449,""en"",""pl"")"),"odbite")</f>
        <v>odbite</v>
      </c>
    </row>
    <row r="5450">
      <c r="C5450" s="1" t="s">
        <v>5444</v>
      </c>
      <c r="D5450" s="3" t="str">
        <f>IFERROR(__xludf.DUMMYFUNCTION("GOOGLETRANSLATE(C5450,""en"",""pl"")"),"wstawać")</f>
        <v>wstawać</v>
      </c>
    </row>
    <row r="5451">
      <c r="C5451" s="1" t="s">
        <v>5445</v>
      </c>
      <c r="D5451" s="3" t="str">
        <f>IFERROR(__xludf.DUMMYFUNCTION("GOOGLETRANSLATE(C5451,""en"",""pl"")"),"siedlisko")</f>
        <v>siedlisko</v>
      </c>
    </row>
    <row r="5452">
      <c r="C5452" s="1" t="s">
        <v>5446</v>
      </c>
      <c r="D5452" s="3" t="str">
        <f>IFERROR(__xludf.DUMMYFUNCTION("GOOGLETRANSLATE(C5452,""en"",""pl"")"),"molekularny")</f>
        <v>molekularny</v>
      </c>
    </row>
    <row r="5453">
      <c r="C5453" s="1" t="s">
        <v>5447</v>
      </c>
      <c r="D5453" s="3" t="str">
        <f>IFERROR(__xludf.DUMMYFUNCTION("GOOGLETRANSLATE(C5453,""en"",""pl"")"),"obrzydliwy")</f>
        <v>obrzydliwy</v>
      </c>
    </row>
    <row r="5454">
      <c r="C5454" s="1" t="s">
        <v>5448</v>
      </c>
      <c r="D5454" s="3" t="str">
        <f>IFERROR(__xludf.DUMMYFUNCTION("GOOGLETRANSLATE(C5454,""en"",""pl"")"),"24-godzinny")</f>
        <v>24-godzinny</v>
      </c>
    </row>
    <row r="5455">
      <c r="C5455" s="1" t="s">
        <v>5449</v>
      </c>
      <c r="D5455" s="3" t="str">
        <f>IFERROR(__xludf.DUMMYFUNCTION("GOOGLETRANSLATE(C5455,""en"",""pl"")"),"widmo")</f>
        <v>widmo</v>
      </c>
    </row>
    <row r="5456">
      <c r="C5456" s="1" t="s">
        <v>5450</v>
      </c>
      <c r="D5456" s="3" t="str">
        <f>IFERROR(__xludf.DUMMYFUNCTION("GOOGLETRANSLATE(C5456,""en"",""pl"")"),"sarkazm")</f>
        <v>sarkazm</v>
      </c>
    </row>
    <row r="5457">
      <c r="C5457" s="1" t="s">
        <v>5451</v>
      </c>
      <c r="D5457" s="3" t="str">
        <f>IFERROR(__xludf.DUMMYFUNCTION("GOOGLETRANSLATE(C5457,""en"",""pl"")"),"dzwonić")</f>
        <v>dzwonić</v>
      </c>
    </row>
    <row r="5458">
      <c r="C5458" s="1" t="s">
        <v>5452</v>
      </c>
      <c r="D5458" s="3" t="str">
        <f>IFERROR(__xludf.DUMMYFUNCTION("GOOGLETRANSLATE(C5458,""en"",""pl"")"),"słynny")</f>
        <v>słynny</v>
      </c>
    </row>
    <row r="5459">
      <c r="C5459" s="1" t="s">
        <v>5453</v>
      </c>
      <c r="D5459" s="3" t="str">
        <f>IFERROR(__xludf.DUMMYFUNCTION("GOOGLETRANSLATE(C5459,""en"",""pl"")"),"tofu")</f>
        <v>tofu</v>
      </c>
    </row>
    <row r="5460">
      <c r="C5460" s="1" t="s">
        <v>5454</v>
      </c>
      <c r="D5460" s="3" t="str">
        <f>IFERROR(__xludf.DUMMYFUNCTION("GOOGLETRANSLATE(C5460,""en"",""pl"")"),"wściekle")</f>
        <v>wściekle</v>
      </c>
    </row>
    <row r="5461">
      <c r="C5461" s="1" t="s">
        <v>5455</v>
      </c>
      <c r="D5461" s="3" t="str">
        <f>IFERROR(__xludf.DUMMYFUNCTION("GOOGLETRANSLATE(C5461,""en"",""pl"")"),"blondynka")</f>
        <v>blondynka</v>
      </c>
    </row>
    <row r="5462">
      <c r="C5462" s="1" t="s">
        <v>5456</v>
      </c>
      <c r="D5462" s="3" t="str">
        <f>IFERROR(__xludf.DUMMYFUNCTION("GOOGLETRANSLATE(C5462,""en"",""pl"")"),"refundacja")</f>
        <v>refundacja</v>
      </c>
    </row>
    <row r="5463">
      <c r="C5463" s="1" t="s">
        <v>5457</v>
      </c>
      <c r="D5463" s="3" t="str">
        <f>IFERROR(__xludf.DUMMYFUNCTION("GOOGLETRANSLATE(C5463,""en"",""pl"")"),"kontynuować")</f>
        <v>kontynuować</v>
      </c>
    </row>
    <row r="5464">
      <c r="C5464" s="1" t="s">
        <v>5458</v>
      </c>
      <c r="D5464" s="3" t="str">
        <f>IFERROR(__xludf.DUMMYFUNCTION("GOOGLETRANSLATE(C5464,""en"",""pl"")"),"miąższ")</f>
        <v>miąższ</v>
      </c>
    </row>
    <row r="5465">
      <c r="C5465" s="1" t="s">
        <v>5459</v>
      </c>
      <c r="D5465" s="3" t="str">
        <f>IFERROR(__xludf.DUMMYFUNCTION("GOOGLETRANSLATE(C5465,""en"",""pl"")"),"przesadny")</f>
        <v>przesadny</v>
      </c>
    </row>
    <row r="5466">
      <c r="C5466" s="1" t="s">
        <v>5460</v>
      </c>
      <c r="D5466" s="3" t="str">
        <f>IFERROR(__xludf.DUMMYFUNCTION("GOOGLETRANSLATE(C5466,""en"",""pl"")"),"shad0")</f>
        <v>shad0</v>
      </c>
    </row>
    <row r="5467">
      <c r="C5467" s="1" t="s">
        <v>5461</v>
      </c>
      <c r="D5467" s="3" t="str">
        <f>IFERROR(__xludf.DUMMYFUNCTION("GOOGLETRANSLATE(C5467,""en"",""pl"")"),"osadzony")</f>
        <v>osadzony</v>
      </c>
    </row>
    <row r="5468">
      <c r="C5468" s="1" t="s">
        <v>5462</v>
      </c>
      <c r="D5468" s="3" t="str">
        <f>IFERROR(__xludf.DUMMYFUNCTION("GOOGLETRANSLATE(C5468,""en"",""pl"")"),"pałac")</f>
        <v>pałac</v>
      </c>
    </row>
    <row r="5469">
      <c r="C5469" s="1" t="s">
        <v>5463</v>
      </c>
      <c r="D5469" s="3" t="str">
        <f>IFERROR(__xludf.DUMMYFUNCTION("GOOGLETRANSLATE(C5469,""en"",""pl"")"),"harlan")</f>
        <v>harlan</v>
      </c>
    </row>
    <row r="5470">
      <c r="C5470" s="1" t="s">
        <v>5464</v>
      </c>
      <c r="D5470" s="3" t="str">
        <f>IFERROR(__xludf.DUMMYFUNCTION("GOOGLETRANSLATE(C5470,""en"",""pl"")"),"sprowokowany")</f>
        <v>sprowokowany</v>
      </c>
    </row>
    <row r="5471">
      <c r="C5471" s="1" t="s">
        <v>5465</v>
      </c>
      <c r="D5471" s="3" t="str">
        <f>IFERROR(__xludf.DUMMYFUNCTION("GOOGLETRANSLATE(C5471,""en"",""pl"")"),"Antoniusz")</f>
        <v>Antoniusz</v>
      </c>
    </row>
    <row r="5472">
      <c r="C5472" s="1" t="s">
        <v>5466</v>
      </c>
      <c r="D5472" s="3" t="str">
        <f>IFERROR(__xludf.DUMMYFUNCTION("GOOGLETRANSLATE(C5472,""en"",""pl"")"),"przewodnik")</f>
        <v>przewodnik</v>
      </c>
    </row>
    <row r="5473">
      <c r="C5473" s="1" t="s">
        <v>5467</v>
      </c>
      <c r="D5473" s="3" t="str">
        <f>IFERROR(__xludf.DUMMYFUNCTION("GOOGLETRANSLATE(C5473,""en"",""pl"")"),"Nil")</f>
        <v>Nil</v>
      </c>
    </row>
    <row r="5474">
      <c r="C5474" s="1" t="s">
        <v>5468</v>
      </c>
      <c r="D5474" s="3" t="str">
        <f>IFERROR(__xludf.DUMMYFUNCTION("GOOGLETRANSLATE(C5474,""en"",""pl"")"),"Alfi")</f>
        <v>Alfi</v>
      </c>
    </row>
    <row r="5475">
      <c r="C5475" s="1" t="s">
        <v>5469</v>
      </c>
      <c r="D5475" s="3" t="str">
        <f>IFERROR(__xludf.DUMMYFUNCTION("GOOGLETRANSLATE(C5475,""en"",""pl"")"),"klatki")</f>
        <v>klatki</v>
      </c>
    </row>
    <row r="5476">
      <c r="C5476" s="1" t="s">
        <v>5470</v>
      </c>
      <c r="D5476" s="3" t="str">
        <f>IFERROR(__xludf.DUMMYFUNCTION("GOOGLETRANSLATE(C5476,""en"",""pl"")"),"łyżwy")</f>
        <v>łyżwy</v>
      </c>
    </row>
    <row r="5477">
      <c r="C5477" s="1" t="s">
        <v>5471</v>
      </c>
      <c r="D5477" s="3" t="str">
        <f>IFERROR(__xludf.DUMMYFUNCTION("GOOGLETRANSLATE(C5477,""en"",""pl"")"),"być podobnym")</f>
        <v>być podobnym</v>
      </c>
    </row>
    <row r="5478">
      <c r="C5478" s="1" t="s">
        <v>5472</v>
      </c>
      <c r="D5478" s="3" t="str">
        <f>IFERROR(__xludf.DUMMYFUNCTION("GOOGLETRANSLATE(C5478,""en"",""pl"")"),"naklejka")</f>
        <v>naklejka</v>
      </c>
    </row>
    <row r="5479">
      <c r="C5479" s="1" t="s">
        <v>5473</v>
      </c>
      <c r="D5479" s="3" t="str">
        <f>IFERROR(__xludf.DUMMYFUNCTION("GOOGLETRANSLATE(C5479,""en"",""pl"")"),"lennox")</f>
        <v>lennox</v>
      </c>
    </row>
    <row r="5480">
      <c r="C5480" s="1" t="s">
        <v>5474</v>
      </c>
      <c r="D5480" s="3" t="str">
        <f>IFERROR(__xludf.DUMMYFUNCTION("GOOGLETRANSLATE(C5480,""en"",""pl"")"),"nie do zatrzymania")</f>
        <v>nie do zatrzymania</v>
      </c>
    </row>
    <row r="5481">
      <c r="C5481" s="1" t="s">
        <v>5475</v>
      </c>
      <c r="D5481" s="3" t="str">
        <f>IFERROR(__xludf.DUMMYFUNCTION("GOOGLETRANSLATE(C5481,""en"",""pl"")"),"cielęcina")</f>
        <v>cielęcina</v>
      </c>
    </row>
    <row r="5482">
      <c r="C5482" s="1" t="s">
        <v>5476</v>
      </c>
      <c r="D5482" s="3" t="str">
        <f>IFERROR(__xludf.DUMMYFUNCTION("GOOGLETRANSLATE(C5482,""en"",""pl"")"),"wrz")</f>
        <v>wrz</v>
      </c>
    </row>
    <row r="5483">
      <c r="C5483" s="1" t="s">
        <v>5477</v>
      </c>
      <c r="D5483" s="3" t="str">
        <f>IFERROR(__xludf.DUMMYFUNCTION("GOOGLETRANSLATE(C5483,""en"",""pl"")"),"wyspa")</f>
        <v>wyspa</v>
      </c>
    </row>
    <row r="5484">
      <c r="C5484" s="1" t="s">
        <v>5478</v>
      </c>
      <c r="D5484" s="3" t="str">
        <f>IFERROR(__xludf.DUMMYFUNCTION("GOOGLETRANSLATE(C5484,""en"",""pl"")"),"Charakterystyka")</f>
        <v>Charakterystyka</v>
      </c>
    </row>
    <row r="5485">
      <c r="C5485" s="1" t="s">
        <v>5479</v>
      </c>
      <c r="D5485" s="3" t="str">
        <f>IFERROR(__xludf.DUMMYFUNCTION("GOOGLETRANSLATE(C5485,""en"",""pl"")"),"trzęsienia ziemi")</f>
        <v>trzęsienia ziemi</v>
      </c>
    </row>
    <row r="5486">
      <c r="C5486" s="1" t="s">
        <v>5480</v>
      </c>
      <c r="D5486" s="3" t="str">
        <f>IFERROR(__xludf.DUMMYFUNCTION("GOOGLETRANSLATE(C5486,""en"",""pl"")"),"zimnokrwisty")</f>
        <v>zimnokrwisty</v>
      </c>
    </row>
    <row r="5487">
      <c r="C5487" s="1" t="s">
        <v>5481</v>
      </c>
      <c r="D5487" s="3" t="str">
        <f>IFERROR(__xludf.DUMMYFUNCTION("GOOGLETRANSLATE(C5487,""en"",""pl"")"),"przyczajony")</f>
        <v>przyczajony</v>
      </c>
    </row>
    <row r="5488">
      <c r="C5488" s="1" t="s">
        <v>5482</v>
      </c>
      <c r="D5488" s="3" t="str">
        <f>IFERROR(__xludf.DUMMYFUNCTION("GOOGLETRANSLATE(C5488,""en"",""pl"")"),"zastrzelić")</f>
        <v>zastrzelić</v>
      </c>
    </row>
    <row r="5489">
      <c r="C5489" s="1" t="s">
        <v>5483</v>
      </c>
      <c r="D5489" s="3" t="str">
        <f>IFERROR(__xludf.DUMMYFUNCTION("GOOGLETRANSLATE(C5489,""en"",""pl"")"),"żniwiarz")</f>
        <v>żniwiarz</v>
      </c>
    </row>
    <row r="5490">
      <c r="C5490" s="1" t="s">
        <v>5484</v>
      </c>
      <c r="D5490" s="3" t="str">
        <f>IFERROR(__xludf.DUMMYFUNCTION("GOOGLETRANSLATE(C5490,""en"",""pl"")"),"rozmieszczony")</f>
        <v>rozmieszczony</v>
      </c>
    </row>
    <row r="5491">
      <c r="C5491" s="1" t="s">
        <v>5485</v>
      </c>
      <c r="D5491" s="3" t="str">
        <f>IFERROR(__xludf.DUMMYFUNCTION("GOOGLETRANSLATE(C5491,""en"",""pl"")"),"biblijny")</f>
        <v>biblijny</v>
      </c>
    </row>
    <row r="5492">
      <c r="C5492" s="1" t="s">
        <v>5486</v>
      </c>
      <c r="D5492" s="3" t="str">
        <f>IFERROR(__xludf.DUMMYFUNCTION("GOOGLETRANSLATE(C5492,""en"",""pl"")"),"krążek do hokeja")</f>
        <v>krążek do hokeja</v>
      </c>
    </row>
    <row r="5493">
      <c r="C5493" s="1" t="s">
        <v>5487</v>
      </c>
      <c r="D5493" s="3" t="str">
        <f>IFERROR(__xludf.DUMMYFUNCTION("GOOGLETRANSLATE(C5493,""en"",""pl"")"),"mistyk")</f>
        <v>mistyk</v>
      </c>
    </row>
    <row r="5494">
      <c r="C5494" s="1" t="s">
        <v>5488</v>
      </c>
      <c r="D5494" s="3" t="str">
        <f>IFERROR(__xludf.DUMMYFUNCTION("GOOGLETRANSLATE(C5494,""en"",""pl"")"),"aja")</f>
        <v>aja</v>
      </c>
    </row>
    <row r="5495">
      <c r="C5495" s="1" t="s">
        <v>5489</v>
      </c>
      <c r="D5495" s="3" t="str">
        <f>IFERROR(__xludf.DUMMYFUNCTION("GOOGLETRANSLATE(C5495,""en"",""pl"")"),"cap")</f>
        <v>cap</v>
      </c>
    </row>
    <row r="5496">
      <c r="C5496" s="1" t="s">
        <v>5490</v>
      </c>
      <c r="D5496" s="3" t="str">
        <f>IFERROR(__xludf.DUMMYFUNCTION("GOOGLETRANSLATE(C5496,""en"",""pl"")"),"zamierza")</f>
        <v>zamierza</v>
      </c>
    </row>
    <row r="5497">
      <c r="C5497" s="1" t="s">
        <v>5491</v>
      </c>
      <c r="D5497" s="3" t="str">
        <f>IFERROR(__xludf.DUMMYFUNCTION("GOOGLETRANSLATE(C5497,""en"",""pl"")"),"muffinki")</f>
        <v>muffinki</v>
      </c>
    </row>
    <row r="5498">
      <c r="C5498" s="1" t="s">
        <v>5492</v>
      </c>
      <c r="D5498" s="3" t="str">
        <f>IFERROR(__xludf.DUMMYFUNCTION("GOOGLETRANSLATE(C5498,""en"",""pl"")"),"szybki")</f>
        <v>szybki</v>
      </c>
    </row>
    <row r="5499">
      <c r="C5499" s="4" t="s">
        <v>5493</v>
      </c>
      <c r="D5499" s="3" t="str">
        <f>IFERROR(__xludf.DUMMYFUNCTION("GOOGLETRANSLATE(C5499,""en"",""pl"")"),"kurs")</f>
        <v>kurs</v>
      </c>
    </row>
    <row r="5500">
      <c r="C5500" s="1" t="s">
        <v>5494</v>
      </c>
      <c r="D5500" s="3" t="str">
        <f>IFERROR(__xludf.DUMMYFUNCTION("GOOGLETRANSLATE(C5500,""en"",""pl"")"),"republikanie")</f>
        <v>republikanie</v>
      </c>
    </row>
    <row r="5501">
      <c r="C5501" s="1" t="s">
        <v>5495</v>
      </c>
      <c r="D5501" s="3" t="str">
        <f>IFERROR(__xludf.DUMMYFUNCTION("GOOGLETRANSLATE(C5501,""en"",""pl"")"),"śruby")</f>
        <v>śruby</v>
      </c>
    </row>
    <row r="5502">
      <c r="C5502" s="1" t="s">
        <v>5496</v>
      </c>
      <c r="D5502" s="3" t="str">
        <f>IFERROR(__xludf.DUMMYFUNCTION("GOOGLETRANSLATE(C5502,""en"",""pl"")"),"Henryk")</f>
        <v>Henryk</v>
      </c>
    </row>
    <row r="5503">
      <c r="C5503" s="1" t="s">
        <v>5497</v>
      </c>
      <c r="D5503" s="3" t="str">
        <f>IFERROR(__xludf.DUMMYFUNCTION("GOOGLETRANSLATE(C5503,""en"",""pl"")"),"żart")</f>
        <v>żart</v>
      </c>
    </row>
    <row r="5504">
      <c r="C5504" s="1" t="s">
        <v>5498</v>
      </c>
      <c r="D5504" s="3" t="str">
        <f>IFERROR(__xludf.DUMMYFUNCTION("GOOGLETRANSLATE(C5504,""en"",""pl"")"),"napadnięty")</f>
        <v>napadnięty</v>
      </c>
    </row>
    <row r="5505">
      <c r="C5505" s="1" t="s">
        <v>5499</v>
      </c>
      <c r="D5505" s="3" t="str">
        <f>IFERROR(__xludf.DUMMYFUNCTION("GOOGLETRANSLATE(C5505,""en"",""pl"")"),"przecięcie")</f>
        <v>przecięcie</v>
      </c>
    </row>
    <row r="5506">
      <c r="C5506" s="1" t="s">
        <v>5500</v>
      </c>
      <c r="D5506" s="3" t="str">
        <f>IFERROR(__xludf.DUMMYFUNCTION("GOOGLETRANSLATE(C5506,""en"",""pl"")"),"obecnie")</f>
        <v>obecnie</v>
      </c>
    </row>
    <row r="5507">
      <c r="C5507" s="1" t="s">
        <v>5501</v>
      </c>
      <c r="D5507" s="3" t="str">
        <f>IFERROR(__xludf.DUMMYFUNCTION("GOOGLETRANSLATE(C5507,""en"",""pl"")"),"dostawca")</f>
        <v>dostawca</v>
      </c>
    </row>
    <row r="5508">
      <c r="C5508" s="1" t="s">
        <v>5502</v>
      </c>
      <c r="D5508" s="3" t="str">
        <f>IFERROR(__xludf.DUMMYFUNCTION("GOOGLETRANSLATE(C5508,""en"",""pl"")"),"człapać")</f>
        <v>człapać</v>
      </c>
    </row>
    <row r="5509">
      <c r="C5509" s="1" t="s">
        <v>5503</v>
      </c>
      <c r="D5509" s="3" t="str">
        <f>IFERROR(__xludf.DUMMYFUNCTION("GOOGLETRANSLATE(C5509,""en"",""pl"")"),"edytowany")</f>
        <v>edytowany</v>
      </c>
    </row>
    <row r="5510">
      <c r="C5510" s="1" t="s">
        <v>5504</v>
      </c>
      <c r="D5510" s="3" t="str">
        <f>IFERROR(__xludf.DUMMYFUNCTION("GOOGLETRANSLATE(C5510,""en"",""pl"")"),"pocierany")</f>
        <v>pocierany</v>
      </c>
    </row>
    <row r="5511">
      <c r="C5511" s="1" t="s">
        <v>5505</v>
      </c>
      <c r="D5511" s="3" t="str">
        <f>IFERROR(__xludf.DUMMYFUNCTION("GOOGLETRANSLATE(C5511,""en"",""pl"")"),"wegański")</f>
        <v>wegański</v>
      </c>
    </row>
    <row r="5512">
      <c r="C5512" s="1" t="s">
        <v>5506</v>
      </c>
      <c r="D5512" s="3" t="str">
        <f>IFERROR(__xludf.DUMMYFUNCTION("GOOGLETRANSLATE(C5512,""en"",""pl"")"),"na powietrzu")</f>
        <v>na powietrzu</v>
      </c>
    </row>
    <row r="5513">
      <c r="C5513" s="1" t="s">
        <v>5507</v>
      </c>
      <c r="D5513" s="3" t="str">
        <f>IFERROR(__xludf.DUMMYFUNCTION("GOOGLETRANSLATE(C5513,""en"",""pl"")"),"charakterystyczny")</f>
        <v>charakterystyczny</v>
      </c>
    </row>
    <row r="5514">
      <c r="C5514" s="1" t="s">
        <v>5508</v>
      </c>
      <c r="D5514" s="3" t="str">
        <f>IFERROR(__xludf.DUMMYFUNCTION("GOOGLETRANSLATE(C5514,""en"",""pl"")"),"nadchodzący")</f>
        <v>nadchodzący</v>
      </c>
    </row>
    <row r="5515">
      <c r="C5515" s="1" t="s">
        <v>5509</v>
      </c>
      <c r="D5515" s="3" t="str">
        <f>IFERROR(__xludf.DUMMYFUNCTION("GOOGLETRANSLATE(C5515,""en"",""pl"")"),"jasny")</f>
        <v>jasny</v>
      </c>
    </row>
    <row r="5516">
      <c r="C5516" s="1" t="s">
        <v>5510</v>
      </c>
      <c r="D5516" s="3" t="str">
        <f>IFERROR(__xludf.DUMMYFUNCTION("GOOGLETRANSLATE(C5516,""en"",""pl"")"),"wagony")</f>
        <v>wagony</v>
      </c>
    </row>
    <row r="5517">
      <c r="C5517" s="1" t="s">
        <v>5511</v>
      </c>
      <c r="D5517" s="3" t="str">
        <f>IFERROR(__xludf.DUMMYFUNCTION("GOOGLETRANSLATE(C5517,""en"",""pl"")"),"Granger-kawałek")</f>
        <v>Granger-kawałek</v>
      </c>
    </row>
    <row r="5518">
      <c r="C5518" s="1" t="s">
        <v>5512</v>
      </c>
      <c r="D5518" s="3" t="str">
        <f>IFERROR(__xludf.DUMMYFUNCTION("GOOGLETRANSLATE(C5518,""en"",""pl"")"),"sikanie")</f>
        <v>sikanie</v>
      </c>
    </row>
    <row r="5519">
      <c r="C5519" s="1" t="s">
        <v>5513</v>
      </c>
      <c r="D5519" s="3" t="str">
        <f>IFERROR(__xludf.DUMMYFUNCTION("GOOGLETRANSLATE(C5519,""en"",""pl"")"),"wyrocznia")</f>
        <v>wyrocznia</v>
      </c>
    </row>
    <row r="5520">
      <c r="C5520" s="1" t="s">
        <v>5514</v>
      </c>
      <c r="D5520" s="3" t="str">
        <f>IFERROR(__xludf.DUMMYFUNCTION("GOOGLETRANSLATE(C5520,""en"",""pl"")"),"blask")</f>
        <v>blask</v>
      </c>
    </row>
    <row r="5521">
      <c r="C5521" s="1" t="s">
        <v>5515</v>
      </c>
      <c r="D5521" s="3" t="str">
        <f>IFERROR(__xludf.DUMMYFUNCTION("GOOGLETRANSLATE(C5521,""en"",""pl"")"),"amulet")</f>
        <v>amulet</v>
      </c>
    </row>
    <row r="5522">
      <c r="C5522" s="1" t="s">
        <v>5516</v>
      </c>
      <c r="D5522" s="3" t="str">
        <f>IFERROR(__xludf.DUMMYFUNCTION("GOOGLETRANSLATE(C5522,""en"",""pl"")"),"wstrzymać")</f>
        <v>wstrzymać</v>
      </c>
    </row>
    <row r="5523">
      <c r="C5523" s="1" t="s">
        <v>5517</v>
      </c>
      <c r="D5523" s="3" t="str">
        <f>IFERROR(__xludf.DUMMYFUNCTION("GOOGLETRANSLATE(C5523,""en"",""pl"")"),"gildia")</f>
        <v>gildia</v>
      </c>
    </row>
    <row r="5524">
      <c r="C5524" s="1" t="s">
        <v>5518</v>
      </c>
      <c r="D5524" s="3" t="str">
        <f>IFERROR(__xludf.DUMMYFUNCTION("GOOGLETRANSLATE(C5524,""en"",""pl"")"),"zamienny")</f>
        <v>zamienny</v>
      </c>
    </row>
    <row r="5525">
      <c r="C5525" s="1" t="s">
        <v>5519</v>
      </c>
      <c r="D5525" s="3" t="str">
        <f>IFERROR(__xludf.DUMMYFUNCTION("GOOGLETRANSLATE(C5525,""en"",""pl"")"),"kwadratowy")</f>
        <v>kwadratowy</v>
      </c>
    </row>
    <row r="5526">
      <c r="C5526" s="1" t="s">
        <v>5520</v>
      </c>
      <c r="D5526" s="3" t="str">
        <f>IFERROR(__xludf.DUMMYFUNCTION("GOOGLETRANSLATE(C5526,""en"",""pl"")"),"walka")</f>
        <v>walka</v>
      </c>
    </row>
    <row r="5527">
      <c r="C5527" s="1" t="s">
        <v>5521</v>
      </c>
      <c r="D5527" s="3" t="str">
        <f>IFERROR(__xludf.DUMMYFUNCTION("GOOGLETRANSLATE(C5527,""en"",""pl"")"),"steward")</f>
        <v>steward</v>
      </c>
    </row>
    <row r="5528">
      <c r="C5528" s="1" t="s">
        <v>5522</v>
      </c>
      <c r="D5528" s="3" t="str">
        <f>IFERROR(__xludf.DUMMYFUNCTION("GOOGLETRANSLATE(C5528,""en"",""pl"")"),"Weston")</f>
        <v>Weston</v>
      </c>
    </row>
    <row r="5529">
      <c r="C5529" s="1" t="s">
        <v>5523</v>
      </c>
      <c r="D5529" s="3" t="str">
        <f>IFERROR(__xludf.DUMMYFUNCTION("GOOGLETRANSLATE(C5529,""en"",""pl"")"),"wejście")</f>
        <v>wejście</v>
      </c>
    </row>
    <row r="5530">
      <c r="C5530" s="1" t="s">
        <v>5524</v>
      </c>
      <c r="D5530" s="3" t="str">
        <f>IFERROR(__xludf.DUMMYFUNCTION("GOOGLETRANSLATE(C5530,""en"",""pl"")"),"obrzędy")</f>
        <v>obrzędy</v>
      </c>
    </row>
    <row r="5531">
      <c r="C5531" s="1" t="s">
        <v>5525</v>
      </c>
      <c r="D5531" s="3" t="str">
        <f>IFERROR(__xludf.DUMMYFUNCTION("GOOGLETRANSLATE(C5531,""en"",""pl"")"),"rozprowadzany")</f>
        <v>rozprowadzany</v>
      </c>
    </row>
    <row r="5532">
      <c r="C5532" s="1" t="s">
        <v>5526</v>
      </c>
      <c r="D5532" s="3" t="str">
        <f>IFERROR(__xludf.DUMMYFUNCTION("GOOGLETRANSLATE(C5532,""en"",""pl"")"),"chodnik")</f>
        <v>chodnik</v>
      </c>
    </row>
    <row r="5533">
      <c r="C5533" s="1" t="s">
        <v>5527</v>
      </c>
      <c r="D5533" s="3" t="str">
        <f>IFERROR(__xludf.DUMMYFUNCTION("GOOGLETRANSLATE(C5533,""en"",""pl"")"),"projektor")</f>
        <v>projektor</v>
      </c>
    </row>
    <row r="5534">
      <c r="C5534" s="1" t="s">
        <v>5528</v>
      </c>
      <c r="D5534" s="3" t="str">
        <f>IFERROR(__xludf.DUMMYFUNCTION("GOOGLETRANSLATE(C5534,""en"",""pl"")"),"rugby")</f>
        <v>rugby</v>
      </c>
    </row>
    <row r="5535">
      <c r="C5535" s="1" t="s">
        <v>5529</v>
      </c>
      <c r="D5535" s="3" t="str">
        <f>IFERROR(__xludf.DUMMYFUNCTION("GOOGLETRANSLATE(C5535,""en"",""pl"")"),"jt")</f>
        <v>jt</v>
      </c>
    </row>
    <row r="5536">
      <c r="C5536" s="1" t="s">
        <v>5530</v>
      </c>
      <c r="D5536" s="3" t="str">
        <f>IFERROR(__xludf.DUMMYFUNCTION("GOOGLETRANSLATE(C5536,""en"",""pl"")"),"fragment")</f>
        <v>fragment</v>
      </c>
    </row>
    <row r="5537">
      <c r="C5537" s="1" t="s">
        <v>5531</v>
      </c>
      <c r="D5537" s="3" t="str">
        <f>IFERROR(__xludf.DUMMYFUNCTION("GOOGLETRANSLATE(C5537,""en"",""pl"")"),"łysy")</f>
        <v>łysy</v>
      </c>
    </row>
    <row r="5538">
      <c r="C5538" s="1" t="s">
        <v>5532</v>
      </c>
      <c r="D5538" s="3" t="str">
        <f>IFERROR(__xludf.DUMMYFUNCTION("GOOGLETRANSLATE(C5538,""en"",""pl"")"),"nieprzyzwoity")</f>
        <v>nieprzyzwoity</v>
      </c>
    </row>
    <row r="5539">
      <c r="C5539" s="1" t="s">
        <v>5533</v>
      </c>
      <c r="D5539" s="3" t="str">
        <f>IFERROR(__xludf.DUMMYFUNCTION("GOOGLETRANSLATE(C5539,""en"",""pl"")"),"zebra")</f>
        <v>zebra</v>
      </c>
    </row>
    <row r="5540">
      <c r="C5540" s="1" t="s">
        <v>5534</v>
      </c>
      <c r="D5540" s="3" t="str">
        <f>IFERROR(__xludf.DUMMYFUNCTION("GOOGLETRANSLATE(C5540,""en"",""pl"")"),"gwałcenie")</f>
        <v>gwałcenie</v>
      </c>
    </row>
    <row r="5541">
      <c r="C5541" s="1" t="s">
        <v>5535</v>
      </c>
      <c r="D5541" s="3" t="str">
        <f>IFERROR(__xludf.DUMMYFUNCTION("GOOGLETRANSLATE(C5541,""en"",""pl"")"),"analityk")</f>
        <v>analityk</v>
      </c>
    </row>
    <row r="5542">
      <c r="C5542" s="1" t="s">
        <v>5536</v>
      </c>
      <c r="D5542" s="3" t="str">
        <f>IFERROR(__xludf.DUMMYFUNCTION("GOOGLETRANSLATE(C5542,""en"",""pl"")"),"eta")</f>
        <v>eta</v>
      </c>
    </row>
    <row r="5543">
      <c r="C5543" s="1" t="s">
        <v>5537</v>
      </c>
      <c r="D5543" s="3" t="str">
        <f>IFERROR(__xludf.DUMMYFUNCTION("GOOGLETRANSLATE(C5543,""en"",""pl"")"),"łokcie")</f>
        <v>łokcie</v>
      </c>
    </row>
    <row r="5544">
      <c r="C5544" s="1" t="s">
        <v>5538</v>
      </c>
      <c r="D5544" s="3" t="str">
        <f>IFERROR(__xludf.DUMMYFUNCTION("GOOGLETRANSLATE(C5544,""en"",""pl"")"),"detonator")</f>
        <v>detonator</v>
      </c>
    </row>
    <row r="5545">
      <c r="C5545" s="1" t="s">
        <v>5539</v>
      </c>
      <c r="D5545" s="3" t="str">
        <f>IFERROR(__xludf.DUMMYFUNCTION("GOOGLETRANSLATE(C5545,""en"",""pl"")"),"disneyland")</f>
        <v>disneyland</v>
      </c>
    </row>
    <row r="5546">
      <c r="C5546" s="1" t="s">
        <v>5540</v>
      </c>
      <c r="D5546" s="3" t="str">
        <f>IFERROR(__xludf.DUMMYFUNCTION("GOOGLETRANSLATE(C5546,""en"",""pl"")"),"szyny")</f>
        <v>szyny</v>
      </c>
    </row>
    <row r="5547">
      <c r="C5547" s="1" t="s">
        <v>5541</v>
      </c>
      <c r="D5547" s="3" t="str">
        <f>IFERROR(__xludf.DUMMYFUNCTION("GOOGLETRANSLATE(C5547,""en"",""pl"")"),"ziemski")</f>
        <v>ziemski</v>
      </c>
    </row>
    <row r="5548">
      <c r="C5548" s="1" t="s">
        <v>5542</v>
      </c>
      <c r="D5548" s="3" t="str">
        <f>IFERROR(__xludf.DUMMYFUNCTION("GOOGLETRANSLATE(C5548,""en"",""pl"")"),"skromność")</f>
        <v>skromność</v>
      </c>
    </row>
    <row r="5549">
      <c r="C5549" s="1" t="s">
        <v>5543</v>
      </c>
      <c r="D5549" s="3" t="str">
        <f>IFERROR(__xludf.DUMMYFUNCTION("GOOGLETRANSLATE(C5549,""en"",""pl"")"),"oceniać")</f>
        <v>oceniać</v>
      </c>
    </row>
    <row r="5550">
      <c r="C5550" s="1" t="s">
        <v>5544</v>
      </c>
      <c r="D5550" s="3" t="str">
        <f>IFERROR(__xludf.DUMMYFUNCTION("GOOGLETRANSLATE(C5550,""en"",""pl"")"),"vinci")</f>
        <v>vinci</v>
      </c>
    </row>
    <row r="5551">
      <c r="C5551" s="1" t="s">
        <v>5545</v>
      </c>
      <c r="D5551" s="3" t="str">
        <f>IFERROR(__xludf.DUMMYFUNCTION("GOOGLETRANSLATE(C5551,""en"",""pl"")"),"bibliotekarz")</f>
        <v>bibliotekarz</v>
      </c>
    </row>
    <row r="5552">
      <c r="C5552" s="1" t="s">
        <v>5546</v>
      </c>
      <c r="D5552" s="3" t="str">
        <f>IFERROR(__xludf.DUMMYFUNCTION("GOOGLETRANSLATE(C5552,""en"",""pl"")"),"Do-")</f>
        <v>Do-</v>
      </c>
    </row>
    <row r="5553">
      <c r="C5553" s="1" t="s">
        <v>5547</v>
      </c>
      <c r="D5553" s="3" t="str">
        <f>IFERROR(__xludf.DUMMYFUNCTION("GOOGLETRANSLATE(C5553,""en"",""pl"")"),"Moran")</f>
        <v>Moran</v>
      </c>
    </row>
    <row r="5554">
      <c r="C5554" s="1" t="s">
        <v>5548</v>
      </c>
      <c r="D5554" s="3" t="str">
        <f>IFERROR(__xludf.DUMMYFUNCTION("GOOGLETRANSLATE(C5554,""en"",""pl"")"),"wystarczać")</f>
        <v>wystarczać</v>
      </c>
    </row>
    <row r="5555">
      <c r="C5555" s="1" t="s">
        <v>5549</v>
      </c>
      <c r="D5555" s="3" t="str">
        <f>IFERROR(__xludf.DUMMYFUNCTION("GOOGLETRANSLATE(C5555,""en"",""pl"")"),"grawitacyjny")</f>
        <v>grawitacyjny</v>
      </c>
    </row>
    <row r="5556">
      <c r="C5556" s="1" t="s">
        <v>5550</v>
      </c>
      <c r="D5556" s="3" t="str">
        <f>IFERROR(__xludf.DUMMYFUNCTION("GOOGLETRANSLATE(C5556,""en"",""pl"")"),"Crowlley")</f>
        <v>Crowlley</v>
      </c>
    </row>
    <row r="5557">
      <c r="C5557" s="1" t="s">
        <v>5551</v>
      </c>
      <c r="D5557" s="3" t="str">
        <f>IFERROR(__xludf.DUMMYFUNCTION("GOOGLETRANSLATE(C5557,""en"",""pl"")"),"sen")</f>
        <v>sen</v>
      </c>
    </row>
    <row r="5558">
      <c r="C5558" s="1" t="s">
        <v>5552</v>
      </c>
      <c r="D5558" s="3" t="str">
        <f>IFERROR(__xludf.DUMMYFUNCTION("GOOGLETRANSLATE(C5558,""en"",""pl"")"),"ziomek")</f>
        <v>ziomek</v>
      </c>
    </row>
    <row r="5559">
      <c r="C5559" s="1" t="s">
        <v>5553</v>
      </c>
      <c r="D5559" s="3" t="str">
        <f>IFERROR(__xludf.DUMMYFUNCTION("GOOGLETRANSLATE(C5559,""en"",""pl"")"),"łapówki")</f>
        <v>łapówki</v>
      </c>
    </row>
    <row r="5560">
      <c r="C5560" s="1" t="s">
        <v>5554</v>
      </c>
      <c r="D5560" s="3" t="str">
        <f>IFERROR(__xludf.DUMMYFUNCTION("GOOGLETRANSLATE(C5560,""en"",""pl"")"),"asy")</f>
        <v>asy</v>
      </c>
    </row>
    <row r="5561">
      <c r="C5561" s="1" t="s">
        <v>5555</v>
      </c>
      <c r="D5561" s="3" t="str">
        <f>IFERROR(__xludf.DUMMYFUNCTION("GOOGLETRANSLATE(C5561,""en"",""pl"")"),"sód")</f>
        <v>sód</v>
      </c>
    </row>
    <row r="5562">
      <c r="C5562" s="1" t="s">
        <v>5556</v>
      </c>
      <c r="D5562" s="3" t="str">
        <f>IFERROR(__xludf.DUMMYFUNCTION("GOOGLETRANSLATE(C5562,""en"",""pl"")"),"Hubertus")</f>
        <v>Hubertus</v>
      </c>
    </row>
    <row r="5563">
      <c r="C5563" s="1" t="s">
        <v>5557</v>
      </c>
      <c r="D5563" s="3" t="str">
        <f>IFERROR(__xludf.DUMMYFUNCTION("GOOGLETRANSLATE(C5563,""en"",""pl"")"),"trajektoria")</f>
        <v>trajektoria</v>
      </c>
    </row>
    <row r="5564">
      <c r="C5564" s="1" t="s">
        <v>5558</v>
      </c>
      <c r="D5564" s="3" t="str">
        <f>IFERROR(__xludf.DUMMYFUNCTION("GOOGLETRANSLATE(C5564,""en"",""pl"")"),"wiarygodny")</f>
        <v>wiarygodny</v>
      </c>
    </row>
    <row r="5565">
      <c r="C5565" s="1" t="s">
        <v>5559</v>
      </c>
      <c r="D5565" s="3" t="str">
        <f>IFERROR(__xludf.DUMMYFUNCTION("GOOGLETRANSLATE(C5565,""en"",""pl"")"),"odrzucony")</f>
        <v>odrzucony</v>
      </c>
    </row>
    <row r="5566">
      <c r="C5566" s="1" t="s">
        <v>5560</v>
      </c>
      <c r="D5566" s="3" t="str">
        <f>IFERROR(__xludf.DUMMYFUNCTION("GOOGLETRANSLATE(C5566,""en"",""pl"")"),"kanarek")</f>
        <v>kanarek</v>
      </c>
    </row>
    <row r="5567">
      <c r="C5567" s="1" t="s">
        <v>5561</v>
      </c>
      <c r="D5567" s="3" t="str">
        <f>IFERROR(__xludf.DUMMYFUNCTION("GOOGLETRANSLATE(C5567,""en"",""pl"")"),"wzrok")</f>
        <v>wzrok</v>
      </c>
    </row>
    <row r="5568">
      <c r="C5568" s="1" t="s">
        <v>5562</v>
      </c>
      <c r="D5568" s="3" t="str">
        <f>IFERROR(__xludf.DUMMYFUNCTION("GOOGLETRANSLATE(C5568,""en"",""pl"")"),"dzbanek")</f>
        <v>dzbanek</v>
      </c>
    </row>
    <row r="5569">
      <c r="C5569" s="1" t="s">
        <v>5563</v>
      </c>
      <c r="D5569" s="3" t="str">
        <f>IFERROR(__xludf.DUMMYFUNCTION("GOOGLETRANSLATE(C5569,""en"",""pl"")"),"duplikat")</f>
        <v>duplikat</v>
      </c>
    </row>
    <row r="5570">
      <c r="C5570" s="1" t="s">
        <v>5564</v>
      </c>
      <c r="D5570" s="3" t="str">
        <f>IFERROR(__xludf.DUMMYFUNCTION("GOOGLETRANSLATE(C5570,""en"",""pl"")"),"Rozwój")</f>
        <v>Rozwój</v>
      </c>
    </row>
    <row r="5571">
      <c r="C5571" s="1" t="s">
        <v>5565</v>
      </c>
      <c r="D5571" s="3" t="str">
        <f>IFERROR(__xludf.DUMMYFUNCTION("GOOGLETRANSLATE(C5571,""en"",""pl"")"),"kapitalizm")</f>
        <v>kapitalizm</v>
      </c>
    </row>
    <row r="5572">
      <c r="C5572" s="1" t="s">
        <v>5566</v>
      </c>
      <c r="D5572" s="3" t="str">
        <f>IFERROR(__xludf.DUMMYFUNCTION("GOOGLETRANSLATE(C5572,""en"",""pl"")"),"błyszczący")</f>
        <v>błyszczący</v>
      </c>
    </row>
    <row r="5573">
      <c r="C5573" s="1" t="s">
        <v>5567</v>
      </c>
      <c r="D5573" s="3" t="str">
        <f>IFERROR(__xludf.DUMMYFUNCTION("GOOGLETRANSLATE(C5573,""en"",""pl"")"),"obrony")</f>
        <v>obrony</v>
      </c>
    </row>
    <row r="5574">
      <c r="C5574" s="1" t="s">
        <v>5568</v>
      </c>
      <c r="D5574" s="3" t="str">
        <f>IFERROR(__xludf.DUMMYFUNCTION("GOOGLETRANSLATE(C5574,""en"",""pl"")"),"XI")</f>
        <v>XI</v>
      </c>
    </row>
    <row r="5575">
      <c r="C5575" s="1" t="s">
        <v>5569</v>
      </c>
      <c r="D5575" s="3" t="str">
        <f>IFERROR(__xludf.DUMMYFUNCTION("GOOGLETRANSLATE(C5575,""en"",""pl"")"),"skrzynie")</f>
        <v>skrzynie</v>
      </c>
    </row>
    <row r="5576">
      <c r="C5576" s="1" t="s">
        <v>5570</v>
      </c>
      <c r="D5576" s="3" t="str">
        <f>IFERROR(__xludf.DUMMYFUNCTION("GOOGLETRANSLATE(C5576,""en"",""pl"")"),"ogrodzenia")</f>
        <v>ogrodzenia</v>
      </c>
    </row>
    <row r="5577">
      <c r="C5577" s="1" t="s">
        <v>5571</v>
      </c>
      <c r="D5577" s="3" t="str">
        <f>IFERROR(__xludf.DUMMYFUNCTION("GOOGLETRANSLATE(C5577,""en"",""pl"")"),"różnić się")</f>
        <v>różnić się</v>
      </c>
    </row>
    <row r="5578">
      <c r="C5578" s="1" t="s">
        <v>5572</v>
      </c>
      <c r="D5578" s="3" t="str">
        <f>IFERROR(__xludf.DUMMYFUNCTION("GOOGLETRANSLATE(C5578,""en"",""pl"")"),"Hodginsy")</f>
        <v>Hodginsy</v>
      </c>
    </row>
    <row r="5579">
      <c r="C5579" s="1" t="s">
        <v>5573</v>
      </c>
      <c r="D5579" s="3" t="str">
        <f>IFERROR(__xludf.DUMMYFUNCTION("GOOGLETRANSLATE(C5579,""en"",""pl"")"),"zabierz")</f>
        <v>zabierz</v>
      </c>
    </row>
    <row r="5580">
      <c r="C5580" s="1" t="s">
        <v>5574</v>
      </c>
      <c r="D5580" s="3" t="str">
        <f>IFERROR(__xludf.DUMMYFUNCTION("GOOGLETRANSLATE(C5580,""en"",""pl"")"),"chaotyczny")</f>
        <v>chaotyczny</v>
      </c>
    </row>
    <row r="5581">
      <c r="C5581" s="1" t="s">
        <v>5575</v>
      </c>
      <c r="D5581" s="3" t="str">
        <f>IFERROR(__xludf.DUMMYFUNCTION("GOOGLETRANSLATE(C5581,""en"",""pl"")"),"ogrodnictwo")</f>
        <v>ogrodnictwo</v>
      </c>
    </row>
    <row r="5582">
      <c r="C5582" s="1" t="s">
        <v>5576</v>
      </c>
      <c r="D5582" s="3" t="str">
        <f>IFERROR(__xludf.DUMMYFUNCTION("GOOGLETRANSLATE(C5582,""en"",""pl"")"),"gram")</f>
        <v>gram</v>
      </c>
    </row>
    <row r="5583">
      <c r="C5583" s="1" t="s">
        <v>5577</v>
      </c>
      <c r="D5583" s="3" t="str">
        <f>IFERROR(__xludf.DUMMYFUNCTION("GOOGLETRANSLATE(C5583,""en"",""pl"")"),"majstrować")</f>
        <v>majstrować</v>
      </c>
    </row>
    <row r="5584">
      <c r="C5584" s="1" t="s">
        <v>5578</v>
      </c>
      <c r="D5584" s="3" t="str">
        <f>IFERROR(__xludf.DUMMYFUNCTION("GOOGLETRANSLATE(C5584,""en"",""pl"")"),"prognoza")</f>
        <v>prognoza</v>
      </c>
    </row>
    <row r="5585">
      <c r="C5585" s="1" t="s">
        <v>5579</v>
      </c>
      <c r="D5585" s="3" t="str">
        <f>IFERROR(__xludf.DUMMYFUNCTION("GOOGLETRANSLATE(C5585,""en"",""pl"")"),"czas")</f>
        <v>czas</v>
      </c>
    </row>
    <row r="5586">
      <c r="C5586" s="1" t="s">
        <v>5580</v>
      </c>
      <c r="D5586" s="3" t="str">
        <f>IFERROR(__xludf.DUMMYFUNCTION("GOOGLETRANSLATE(C5586,""en"",""pl"")"),"ściągnięty")</f>
        <v>ściągnięty</v>
      </c>
    </row>
    <row r="5587">
      <c r="C5587" s="1" t="s">
        <v>5581</v>
      </c>
      <c r="D5587" s="3" t="str">
        <f>IFERROR(__xludf.DUMMYFUNCTION("GOOGLETRANSLATE(C5587,""en"",""pl"")"),"zaplątany")</f>
        <v>zaplątany</v>
      </c>
    </row>
    <row r="5588">
      <c r="C5588" s="1" t="s">
        <v>5582</v>
      </c>
      <c r="D5588" s="3" t="str">
        <f>IFERROR(__xludf.DUMMYFUNCTION("GOOGLETRANSLATE(C5588,""en"",""pl"")"),"macy")</f>
        <v>macy</v>
      </c>
    </row>
    <row r="5589">
      <c r="C5589" s="1" t="s">
        <v>5583</v>
      </c>
      <c r="D5589" s="3" t="str">
        <f>IFERROR(__xludf.DUMMYFUNCTION("GOOGLETRANSLATE(C5589,""en"",""pl"")"),"wpaść")</f>
        <v>wpaść</v>
      </c>
    </row>
    <row r="5590">
      <c r="C5590" s="1" t="s">
        <v>5584</v>
      </c>
      <c r="D5590" s="3" t="str">
        <f>IFERROR(__xludf.DUMMYFUNCTION("GOOGLETRANSLATE(C5590,""en"",""pl"")"),"kuloodporny")</f>
        <v>kuloodporny</v>
      </c>
    </row>
    <row r="5591">
      <c r="C5591" s="1" t="s">
        <v>5585</v>
      </c>
      <c r="D5591" s="3" t="str">
        <f>IFERROR(__xludf.DUMMYFUNCTION("GOOGLETRANSLATE(C5591,""en"",""pl"")"),"moduł")</f>
        <v>moduł</v>
      </c>
    </row>
    <row r="5592">
      <c r="C5592" s="1" t="s">
        <v>5586</v>
      </c>
      <c r="D5592" s="3" t="str">
        <f>IFERROR(__xludf.DUMMYFUNCTION("GOOGLETRANSLATE(C5592,""en"",""pl"")"),"drewno opałowe")</f>
        <v>drewno opałowe</v>
      </c>
    </row>
    <row r="5593">
      <c r="C5593" s="1" t="s">
        <v>5587</v>
      </c>
      <c r="D5593" s="3" t="str">
        <f>IFERROR(__xludf.DUMMYFUNCTION("GOOGLETRANSLATE(C5593,""en"",""pl"")"),"pizze")</f>
        <v>pizze</v>
      </c>
    </row>
    <row r="5594">
      <c r="C5594" s="1" t="s">
        <v>5588</v>
      </c>
      <c r="D5594" s="3" t="str">
        <f>IFERROR(__xludf.DUMMYFUNCTION("GOOGLETRANSLATE(C5594,""en"",""pl"")"),"nadmiernie")</f>
        <v>nadmiernie</v>
      </c>
    </row>
    <row r="5595">
      <c r="C5595" s="1" t="s">
        <v>5589</v>
      </c>
      <c r="D5595" s="3" t="str">
        <f>IFERROR(__xludf.DUMMYFUNCTION("GOOGLETRANSLATE(C5595,""en"",""pl"")"),"sprzedaż detaliczna")</f>
        <v>sprzedaż detaliczna</v>
      </c>
    </row>
    <row r="5596">
      <c r="C5596" s="1" t="s">
        <v>5590</v>
      </c>
      <c r="D5596" s="3" t="str">
        <f>IFERROR(__xludf.DUMMYFUNCTION("GOOGLETRANSLATE(C5596,""en"",""pl"")"),"Nowak")</f>
        <v>Nowak</v>
      </c>
    </row>
    <row r="5597">
      <c r="C5597" s="1" t="s">
        <v>5591</v>
      </c>
      <c r="D5597" s="3" t="str">
        <f>IFERROR(__xludf.DUMMYFUNCTION("GOOGLETRANSLATE(C5597,""en"",""pl"")"),"grover")</f>
        <v>grover</v>
      </c>
    </row>
    <row r="5598">
      <c r="C5598" s="1" t="s">
        <v>5592</v>
      </c>
      <c r="D5598" s="3" t="str">
        <f>IFERROR(__xludf.DUMMYFUNCTION("GOOGLETRANSLATE(C5598,""en"",""pl"")"),"Artur")</f>
        <v>Artur</v>
      </c>
    </row>
    <row r="5599">
      <c r="C5599" s="1" t="s">
        <v>5593</v>
      </c>
      <c r="D5599" s="3" t="str">
        <f>IFERROR(__xludf.DUMMYFUNCTION("GOOGLETRANSLATE(C5599,""en"",""pl"")"),"przerażający")</f>
        <v>przerażający</v>
      </c>
    </row>
    <row r="5600">
      <c r="C5600" s="1" t="s">
        <v>5594</v>
      </c>
      <c r="D5600" s="3" t="str">
        <f>IFERROR(__xludf.DUMMYFUNCTION("GOOGLETRANSLATE(C5600,""en"",""pl"")"),"wydziwianie")</f>
        <v>wydziwianie</v>
      </c>
    </row>
    <row r="5601">
      <c r="C5601" s="1" t="s">
        <v>5595</v>
      </c>
      <c r="D5601" s="3" t="str">
        <f>IFERROR(__xludf.DUMMYFUNCTION("GOOGLETRANSLATE(C5601,""en"",""pl"")"),"Felicja")</f>
        <v>Felicja</v>
      </c>
    </row>
    <row r="5602">
      <c r="C5602" s="1" t="s">
        <v>5596</v>
      </c>
      <c r="D5602" s="3" t="str">
        <f>IFERROR(__xludf.DUMMYFUNCTION("GOOGLETRANSLATE(C5602,""en"",""pl"")"),"Koncentrowanie się")</f>
        <v>Koncentrowanie się</v>
      </c>
    </row>
    <row r="5603">
      <c r="C5603" s="1" t="s">
        <v>5597</v>
      </c>
      <c r="D5603" s="3" t="str">
        <f>IFERROR(__xludf.DUMMYFUNCTION("GOOGLETRANSLATE(C5603,""en"",""pl"")"),"przenoszenie")</f>
        <v>przenoszenie</v>
      </c>
    </row>
    <row r="5604">
      <c r="C5604" s="1" t="s">
        <v>5598</v>
      </c>
      <c r="D5604" s="3" t="str">
        <f>IFERROR(__xludf.DUMMYFUNCTION("GOOGLETRANSLATE(C5604,""en"",""pl"")"),"zacier")</f>
        <v>zacier</v>
      </c>
    </row>
    <row r="5605">
      <c r="C5605" s="1" t="s">
        <v>5599</v>
      </c>
      <c r="D5605" s="3" t="str">
        <f>IFERROR(__xludf.DUMMYFUNCTION("GOOGLETRANSLATE(C5605,""en"",""pl"")"),"warczeć")</f>
        <v>warczeć</v>
      </c>
    </row>
    <row r="5606">
      <c r="C5606" s="1" t="s">
        <v>5600</v>
      </c>
      <c r="D5606" s="3" t="str">
        <f>IFERROR(__xludf.DUMMYFUNCTION("GOOGLETRANSLATE(C5606,""en"",""pl"")"),"w plasterkach")</f>
        <v>w plasterkach</v>
      </c>
    </row>
    <row r="5607">
      <c r="C5607" s="1" t="s">
        <v>5601</v>
      </c>
      <c r="D5607" s="3" t="str">
        <f>IFERROR(__xludf.DUMMYFUNCTION("GOOGLETRANSLATE(C5607,""en"",""pl"")"),"nagrody")</f>
        <v>nagrody</v>
      </c>
    </row>
    <row r="5608">
      <c r="C5608" s="1" t="s">
        <v>5602</v>
      </c>
      <c r="D5608" s="3" t="str">
        <f>IFERROR(__xludf.DUMMYFUNCTION("GOOGLETRANSLATE(C5608,""en"",""pl"")"),"aparat ortodontyczny")</f>
        <v>aparat ortodontyczny</v>
      </c>
    </row>
    <row r="5609">
      <c r="C5609" s="1" t="s">
        <v>5603</v>
      </c>
      <c r="D5609" s="3" t="str">
        <f>IFERROR(__xludf.DUMMYFUNCTION("GOOGLETRANSLATE(C5609,""en"",""pl"")"),"żywy inwentarz")</f>
        <v>żywy inwentarz</v>
      </c>
    </row>
    <row r="5610">
      <c r="C5610" s="1" t="s">
        <v>5604</v>
      </c>
      <c r="D5610" s="3" t="str">
        <f>IFERROR(__xludf.DUMMYFUNCTION("GOOGLETRANSLATE(C5610,""en"",""pl"")"),"użytkownicy")</f>
        <v>użytkownicy</v>
      </c>
    </row>
    <row r="5611">
      <c r="C5611" s="1" t="s">
        <v>5605</v>
      </c>
      <c r="D5611" s="3" t="str">
        <f>IFERROR(__xludf.DUMMYFUNCTION("GOOGLETRANSLATE(C5611,""en"",""pl"")"),"rekrutacyjny")</f>
        <v>rekrutacyjny</v>
      </c>
    </row>
    <row r="5612">
      <c r="C5612" s="1" t="s">
        <v>5606</v>
      </c>
      <c r="D5612" s="3" t="str">
        <f>IFERROR(__xludf.DUMMYFUNCTION("GOOGLETRANSLATE(C5612,""en"",""pl"")"),"bandyta")</f>
        <v>bandyta</v>
      </c>
    </row>
    <row r="5613">
      <c r="C5613" s="1" t="s">
        <v>5607</v>
      </c>
      <c r="D5613" s="3" t="str">
        <f>IFERROR(__xludf.DUMMYFUNCTION("GOOGLETRANSLATE(C5613,""en"",""pl"")"),"dyktować")</f>
        <v>dyktować</v>
      </c>
    </row>
    <row r="5614">
      <c r="C5614" s="1" t="s">
        <v>5608</v>
      </c>
      <c r="D5614" s="3" t="str">
        <f>IFERROR(__xludf.DUMMYFUNCTION("GOOGLETRANSLATE(C5614,""en"",""pl"")"),"łazienki")</f>
        <v>łazienki</v>
      </c>
    </row>
    <row r="5615">
      <c r="C5615" s="1" t="s">
        <v>5609</v>
      </c>
      <c r="D5615" s="3" t="str">
        <f>IFERROR(__xludf.DUMMYFUNCTION("GOOGLETRANSLATE(C5615,""en"",""pl"")"),"szlachta")</f>
        <v>szlachta</v>
      </c>
    </row>
    <row r="5616">
      <c r="C5616" s="1" t="s">
        <v>5610</v>
      </c>
      <c r="D5616" s="3" t="str">
        <f>IFERROR(__xludf.DUMMYFUNCTION("GOOGLETRANSLATE(C5616,""en"",""pl"")"),"wybredny")</f>
        <v>wybredny</v>
      </c>
    </row>
    <row r="5617">
      <c r="C5617" s="1" t="s">
        <v>5611</v>
      </c>
      <c r="D5617" s="3" t="str">
        <f>IFERROR(__xludf.DUMMYFUNCTION("GOOGLETRANSLATE(C5617,""en"",""pl"")"),"linus")</f>
        <v>linus</v>
      </c>
    </row>
    <row r="5618">
      <c r="C5618" s="1" t="s">
        <v>5612</v>
      </c>
      <c r="D5618" s="3" t="str">
        <f>IFERROR(__xludf.DUMMYFUNCTION("GOOGLETRANSLATE(C5618,""en"",""pl"")"),"talerz")</f>
        <v>talerz</v>
      </c>
    </row>
    <row r="5619">
      <c r="C5619" s="1" t="s">
        <v>5613</v>
      </c>
      <c r="D5619" s="3" t="str">
        <f>IFERROR(__xludf.DUMMYFUNCTION("GOOGLETRANSLATE(C5619,""en"",""pl"")"),"sępy")</f>
        <v>sępy</v>
      </c>
    </row>
    <row r="5620">
      <c r="C5620" s="1" t="s">
        <v>5614</v>
      </c>
      <c r="D5620" s="3" t="str">
        <f>IFERROR(__xludf.DUMMYFUNCTION("GOOGLETRANSLATE(C5620,""en"",""pl"")"),"organizm")</f>
        <v>organizm</v>
      </c>
    </row>
    <row r="5621">
      <c r="C5621" s="1" t="s">
        <v>5615</v>
      </c>
      <c r="D5621" s="3" t="str">
        <f>IFERROR(__xludf.DUMMYFUNCTION("GOOGLETRANSLATE(C5621,""en"",""pl"")"),"słodszy")</f>
        <v>słodszy</v>
      </c>
    </row>
    <row r="5622">
      <c r="C5622" s="1" t="s">
        <v>5616</v>
      </c>
      <c r="D5622" s="3" t="str">
        <f>IFERROR(__xludf.DUMMYFUNCTION("GOOGLETRANSLATE(C5622,""en"",""pl"")"),"strach na wróble")</f>
        <v>strach na wróble</v>
      </c>
    </row>
    <row r="5623">
      <c r="C5623" s="1" t="s">
        <v>5617</v>
      </c>
      <c r="D5623" s="3" t="str">
        <f>IFERROR(__xludf.DUMMYFUNCTION("GOOGLETRANSLATE(C5623,""en"",""pl"")"),"produkcja")</f>
        <v>produkcja</v>
      </c>
    </row>
    <row r="5624">
      <c r="C5624" s="1" t="s">
        <v>5618</v>
      </c>
      <c r="D5624" s="3" t="str">
        <f>IFERROR(__xludf.DUMMYFUNCTION("GOOGLETRANSLATE(C5624,""en"",""pl"")"),"szczenię")</f>
        <v>szczenię</v>
      </c>
    </row>
    <row r="5625">
      <c r="C5625" s="1" t="s">
        <v>5619</v>
      </c>
      <c r="D5625" s="3" t="str">
        <f>IFERROR(__xludf.DUMMYFUNCTION("GOOGLETRANSLATE(C5625,""en"",""pl"")"),"micwa")</f>
        <v>micwa</v>
      </c>
    </row>
    <row r="5626">
      <c r="C5626" s="1" t="s">
        <v>5620</v>
      </c>
      <c r="D5626" s="3" t="str">
        <f>IFERROR(__xludf.DUMMYFUNCTION("GOOGLETRANSLATE(C5626,""en"",""pl"")"),"trzaski")</f>
        <v>trzaski</v>
      </c>
    </row>
    <row r="5627">
      <c r="C5627" s="1" t="s">
        <v>5621</v>
      </c>
      <c r="D5627" s="3" t="str">
        <f>IFERROR(__xludf.DUMMYFUNCTION("GOOGLETRANSLATE(C5627,""en"",""pl"")"),"dumnie")</f>
        <v>dumnie</v>
      </c>
    </row>
    <row r="5628">
      <c r="C5628" s="1" t="s">
        <v>5622</v>
      </c>
      <c r="D5628" s="3" t="str">
        <f>IFERROR(__xludf.DUMMYFUNCTION("GOOGLETRANSLATE(C5628,""en"",""pl"")"),"interpretator")</f>
        <v>interpretator</v>
      </c>
    </row>
    <row r="5629">
      <c r="C5629" s="1" t="s">
        <v>5623</v>
      </c>
      <c r="D5629" s="3" t="str">
        <f>IFERROR(__xludf.DUMMYFUNCTION("GOOGLETRANSLATE(C5629,""en"",""pl"")"),"Leigh")</f>
        <v>Leigh</v>
      </c>
    </row>
    <row r="5630">
      <c r="C5630" s="1" t="s">
        <v>5624</v>
      </c>
      <c r="D5630" s="3" t="str">
        <f>IFERROR(__xludf.DUMMYFUNCTION("GOOGLETRANSLATE(C5630,""en"",""pl"")"),"genetycznie")</f>
        <v>genetycznie</v>
      </c>
    </row>
    <row r="5631">
      <c r="C5631" s="1" t="s">
        <v>5625</v>
      </c>
      <c r="D5631" s="3" t="str">
        <f>IFERROR(__xludf.DUMMYFUNCTION("GOOGLETRANSLATE(C5631,""en"",""pl"")"),"smażenie")</f>
        <v>smażenie</v>
      </c>
    </row>
    <row r="5632">
      <c r="C5632" s="1" t="s">
        <v>5626</v>
      </c>
      <c r="D5632" s="3" t="str">
        <f>IFERROR(__xludf.DUMMYFUNCTION("GOOGLETRANSLATE(C5632,""en"",""pl"")"),"odkupić")</f>
        <v>odkupić</v>
      </c>
    </row>
    <row r="5633">
      <c r="C5633" s="1" t="s">
        <v>5627</v>
      </c>
      <c r="D5633" s="3" t="str">
        <f>IFERROR(__xludf.DUMMYFUNCTION("GOOGLETRANSLATE(C5633,""en"",""pl"")"),"Droga")</f>
        <v>Droga</v>
      </c>
    </row>
    <row r="5634">
      <c r="C5634" s="1" t="s">
        <v>5628</v>
      </c>
      <c r="D5634" s="3" t="str">
        <f>IFERROR(__xludf.DUMMYFUNCTION("GOOGLETRANSLATE(C5634,""en"",""pl"")"),"półka")</f>
        <v>półka</v>
      </c>
    </row>
    <row r="5635">
      <c r="C5635" s="1" t="s">
        <v>5629</v>
      </c>
      <c r="D5635" s="3" t="str">
        <f>IFERROR(__xludf.DUMMYFUNCTION("GOOGLETRANSLATE(C5635,""en"",""pl"")"),"qing")</f>
        <v>qing</v>
      </c>
    </row>
    <row r="5636">
      <c r="C5636" s="1" t="s">
        <v>5630</v>
      </c>
      <c r="D5636" s="3" t="str">
        <f>IFERROR(__xludf.DUMMYFUNCTION("GOOGLETRANSLATE(C5636,""en"",""pl"")"),"tyrania")</f>
        <v>tyrania</v>
      </c>
    </row>
    <row r="5637">
      <c r="C5637" s="1" t="s">
        <v>5631</v>
      </c>
      <c r="D5637" s="3" t="str">
        <f>IFERROR(__xludf.DUMMYFUNCTION("GOOGLETRANSLATE(C5637,""en"",""pl"")"),"czarleston")</f>
        <v>czarleston</v>
      </c>
    </row>
    <row r="5638">
      <c r="C5638" s="1" t="s">
        <v>5632</v>
      </c>
      <c r="D5638" s="3" t="str">
        <f>IFERROR(__xludf.DUMMYFUNCTION("GOOGLETRANSLATE(C5638,""en"",""pl"")"),"najsłodszy")</f>
        <v>najsłodszy</v>
      </c>
    </row>
    <row r="5639">
      <c r="C5639" s="1" t="s">
        <v>5633</v>
      </c>
      <c r="D5639" s="3" t="str">
        <f>IFERROR(__xludf.DUMMYFUNCTION("GOOGLETRANSLATE(C5639,""en"",""pl"")"),"skórki")</f>
        <v>skórki</v>
      </c>
    </row>
    <row r="5640">
      <c r="C5640" s="1" t="s">
        <v>5634</v>
      </c>
      <c r="D5640" s="3" t="str">
        <f>IFERROR(__xludf.DUMMYFUNCTION("GOOGLETRANSLATE(C5640,""en"",""pl"")"),"różany")</f>
        <v>różany</v>
      </c>
    </row>
    <row r="5641">
      <c r="C5641" s="1" t="s">
        <v>5635</v>
      </c>
      <c r="D5641" s="3" t="str">
        <f>IFERROR(__xludf.DUMMYFUNCTION("GOOGLETRANSLATE(C5641,""en"",""pl"")"),"nominacja")</f>
        <v>nominacja</v>
      </c>
    </row>
    <row r="5642">
      <c r="C5642" s="1" t="s">
        <v>5636</v>
      </c>
      <c r="D5642" s="3" t="str">
        <f>IFERROR(__xludf.DUMMYFUNCTION("GOOGLETRANSLATE(C5642,""en"",""pl"")"),"podręcznik")</f>
        <v>podręcznik</v>
      </c>
    </row>
    <row r="5643">
      <c r="C5643" s="1" t="s">
        <v>5637</v>
      </c>
      <c r="D5643" s="3" t="str">
        <f>IFERROR(__xludf.DUMMYFUNCTION("GOOGLETRANSLATE(C5643,""en"",""pl"")"),"potomkowie")</f>
        <v>potomkowie</v>
      </c>
    </row>
    <row r="5644">
      <c r="C5644" s="1" t="s">
        <v>5638</v>
      </c>
      <c r="D5644" s="3" t="str">
        <f>IFERROR(__xludf.DUMMYFUNCTION("GOOGLETRANSLATE(C5644,""en"",""pl"")"),"Sabina")</f>
        <v>Sabina</v>
      </c>
    </row>
    <row r="5645">
      <c r="C5645" s="1" t="s">
        <v>5639</v>
      </c>
      <c r="D5645" s="3" t="str">
        <f>IFERROR(__xludf.DUMMYFUNCTION("GOOGLETRANSLATE(C5645,""en"",""pl"")"),"spacerować")</f>
        <v>spacerować</v>
      </c>
    </row>
    <row r="5646">
      <c r="C5646" s="1" t="s">
        <v>5640</v>
      </c>
      <c r="D5646" s="3" t="str">
        <f>IFERROR(__xludf.DUMMYFUNCTION("GOOGLETRANSLATE(C5646,""en"",""pl"")"),"pośpiech")</f>
        <v>pośpiech</v>
      </c>
    </row>
    <row r="5647">
      <c r="C5647" s="1" t="s">
        <v>5641</v>
      </c>
      <c r="D5647" s="3" t="str">
        <f>IFERROR(__xludf.DUMMYFUNCTION("GOOGLETRANSLATE(C5647,""en"",""pl"")"),"dubois")</f>
        <v>dubois</v>
      </c>
    </row>
    <row r="5648">
      <c r="C5648" s="1" t="s">
        <v>5642</v>
      </c>
      <c r="D5648" s="3" t="str">
        <f>IFERROR(__xludf.DUMMYFUNCTION("GOOGLETRANSLATE(C5648,""en"",""pl"")"),"Finlandia")</f>
        <v>Finlandia</v>
      </c>
    </row>
    <row r="5649">
      <c r="C5649" s="1" t="s">
        <v>5643</v>
      </c>
      <c r="D5649" s="3" t="str">
        <f>IFERROR(__xludf.DUMMYFUNCTION("GOOGLETRANSLATE(C5649,""en"",""pl"")"),"Loretta")</f>
        <v>Loretta</v>
      </c>
    </row>
    <row r="5650">
      <c r="C5650" s="1" t="s">
        <v>5644</v>
      </c>
      <c r="D5650" s="3" t="str">
        <f>IFERROR(__xludf.DUMMYFUNCTION("GOOGLETRANSLATE(C5650,""en"",""pl"")"),"nierozwiązany")</f>
        <v>nierozwiązany</v>
      </c>
    </row>
    <row r="5651">
      <c r="C5651" s="1" t="s">
        <v>5645</v>
      </c>
      <c r="D5651" s="3" t="str">
        <f>IFERROR(__xludf.DUMMYFUNCTION("GOOGLETRANSLATE(C5651,""en"",""pl"")"),"pionier")</f>
        <v>pionier</v>
      </c>
    </row>
    <row r="5652">
      <c r="C5652" s="1" t="s">
        <v>5646</v>
      </c>
      <c r="D5652" s="3" t="str">
        <f>IFERROR(__xludf.DUMMYFUNCTION("GOOGLETRANSLATE(C5652,""en"",""pl"")"),"Lub-")</f>
        <v>Lub-</v>
      </c>
    </row>
    <row r="5653">
      <c r="C5653" s="1" t="s">
        <v>5647</v>
      </c>
      <c r="D5653" s="3" t="str">
        <f>IFERROR(__xludf.DUMMYFUNCTION("GOOGLETRANSLATE(C5653,""en"",""pl"")"),"Ramirez")</f>
        <v>Ramirez</v>
      </c>
    </row>
    <row r="5654">
      <c r="C5654" s="1" t="s">
        <v>5648</v>
      </c>
      <c r="D5654" s="3" t="str">
        <f>IFERROR(__xludf.DUMMYFUNCTION("GOOGLETRANSLATE(C5654,""en"",""pl"")"),"Suzie")</f>
        <v>Suzie</v>
      </c>
    </row>
    <row r="5655">
      <c r="C5655" s="1" t="s">
        <v>5649</v>
      </c>
      <c r="D5655" s="3" t="str">
        <f>IFERROR(__xludf.DUMMYFUNCTION("GOOGLETRANSLATE(C5655,""en"",""pl"")"),"przytulony")</f>
        <v>przytulony</v>
      </c>
    </row>
    <row r="5656">
      <c r="C5656" s="1" t="s">
        <v>5650</v>
      </c>
      <c r="D5656" s="3" t="str">
        <f>IFERROR(__xludf.DUMMYFUNCTION("GOOGLETRANSLATE(C5656,""en"",""pl"")"),"dzięgiel")</f>
        <v>dzięgiel</v>
      </c>
    </row>
    <row r="5657">
      <c r="C5657" s="1" t="s">
        <v>5651</v>
      </c>
      <c r="D5657" s="3" t="str">
        <f>IFERROR(__xludf.DUMMYFUNCTION("GOOGLETRANSLATE(C5657,""en"",""pl"")"),"Cesarz")</f>
        <v>Cesarz</v>
      </c>
    </row>
    <row r="5658">
      <c r="C5658" s="1" t="s">
        <v>5652</v>
      </c>
      <c r="D5658" s="3" t="str">
        <f>IFERROR(__xludf.DUMMYFUNCTION("GOOGLETRANSLATE(C5658,""en"",""pl"")"),"przepustnica")</f>
        <v>przepustnica</v>
      </c>
    </row>
    <row r="5659">
      <c r="C5659" s="1" t="s">
        <v>5653</v>
      </c>
      <c r="D5659" s="3" t="str">
        <f>IFERROR(__xludf.DUMMYFUNCTION("GOOGLETRANSLATE(C5659,""en"",""pl"")"),"napędzany")</f>
        <v>napędzany</v>
      </c>
    </row>
    <row r="5660">
      <c r="C5660" s="1" t="s">
        <v>5654</v>
      </c>
      <c r="D5660" s="3" t="str">
        <f>IFERROR(__xludf.DUMMYFUNCTION("GOOGLETRANSLATE(C5660,""en"",""pl"")"),"rzeźba")</f>
        <v>rzeźba</v>
      </c>
    </row>
    <row r="5661">
      <c r="C5661" s="1" t="s">
        <v>5655</v>
      </c>
      <c r="D5661" s="3" t="str">
        <f>IFERROR(__xludf.DUMMYFUNCTION("GOOGLETRANSLATE(C5661,""en"",""pl"")"),"prosperować")</f>
        <v>prosperować</v>
      </c>
    </row>
    <row r="5662">
      <c r="C5662" s="1" t="s">
        <v>5656</v>
      </c>
      <c r="D5662" s="3" t="str">
        <f>IFERROR(__xludf.DUMMYFUNCTION("GOOGLETRANSLATE(C5662,""en"",""pl"")"),"DJ")</f>
        <v>DJ</v>
      </c>
    </row>
    <row r="5663">
      <c r="C5663" s="1" t="s">
        <v>5657</v>
      </c>
      <c r="D5663" s="3" t="str">
        <f>IFERROR(__xludf.DUMMYFUNCTION("GOOGLETRANSLATE(C5663,""en"",""pl"")"),"alergia")</f>
        <v>alergia</v>
      </c>
    </row>
    <row r="5664">
      <c r="C5664" s="1" t="s">
        <v>5658</v>
      </c>
      <c r="D5664" s="3" t="str">
        <f>IFERROR(__xludf.DUMMYFUNCTION("GOOGLETRANSLATE(C5664,""en"",""pl"")"),"OIOM")</f>
        <v>OIOM</v>
      </c>
    </row>
    <row r="5665">
      <c r="C5665" s="1" t="s">
        <v>5659</v>
      </c>
      <c r="D5665" s="3" t="str">
        <f>IFERROR(__xludf.DUMMYFUNCTION("GOOGLETRANSLATE(C5665,""en"",""pl"")"),"Suzy")</f>
        <v>Suzy</v>
      </c>
    </row>
    <row r="5666">
      <c r="C5666" s="1" t="s">
        <v>5660</v>
      </c>
      <c r="D5666" s="3" t="str">
        <f>IFERROR(__xludf.DUMMYFUNCTION("GOOGLETRANSLATE(C5666,""en"",""pl"")"),"pong")</f>
        <v>pong</v>
      </c>
    </row>
    <row r="5667">
      <c r="C5667" s="1" t="s">
        <v>5661</v>
      </c>
      <c r="D5667" s="3" t="str">
        <f>IFERROR(__xludf.DUMMYFUNCTION("GOOGLETRANSLATE(C5667,""en"",""pl"")"),"kwadraty")</f>
        <v>kwadraty</v>
      </c>
    </row>
    <row r="5668">
      <c r="C5668" s="1" t="s">
        <v>5662</v>
      </c>
      <c r="D5668" s="3" t="str">
        <f>IFERROR(__xludf.DUMMYFUNCTION("GOOGLETRANSLATE(C5668,""en"",""pl"")"),"alfabet")</f>
        <v>alfabet</v>
      </c>
    </row>
    <row r="5669">
      <c r="C5669" s="1" t="s">
        <v>5663</v>
      </c>
      <c r="D5669" s="3" t="str">
        <f>IFERROR(__xludf.DUMMYFUNCTION("GOOGLETRANSLATE(C5669,""en"",""pl"")"),"trójka")</f>
        <v>trójka</v>
      </c>
    </row>
    <row r="5670">
      <c r="C5670" s="1" t="s">
        <v>5664</v>
      </c>
      <c r="D5670" s="3" t="str">
        <f>IFERROR(__xludf.DUMMYFUNCTION("GOOGLETRANSLATE(C5670,""en"",""pl"")"),"odpowiednio")</f>
        <v>odpowiednio</v>
      </c>
    </row>
    <row r="5671">
      <c r="C5671" s="1" t="s">
        <v>5665</v>
      </c>
      <c r="D5671" s="3" t="str">
        <f>IFERROR(__xludf.DUMMYFUNCTION("GOOGLETRANSLATE(C5671,""en"",""pl"")"),"sekta")</f>
        <v>sekta</v>
      </c>
    </row>
    <row r="5672">
      <c r="C5672" s="1" t="s">
        <v>5666</v>
      </c>
      <c r="D5672" s="3" t="str">
        <f>IFERROR(__xludf.DUMMYFUNCTION("GOOGLETRANSLATE(C5672,""en"",""pl"")"),"macierzyństwo")</f>
        <v>macierzyństwo</v>
      </c>
    </row>
    <row r="5673">
      <c r="C5673" s="1" t="s">
        <v>5667</v>
      </c>
      <c r="D5673" s="3" t="str">
        <f>IFERROR(__xludf.DUMMYFUNCTION("GOOGLETRANSLATE(C5673,""en"",""pl"")"),"deficytowy")</f>
        <v>deficytowy</v>
      </c>
    </row>
    <row r="5674">
      <c r="C5674" s="1" t="s">
        <v>5668</v>
      </c>
      <c r="D5674" s="3" t="str">
        <f>IFERROR(__xludf.DUMMYFUNCTION("GOOGLETRANSLATE(C5674,""en"",""pl"")"),"staż")</f>
        <v>staż</v>
      </c>
    </row>
    <row r="5675">
      <c r="C5675" s="1" t="s">
        <v>5669</v>
      </c>
      <c r="D5675" s="3" t="str">
        <f>IFERROR(__xludf.DUMMYFUNCTION("GOOGLETRANSLATE(C5675,""en"",""pl"")"),"Morty")</f>
        <v>Morty</v>
      </c>
    </row>
    <row r="5676">
      <c r="C5676" s="1" t="s">
        <v>5670</v>
      </c>
      <c r="D5676" s="3" t="str">
        <f>IFERROR(__xludf.DUMMYFUNCTION("GOOGLETRANSLATE(C5676,""en"",""pl"")"),"tony")</f>
        <v>tony</v>
      </c>
    </row>
    <row r="5677">
      <c r="C5677" s="1" t="s">
        <v>5671</v>
      </c>
      <c r="D5677" s="3" t="str">
        <f>IFERROR(__xludf.DUMMYFUNCTION("GOOGLETRANSLATE(C5677,""en"",""pl"")"),"panowie")</f>
        <v>panowie</v>
      </c>
    </row>
    <row r="5678">
      <c r="C5678" s="1" t="s">
        <v>5672</v>
      </c>
      <c r="D5678" s="3" t="str">
        <f>IFERROR(__xludf.DUMMYFUNCTION("GOOGLETRANSLATE(C5678,""en"",""pl"")"),"chory")</f>
        <v>chory</v>
      </c>
    </row>
    <row r="5679">
      <c r="C5679" s="1" t="s">
        <v>5673</v>
      </c>
      <c r="D5679" s="3" t="str">
        <f>IFERROR(__xludf.DUMMYFUNCTION("GOOGLETRANSLATE(C5679,""en"",""pl"")"),"Nellie")</f>
        <v>Nellie</v>
      </c>
    </row>
    <row r="5680">
      <c r="C5680" s="1" t="s">
        <v>5674</v>
      </c>
      <c r="D5680" s="3" t="str">
        <f>IFERROR(__xludf.DUMMYFUNCTION("GOOGLETRANSLATE(C5680,""en"",""pl"")"),"import")</f>
        <v>import</v>
      </c>
    </row>
    <row r="5681">
      <c r="C5681" s="1" t="s">
        <v>5675</v>
      </c>
      <c r="D5681" s="3" t="str">
        <f>IFERROR(__xludf.DUMMYFUNCTION("GOOGLETRANSLATE(C5681,""en"",""pl"")"),"czasowy")</f>
        <v>czasowy</v>
      </c>
    </row>
    <row r="5682">
      <c r="C5682" s="1" t="s">
        <v>5676</v>
      </c>
      <c r="D5682" s="3" t="str">
        <f>IFERROR(__xludf.DUMMYFUNCTION("GOOGLETRANSLATE(C5682,""en"",""pl"")"),"Mohammed")</f>
        <v>Mohammed</v>
      </c>
    </row>
    <row r="5683">
      <c r="C5683" s="1" t="s">
        <v>5677</v>
      </c>
      <c r="D5683" s="3" t="str">
        <f>IFERROR(__xludf.DUMMYFUNCTION("GOOGLETRANSLATE(C5683,""en"",""pl"")"),"przewidywać")</f>
        <v>przewidywać</v>
      </c>
    </row>
    <row r="5684">
      <c r="C5684" s="1" t="s">
        <v>5678</v>
      </c>
      <c r="D5684" s="3" t="str">
        <f>IFERROR(__xludf.DUMMYFUNCTION("GOOGLETRANSLATE(C5684,""en"",""pl"")"),"demokraci")</f>
        <v>demokraci</v>
      </c>
    </row>
    <row r="5685">
      <c r="C5685" s="1" t="s">
        <v>5679</v>
      </c>
      <c r="D5685" s="3" t="str">
        <f>IFERROR(__xludf.DUMMYFUNCTION("GOOGLETRANSLATE(C5685,""en"",""pl"")"),"pfft")</f>
        <v>pfft</v>
      </c>
    </row>
    <row r="5686">
      <c r="C5686" s="1" t="s">
        <v>5680</v>
      </c>
      <c r="D5686" s="3" t="str">
        <f>IFERROR(__xludf.DUMMYFUNCTION("GOOGLETRANSLATE(C5686,""en"",""pl"")"),"zakończony")</f>
        <v>zakończony</v>
      </c>
    </row>
    <row r="5687">
      <c r="C5687" s="1" t="s">
        <v>5681</v>
      </c>
      <c r="D5687" s="3" t="str">
        <f>IFERROR(__xludf.DUMMYFUNCTION("GOOGLETRANSLATE(C5687,""en"",""pl"")"),"hulanka")</f>
        <v>hulanka</v>
      </c>
    </row>
    <row r="5688">
      <c r="C5688" s="1" t="s">
        <v>5682</v>
      </c>
      <c r="D5688" s="3" t="str">
        <f>IFERROR(__xludf.DUMMYFUNCTION("GOOGLETRANSLATE(C5688,""en"",""pl"")"),"przyjaciel")</f>
        <v>przyjaciel</v>
      </c>
    </row>
    <row r="5689">
      <c r="C5689" s="1" t="s">
        <v>5683</v>
      </c>
      <c r="D5689" s="3" t="str">
        <f>IFERROR(__xludf.DUMMYFUNCTION("GOOGLETRANSLATE(C5689,""en"",""pl"")"),"przeprowadzający wywiad")</f>
        <v>przeprowadzający wywiad</v>
      </c>
    </row>
    <row r="5690">
      <c r="C5690" s="1" t="s">
        <v>5684</v>
      </c>
      <c r="D5690" s="3" t="str">
        <f>IFERROR(__xludf.DUMMYFUNCTION("GOOGLETRANSLATE(C5690,""en"",""pl"")"),"z szacunkiem")</f>
        <v>z szacunkiem</v>
      </c>
    </row>
    <row r="5691">
      <c r="C5691" s="1" t="s">
        <v>5685</v>
      </c>
      <c r="D5691" s="3" t="str">
        <f>IFERROR(__xludf.DUMMYFUNCTION("GOOGLETRANSLATE(C5691,""en"",""pl"")"),"daremny")</f>
        <v>daremny</v>
      </c>
    </row>
    <row r="5692">
      <c r="C5692" s="1" t="s">
        <v>5686</v>
      </c>
      <c r="D5692" s="3" t="str">
        <f>IFERROR(__xludf.DUMMYFUNCTION("GOOGLETRANSLATE(C5692,""en"",""pl"")"),"dyktator")</f>
        <v>dyktator</v>
      </c>
    </row>
    <row r="5693">
      <c r="C5693" s="1" t="s">
        <v>5687</v>
      </c>
      <c r="D5693" s="3" t="str">
        <f>IFERROR(__xludf.DUMMYFUNCTION("GOOGLETRANSLATE(C5693,""en"",""pl"")"),"nadąsany")</f>
        <v>nadąsany</v>
      </c>
    </row>
    <row r="5694">
      <c r="C5694" s="1" t="s">
        <v>5688</v>
      </c>
      <c r="D5694" s="3" t="str">
        <f>IFERROR(__xludf.DUMMYFUNCTION("GOOGLETRANSLATE(C5694,""en"",""pl"")"),"czekaj")</f>
        <v>czekaj</v>
      </c>
    </row>
    <row r="5695">
      <c r="C5695" s="1" t="s">
        <v>5689</v>
      </c>
      <c r="D5695" s="3" t="str">
        <f>IFERROR(__xludf.DUMMYFUNCTION("GOOGLETRANSLATE(C5695,""en"",""pl"")"),"ssaki")</f>
        <v>ssaki</v>
      </c>
    </row>
    <row r="5696">
      <c r="C5696" s="1" t="s">
        <v>5690</v>
      </c>
      <c r="D5696" s="3" t="str">
        <f>IFERROR(__xludf.DUMMYFUNCTION("GOOGLETRANSLATE(C5696,""en"",""pl"")"),"zapiąć")</f>
        <v>zapiąć</v>
      </c>
    </row>
    <row r="5697">
      <c r="C5697" s="1" t="s">
        <v>5691</v>
      </c>
      <c r="D5697" s="3" t="str">
        <f>IFERROR(__xludf.DUMMYFUNCTION("GOOGLETRANSLATE(C5697,""en"",""pl"")"),"Neptun")</f>
        <v>Neptun</v>
      </c>
    </row>
    <row r="5698">
      <c r="C5698" s="1" t="s">
        <v>5692</v>
      </c>
      <c r="D5698" s="3" t="str">
        <f>IFERROR(__xludf.DUMMYFUNCTION("GOOGLETRANSLATE(C5698,""en"",""pl"")"),"chichot")</f>
        <v>chichot</v>
      </c>
    </row>
    <row r="5699">
      <c r="C5699" s="1" t="s">
        <v>5693</v>
      </c>
      <c r="D5699" s="3" t="str">
        <f>IFERROR(__xludf.DUMMYFUNCTION("GOOGLETRANSLATE(C5699,""en"",""pl"")"),"wnuczka")</f>
        <v>wnuczka</v>
      </c>
    </row>
    <row r="5700">
      <c r="C5700" s="1" t="s">
        <v>5694</v>
      </c>
      <c r="D5700" s="3" t="str">
        <f>IFERROR(__xludf.DUMMYFUNCTION("GOOGLETRANSLATE(C5700,""en"",""pl"")"),"farmaceutyczny")</f>
        <v>farmaceutyczny</v>
      </c>
    </row>
    <row r="5701">
      <c r="C5701" s="1" t="s">
        <v>5695</v>
      </c>
      <c r="D5701" s="3" t="str">
        <f>IFERROR(__xludf.DUMMYFUNCTION("GOOGLETRANSLATE(C5701,""en"",""pl"")"),"perski")</f>
        <v>perski</v>
      </c>
    </row>
    <row r="5702">
      <c r="C5702" s="1" t="s">
        <v>5696</v>
      </c>
      <c r="D5702" s="3" t="str">
        <f>IFERROR(__xludf.DUMMYFUNCTION("GOOGLETRANSLATE(C5702,""en"",""pl"")"),"taktyka")</f>
        <v>taktyka</v>
      </c>
    </row>
    <row r="5703">
      <c r="C5703" s="1" t="s">
        <v>5697</v>
      </c>
      <c r="D5703" s="3" t="str">
        <f>IFERROR(__xludf.DUMMYFUNCTION("GOOGLETRANSLATE(C5703,""en"",""pl"")"),"swędzący")</f>
        <v>swędzący</v>
      </c>
    </row>
    <row r="5704">
      <c r="C5704" s="1" t="s">
        <v>5698</v>
      </c>
      <c r="D5704" s="3" t="str">
        <f>IFERROR(__xludf.DUMMYFUNCTION("GOOGLETRANSLATE(C5704,""en"",""pl"")"),"obserwator")</f>
        <v>obserwator</v>
      </c>
    </row>
    <row r="5705">
      <c r="C5705" s="1" t="s">
        <v>5699</v>
      </c>
      <c r="D5705" s="3" t="str">
        <f>IFERROR(__xludf.DUMMYFUNCTION("GOOGLETRANSLATE(C5705,""en"",""pl"")"),"tesla")</f>
        <v>tesla</v>
      </c>
    </row>
    <row r="5706">
      <c r="C5706" s="1" t="s">
        <v>5700</v>
      </c>
      <c r="D5706" s="3" t="str">
        <f>IFERROR(__xludf.DUMMYFUNCTION("GOOGLETRANSLATE(C5706,""en"",""pl"")"),"tapeta")</f>
        <v>tapeta</v>
      </c>
    </row>
    <row r="5707">
      <c r="C5707" s="1" t="s">
        <v>5701</v>
      </c>
      <c r="D5707" s="3" t="str">
        <f>IFERROR(__xludf.DUMMYFUNCTION("GOOGLETRANSLATE(C5707,""en"",""pl"")"),"Cierń")</f>
        <v>Cierń</v>
      </c>
    </row>
    <row r="5708">
      <c r="C5708" s="1" t="s">
        <v>5702</v>
      </c>
      <c r="D5708" s="3" t="str">
        <f>IFERROR(__xludf.DUMMYFUNCTION("GOOGLETRANSLATE(C5708,""en"",""pl"")"),"jiang")</f>
        <v>jiang</v>
      </c>
    </row>
    <row r="5709">
      <c r="C5709" s="1" t="s">
        <v>5703</v>
      </c>
      <c r="D5709" s="3" t="str">
        <f>IFERROR(__xludf.DUMMYFUNCTION("GOOGLETRANSLATE(C5709,""en"",""pl"")"),"austriacki")</f>
        <v>austriacki</v>
      </c>
    </row>
    <row r="5710">
      <c r="C5710" s="1" t="s">
        <v>5704</v>
      </c>
      <c r="D5710" s="3" t="str">
        <f>IFERROR(__xludf.DUMMYFUNCTION("GOOGLETRANSLATE(C5710,""en"",""pl"")"),"wyjście")</f>
        <v>wyjście</v>
      </c>
    </row>
    <row r="5711">
      <c r="C5711" s="4" t="s">
        <v>5705</v>
      </c>
      <c r="D5711" s="3" t="str">
        <f>IFERROR(__xludf.DUMMYFUNCTION("GOOGLETRANSLATE(C5711,""en"",""pl"")"),"malley")</f>
        <v>malley</v>
      </c>
    </row>
    <row r="5712">
      <c r="C5712" s="1" t="s">
        <v>5706</v>
      </c>
      <c r="D5712" s="3" t="str">
        <f>IFERROR(__xludf.DUMMYFUNCTION("GOOGLETRANSLATE(C5712,""en"",""pl"")"),"Goliat")</f>
        <v>Goliat</v>
      </c>
    </row>
    <row r="5713">
      <c r="C5713" s="1" t="s">
        <v>5707</v>
      </c>
      <c r="D5713" s="3" t="str">
        <f>IFERROR(__xludf.DUMMYFUNCTION("GOOGLETRANSLATE(C5713,""en"",""pl"")"),"trofea")</f>
        <v>trofea</v>
      </c>
    </row>
    <row r="5714">
      <c r="C5714" s="1" t="s">
        <v>5708</v>
      </c>
      <c r="D5714" s="3" t="str">
        <f>IFERROR(__xludf.DUMMYFUNCTION("GOOGLETRANSLATE(C5714,""en"",""pl"")"),"radosny")</f>
        <v>radosny</v>
      </c>
    </row>
    <row r="5715">
      <c r="C5715" s="1" t="s">
        <v>5709</v>
      </c>
      <c r="D5715" s="3" t="str">
        <f>IFERROR(__xludf.DUMMYFUNCTION("GOOGLETRANSLATE(C5715,""en"",""pl"")"),"współmałżonek")</f>
        <v>współmałżonek</v>
      </c>
    </row>
    <row r="5716">
      <c r="C5716" s="1" t="s">
        <v>5710</v>
      </c>
      <c r="D5716" s="3" t="str">
        <f>IFERROR(__xludf.DUMMYFUNCTION("GOOGLETRANSLATE(C5716,""en"",""pl"")"),"Jerzy")</f>
        <v>Jerzy</v>
      </c>
    </row>
    <row r="5717">
      <c r="C5717" s="1" t="s">
        <v>5711</v>
      </c>
      <c r="D5717" s="3" t="str">
        <f>IFERROR(__xludf.DUMMYFUNCTION("GOOGLETRANSLATE(C5717,""en"",""pl"")"),"słusznie")</f>
        <v>słusznie</v>
      </c>
    </row>
    <row r="5718">
      <c r="C5718" s="1" t="s">
        <v>5712</v>
      </c>
      <c r="D5718" s="3" t="str">
        <f>IFERROR(__xludf.DUMMYFUNCTION("GOOGLETRANSLATE(C5718,""en"",""pl"")"),"Zainteresowania")</f>
        <v>Zainteresowania</v>
      </c>
    </row>
    <row r="5719">
      <c r="C5719" s="4" t="s">
        <v>5713</v>
      </c>
      <c r="D5719" s="3" t="str">
        <f>IFERROR(__xludf.DUMMYFUNCTION("GOOGLETRANSLATE(C5719,""en"",""pl"")"),"Tam")</f>
        <v>Tam</v>
      </c>
    </row>
    <row r="5720">
      <c r="C5720" s="1" t="s">
        <v>5714</v>
      </c>
      <c r="D5720" s="3" t="str">
        <f>IFERROR(__xludf.DUMMYFUNCTION("GOOGLETRANSLATE(C5720,""en"",""pl"")"),"witaj")</f>
        <v>witaj</v>
      </c>
    </row>
    <row r="5721">
      <c r="C5721" s="1" t="s">
        <v>5715</v>
      </c>
      <c r="D5721" s="3" t="str">
        <f>IFERROR(__xludf.DUMMYFUNCTION("GOOGLETRANSLATE(C5721,""en"",""pl"")"),"nadawanie nazw")</f>
        <v>nadawanie nazw</v>
      </c>
    </row>
    <row r="5722">
      <c r="C5722" s="1" t="s">
        <v>5716</v>
      </c>
      <c r="D5722" s="3" t="str">
        <f>IFERROR(__xludf.DUMMYFUNCTION("GOOGLETRANSLATE(C5722,""en"",""pl"")"),"yates")</f>
        <v>yates</v>
      </c>
    </row>
    <row r="5723">
      <c r="C5723" s="1" t="s">
        <v>5717</v>
      </c>
      <c r="D5723" s="3" t="str">
        <f>IFERROR(__xludf.DUMMYFUNCTION("GOOGLETRANSLATE(C5723,""en"",""pl"")"),"nieświeży")</f>
        <v>nieświeży</v>
      </c>
    </row>
    <row r="5724">
      <c r="C5724" s="1" t="s">
        <v>5718</v>
      </c>
      <c r="D5724" s="3" t="str">
        <f>IFERROR(__xludf.DUMMYFUNCTION("GOOGLETRANSLATE(C5724,""en"",""pl"")"),"praca zespołowa")</f>
        <v>praca zespołowa</v>
      </c>
    </row>
    <row r="5725">
      <c r="C5725" s="1" t="s">
        <v>5719</v>
      </c>
      <c r="D5725" s="3" t="str">
        <f>IFERROR(__xludf.DUMMYFUNCTION("GOOGLETRANSLATE(C5725,""en"",""pl"")"),"posłuszny")</f>
        <v>posłuszny</v>
      </c>
    </row>
    <row r="5726">
      <c r="C5726" s="1" t="s">
        <v>5720</v>
      </c>
      <c r="D5726" s="3" t="str">
        <f>IFERROR(__xludf.DUMMYFUNCTION("GOOGLETRANSLATE(C5726,""en"",""pl"")"),"przełączniki")</f>
        <v>przełączniki</v>
      </c>
    </row>
    <row r="5727">
      <c r="C5727" s="1" t="s">
        <v>5721</v>
      </c>
      <c r="D5727" s="3" t="str">
        <f>IFERROR(__xludf.DUMMYFUNCTION("GOOGLETRANSLATE(C5727,""en"",""pl"")"),"ocena")</f>
        <v>ocena</v>
      </c>
    </row>
    <row r="5728">
      <c r="C5728" s="1" t="s">
        <v>5722</v>
      </c>
      <c r="D5728" s="3" t="str">
        <f>IFERROR(__xludf.DUMMYFUNCTION("GOOGLETRANSLATE(C5728,""en"",""pl"")"),"regulacja")</f>
        <v>regulacja</v>
      </c>
    </row>
    <row r="5729">
      <c r="C5729" s="1" t="s">
        <v>5723</v>
      </c>
      <c r="D5729" s="3" t="str">
        <f>IFERROR(__xludf.DUMMYFUNCTION("GOOGLETRANSLATE(C5729,""en"",""pl"")"),"bredzenie")</f>
        <v>bredzenie</v>
      </c>
    </row>
    <row r="5730">
      <c r="C5730" s="1" t="s">
        <v>5724</v>
      </c>
      <c r="D5730" s="3" t="str">
        <f>IFERROR(__xludf.DUMMYFUNCTION("GOOGLETRANSLATE(C5730,""en"",""pl"")"),"dwutlenek")</f>
        <v>dwutlenek</v>
      </c>
    </row>
    <row r="5731">
      <c r="C5731" s="1" t="s">
        <v>5725</v>
      </c>
      <c r="D5731" s="3" t="str">
        <f>IFERROR(__xludf.DUMMYFUNCTION("GOOGLETRANSLATE(C5731,""en"",""pl"")"),"wzwód")</f>
        <v>wzwód</v>
      </c>
    </row>
    <row r="5732">
      <c r="C5732" s="1" t="s">
        <v>5726</v>
      </c>
      <c r="D5732" s="3" t="str">
        <f>IFERROR(__xludf.DUMMYFUNCTION("GOOGLETRANSLATE(C5732,""en"",""pl"")"),"przed Chrystusem")</f>
        <v>przed Chrystusem</v>
      </c>
    </row>
    <row r="5733">
      <c r="C5733" s="1" t="s">
        <v>5727</v>
      </c>
      <c r="D5733" s="3" t="str">
        <f>IFERROR(__xludf.DUMMYFUNCTION("GOOGLETRANSLATE(C5733,""en"",""pl"")"),"wszczepiać")</f>
        <v>wszczepiać</v>
      </c>
    </row>
    <row r="5734">
      <c r="C5734" s="1" t="s">
        <v>5728</v>
      </c>
      <c r="D5734" s="3" t="str">
        <f>IFERROR(__xludf.DUMMYFUNCTION("GOOGLETRANSLATE(C5734,""en"",""pl"")"),"Maryja")</f>
        <v>Maryja</v>
      </c>
    </row>
    <row r="5735">
      <c r="C5735" s="1" t="s">
        <v>5729</v>
      </c>
      <c r="D5735" s="3" t="str">
        <f>IFERROR(__xludf.DUMMYFUNCTION("GOOGLETRANSLATE(C5735,""en"",""pl"")"),"zadowalający")</f>
        <v>zadowalający</v>
      </c>
    </row>
    <row r="5736">
      <c r="C5736" s="1" t="s">
        <v>5730</v>
      </c>
      <c r="D5736" s="3" t="str">
        <f>IFERROR(__xludf.DUMMYFUNCTION("GOOGLETRANSLATE(C5736,""en"",""pl"")"),"espresso")</f>
        <v>espresso</v>
      </c>
    </row>
    <row r="5737">
      <c r="C5737" s="1" t="s">
        <v>5731</v>
      </c>
      <c r="D5737" s="3" t="str">
        <f>IFERROR(__xludf.DUMMYFUNCTION("GOOGLETRANSLATE(C5737,""en"",""pl"")"),"kawaler")</f>
        <v>kawaler</v>
      </c>
    </row>
    <row r="5738">
      <c r="C5738" s="1" t="s">
        <v>5732</v>
      </c>
      <c r="D5738" s="3" t="str">
        <f>IFERROR(__xludf.DUMMYFUNCTION("GOOGLETRANSLATE(C5738,""en"",""pl"")"),"podkład")</f>
        <v>podkład</v>
      </c>
    </row>
    <row r="5739">
      <c r="C5739" s="1" t="s">
        <v>5733</v>
      </c>
      <c r="D5739" s="3" t="str">
        <f>IFERROR(__xludf.DUMMYFUNCTION("GOOGLETRANSLATE(C5739,""en"",""pl"")"),"skonstruować")</f>
        <v>skonstruować</v>
      </c>
    </row>
    <row r="5740">
      <c r="C5740" s="1" t="s">
        <v>5734</v>
      </c>
      <c r="D5740" s="3" t="str">
        <f>IFERROR(__xludf.DUMMYFUNCTION("GOOGLETRANSLATE(C5740,""en"",""pl"")"),"racje żywnościowe")</f>
        <v>racje żywnościowe</v>
      </c>
    </row>
    <row r="5741">
      <c r="C5741" s="1" t="s">
        <v>5735</v>
      </c>
      <c r="D5741" s="3" t="str">
        <f>IFERROR(__xludf.DUMMYFUNCTION("GOOGLETRANSLATE(C5741,""en"",""pl"")"),"chrupać")</f>
        <v>chrupać</v>
      </c>
    </row>
    <row r="5742">
      <c r="C5742" s="1" t="s">
        <v>5736</v>
      </c>
      <c r="D5742" s="3" t="str">
        <f>IFERROR(__xludf.DUMMYFUNCTION("GOOGLETRANSLATE(C5742,""en"",""pl"")"),"anjali")</f>
        <v>anjali</v>
      </c>
    </row>
    <row r="5743">
      <c r="C5743" s="1" t="s">
        <v>5737</v>
      </c>
      <c r="D5743" s="3" t="str">
        <f>IFERROR(__xludf.DUMMYFUNCTION("GOOGLETRANSLATE(C5743,""en"",""pl"")"),"koordynować")</f>
        <v>koordynować</v>
      </c>
    </row>
    <row r="5744">
      <c r="C5744" s="1" t="s">
        <v>5738</v>
      </c>
      <c r="D5744" s="3" t="str">
        <f>IFERROR(__xludf.DUMMYFUNCTION("GOOGLETRANSLATE(C5744,""en"",""pl"")"),"jeleń")</f>
        <v>jeleń</v>
      </c>
    </row>
    <row r="5745">
      <c r="C5745" s="1" t="s">
        <v>5739</v>
      </c>
      <c r="D5745" s="3" t="str">
        <f>IFERROR(__xludf.DUMMYFUNCTION("GOOGLETRANSLATE(C5745,""en"",""pl"")"),"Dominika")</f>
        <v>Dominika</v>
      </c>
    </row>
    <row r="5746">
      <c r="C5746" s="1" t="s">
        <v>5740</v>
      </c>
      <c r="D5746" s="3" t="str">
        <f>IFERROR(__xludf.DUMMYFUNCTION("GOOGLETRANSLATE(C5746,""en"",""pl"")"),"tylne siedzenie")</f>
        <v>tylne siedzenie</v>
      </c>
    </row>
    <row r="5747">
      <c r="C5747" s="1" t="s">
        <v>5741</v>
      </c>
      <c r="D5747" s="3" t="str">
        <f>IFERROR(__xludf.DUMMYFUNCTION("GOOGLETRANSLATE(C5747,""en"",""pl"")"),"chrissy")</f>
        <v>chrissy</v>
      </c>
    </row>
    <row r="5748">
      <c r="C5748" s="1" t="s">
        <v>5742</v>
      </c>
      <c r="D5748" s="3" t="str">
        <f>IFERROR(__xludf.DUMMYFUNCTION("GOOGLETRANSLATE(C5748,""en"",""pl"")"),"przeanalizowano")</f>
        <v>przeanalizowano</v>
      </c>
    </row>
    <row r="5749">
      <c r="C5749" s="1" t="s">
        <v>5743</v>
      </c>
      <c r="D5749" s="3" t="str">
        <f>IFERROR(__xludf.DUMMYFUNCTION("GOOGLETRANSLATE(C5749,""en"",""pl"")"),"przełożyć")</f>
        <v>przełożyć</v>
      </c>
    </row>
    <row r="5750">
      <c r="C5750" s="1" t="s">
        <v>5744</v>
      </c>
      <c r="D5750" s="3" t="str">
        <f>IFERROR(__xludf.DUMMYFUNCTION("GOOGLETRANSLATE(C5750,""en"",""pl"")"),"podtrzymywać")</f>
        <v>podtrzymywać</v>
      </c>
    </row>
    <row r="5751">
      <c r="C5751" s="1" t="s">
        <v>5745</v>
      </c>
      <c r="D5751" s="3" t="str">
        <f>IFERROR(__xludf.DUMMYFUNCTION("GOOGLETRANSLATE(C5751,""en"",""pl"")"),"stowarzyszenie")</f>
        <v>stowarzyszenie</v>
      </c>
    </row>
    <row r="5752">
      <c r="C5752" s="1" t="s">
        <v>5746</v>
      </c>
      <c r="D5752" s="3" t="str">
        <f>IFERROR(__xludf.DUMMYFUNCTION("GOOGLETRANSLATE(C5752,""en"",""pl"")"),"dobry")</f>
        <v>dobry</v>
      </c>
    </row>
    <row r="5753">
      <c r="C5753" s="1" t="s">
        <v>5747</v>
      </c>
      <c r="D5753" s="3" t="str">
        <f>IFERROR(__xludf.DUMMYFUNCTION("GOOGLETRANSLATE(C5753,""en"",""pl"")"),"Książę")</f>
        <v>Książę</v>
      </c>
    </row>
    <row r="5754">
      <c r="C5754" s="1" t="s">
        <v>5748</v>
      </c>
      <c r="D5754" s="3" t="str">
        <f>IFERROR(__xludf.DUMMYFUNCTION("GOOGLETRANSLATE(C5754,""en"",""pl"")"),"niewygodny")</f>
        <v>niewygodny</v>
      </c>
    </row>
    <row r="5755">
      <c r="C5755" s="1" t="s">
        <v>5749</v>
      </c>
      <c r="D5755" s="3" t="str">
        <f>IFERROR(__xludf.DUMMYFUNCTION("GOOGLETRANSLATE(C5755,""en"",""pl"")"),"bułka tarta")</f>
        <v>bułka tarta</v>
      </c>
    </row>
    <row r="5756">
      <c r="C5756" s="1" t="s">
        <v>5750</v>
      </c>
      <c r="D5756" s="3" t="str">
        <f>IFERROR(__xludf.DUMMYFUNCTION("GOOGLETRANSLATE(C5756,""en"",""pl"")"),"rekonstrukcja")</f>
        <v>rekonstrukcja</v>
      </c>
    </row>
    <row r="5757">
      <c r="C5757" s="1" t="s">
        <v>5751</v>
      </c>
      <c r="D5757" s="3" t="str">
        <f>IFERROR(__xludf.DUMMYFUNCTION("GOOGLETRANSLATE(C5757,""en"",""pl"")"),"rurociąg")</f>
        <v>rurociąg</v>
      </c>
    </row>
    <row r="5758">
      <c r="C5758" s="1" t="s">
        <v>5752</v>
      </c>
      <c r="D5758" s="3" t="str">
        <f>IFERROR(__xludf.DUMMYFUNCTION("GOOGLETRANSLATE(C5758,""en"",""pl"")"),"zjednoczony ponownie")</f>
        <v>zjednoczony ponownie</v>
      </c>
    </row>
    <row r="5759">
      <c r="C5759" s="1" t="s">
        <v>5753</v>
      </c>
      <c r="D5759" s="3" t="str">
        <f>IFERROR(__xludf.DUMMYFUNCTION("GOOGLETRANSLATE(C5759,""en"",""pl"")"),"poufność")</f>
        <v>poufność</v>
      </c>
    </row>
    <row r="5760">
      <c r="C5760" s="1" t="s">
        <v>5754</v>
      </c>
      <c r="D5760" s="3" t="str">
        <f>IFERROR(__xludf.DUMMYFUNCTION("GOOGLETRANSLATE(C5760,""en"",""pl"")"),"objął")</f>
        <v>objął</v>
      </c>
    </row>
    <row r="5761">
      <c r="C5761" s="1" t="s">
        <v>5755</v>
      </c>
      <c r="D5761" s="3" t="str">
        <f>IFERROR(__xludf.DUMMYFUNCTION("GOOGLETRANSLATE(C5761,""en"",""pl"")"),"odrzucony")</f>
        <v>odrzucony</v>
      </c>
    </row>
    <row r="5762">
      <c r="C5762" s="1" t="s">
        <v>5756</v>
      </c>
      <c r="D5762" s="3" t="str">
        <f>IFERROR(__xludf.DUMMYFUNCTION("GOOGLETRANSLATE(C5762,""en"",""pl"")"),"oświecenie")</f>
        <v>oświecenie</v>
      </c>
    </row>
    <row r="5763">
      <c r="C5763" s="1" t="s">
        <v>5757</v>
      </c>
      <c r="D5763" s="3" t="str">
        <f>IFERROR(__xludf.DUMMYFUNCTION("GOOGLETRANSLATE(C5763,""en"",""pl"")"),"kałuża")</f>
        <v>kałuża</v>
      </c>
    </row>
    <row r="5764">
      <c r="C5764" s="1" t="s">
        <v>5758</v>
      </c>
      <c r="D5764" s="3" t="str">
        <f>IFERROR(__xludf.DUMMYFUNCTION("GOOGLETRANSLATE(C5764,""en"",""pl"")"),"śmiertelnicy")</f>
        <v>śmiertelnicy</v>
      </c>
    </row>
    <row r="5765">
      <c r="C5765" s="1" t="s">
        <v>5759</v>
      </c>
      <c r="D5765" s="3" t="str">
        <f>IFERROR(__xludf.DUMMYFUNCTION("GOOGLETRANSLATE(C5765,""en"",""pl"")"),"wygodnie")</f>
        <v>wygodnie</v>
      </c>
    </row>
    <row r="5766">
      <c r="C5766" s="1" t="s">
        <v>5760</v>
      </c>
      <c r="D5766" s="3" t="str">
        <f>IFERROR(__xludf.DUMMYFUNCTION("GOOGLETRANSLATE(C5766,""en"",""pl"")"),"Wład")</f>
        <v>Wład</v>
      </c>
    </row>
    <row r="5767">
      <c r="C5767" s="1" t="s">
        <v>5761</v>
      </c>
      <c r="D5767" s="3" t="str">
        <f>IFERROR(__xludf.DUMMYFUNCTION("GOOGLETRANSLATE(C5767,""en"",""pl"")"),"Misza")</f>
        <v>Misza</v>
      </c>
    </row>
    <row r="5768">
      <c r="C5768" s="1" t="s">
        <v>5762</v>
      </c>
      <c r="D5768" s="3" t="str">
        <f>IFERROR(__xludf.DUMMYFUNCTION("GOOGLETRANSLATE(C5768,""en"",""pl"")"),"Ukraina")</f>
        <v>Ukraina</v>
      </c>
    </row>
    <row r="5769">
      <c r="C5769" s="1" t="s">
        <v>5763</v>
      </c>
      <c r="D5769" s="3" t="str">
        <f>IFERROR(__xludf.DUMMYFUNCTION("GOOGLETRANSLATE(C5769,""en"",""pl"")"),"pływać")</f>
        <v>pływać</v>
      </c>
    </row>
    <row r="5770">
      <c r="C5770" s="1" t="s">
        <v>5764</v>
      </c>
      <c r="D5770" s="3" t="str">
        <f>IFERROR(__xludf.DUMMYFUNCTION("GOOGLETRANSLATE(C5770,""en"",""pl"")"),"Aneta")</f>
        <v>Aneta</v>
      </c>
    </row>
    <row r="5771">
      <c r="C5771" s="1" t="s">
        <v>5765</v>
      </c>
      <c r="D5771" s="3" t="str">
        <f>IFERROR(__xludf.DUMMYFUNCTION("GOOGLETRANSLATE(C5771,""en"",""pl"")"),"demoniczny")</f>
        <v>demoniczny</v>
      </c>
    </row>
    <row r="5772">
      <c r="C5772" s="1" t="s">
        <v>5766</v>
      </c>
      <c r="D5772" s="3" t="str">
        <f>IFERROR(__xludf.DUMMYFUNCTION("GOOGLETRANSLATE(C5772,""en"",""pl"")"),"sora")</f>
        <v>sora</v>
      </c>
    </row>
    <row r="5773">
      <c r="C5773" s="1" t="s">
        <v>5767</v>
      </c>
      <c r="D5773" s="3" t="str">
        <f>IFERROR(__xludf.DUMMYFUNCTION("GOOGLETRANSLATE(C5773,""en"",""pl"")"),"zgon")</f>
        <v>zgon</v>
      </c>
    </row>
    <row r="5774">
      <c r="C5774" s="1" t="s">
        <v>5768</v>
      </c>
      <c r="D5774" s="3" t="str">
        <f>IFERROR(__xludf.DUMMYFUNCTION("GOOGLETRANSLATE(C5774,""en"",""pl"")"),"Donatello")</f>
        <v>Donatello</v>
      </c>
    </row>
    <row r="5775">
      <c r="C5775" s="1" t="s">
        <v>5769</v>
      </c>
      <c r="D5775" s="3" t="str">
        <f>IFERROR(__xludf.DUMMYFUNCTION("GOOGLETRANSLATE(C5775,""en"",""pl"")"),"grzyb")</f>
        <v>grzyb</v>
      </c>
    </row>
    <row r="5776">
      <c r="C5776" s="1" t="s">
        <v>5770</v>
      </c>
      <c r="D5776" s="3" t="str">
        <f>IFERROR(__xludf.DUMMYFUNCTION("GOOGLETRANSLATE(C5776,""en"",""pl"")"),"boso")</f>
        <v>boso</v>
      </c>
    </row>
    <row r="5777">
      <c r="C5777" s="1" t="s">
        <v>5771</v>
      </c>
      <c r="D5777" s="3" t="str">
        <f>IFERROR(__xludf.DUMMYFUNCTION("GOOGLETRANSLATE(C5777,""en"",""pl"")"),"tacos")</f>
        <v>tacos</v>
      </c>
    </row>
    <row r="5778">
      <c r="C5778" s="1" t="s">
        <v>5772</v>
      </c>
      <c r="D5778" s="3" t="str">
        <f>IFERROR(__xludf.DUMMYFUNCTION("GOOGLETRANSLATE(C5778,""en"",""pl"")"),"szkielety")</f>
        <v>szkielety</v>
      </c>
    </row>
    <row r="5779">
      <c r="C5779" s="1" t="s">
        <v>5773</v>
      </c>
      <c r="D5779" s="3" t="str">
        <f>IFERROR(__xludf.DUMMYFUNCTION("GOOGLETRANSLATE(C5779,""en"",""pl"")"),"dziób")</f>
        <v>dziób</v>
      </c>
    </row>
    <row r="5780">
      <c r="C5780" s="1" t="s">
        <v>5774</v>
      </c>
      <c r="D5780" s="3" t="str">
        <f>IFERROR(__xludf.DUMMYFUNCTION("GOOGLETRANSLATE(C5780,""en"",""pl"")"),"fanfara")</f>
        <v>fanfara</v>
      </c>
    </row>
    <row r="5781">
      <c r="C5781" s="1" t="s">
        <v>5775</v>
      </c>
      <c r="D5781" s="3" t="str">
        <f>IFERROR(__xludf.DUMMYFUNCTION("GOOGLETRANSLATE(C5781,""en"",""pl"")"),"Marylandia")</f>
        <v>Marylandia</v>
      </c>
    </row>
    <row r="5782">
      <c r="C5782" s="1" t="s">
        <v>5776</v>
      </c>
      <c r="D5782" s="3" t="str">
        <f>IFERROR(__xludf.DUMMYFUNCTION("GOOGLETRANSLATE(C5782,""en"",""pl"")"),"Filip")</f>
        <v>Filip</v>
      </c>
    </row>
    <row r="5783">
      <c r="C5783" s="1" t="s">
        <v>5777</v>
      </c>
      <c r="D5783" s="3" t="str">
        <f>IFERROR(__xludf.DUMMYFUNCTION("GOOGLETRANSLATE(C5783,""en"",""pl"")"),"Pikard")</f>
        <v>Pikard</v>
      </c>
    </row>
    <row r="5784">
      <c r="C5784" s="1" t="s">
        <v>5778</v>
      </c>
      <c r="D5784" s="3" t="str">
        <f>IFERROR(__xludf.DUMMYFUNCTION("GOOGLETRANSLATE(C5784,""en"",""pl"")"),"maskotka")</f>
        <v>maskotka</v>
      </c>
    </row>
    <row r="5785">
      <c r="C5785" s="1" t="s">
        <v>5779</v>
      </c>
      <c r="D5785" s="3" t="str">
        <f>IFERROR(__xludf.DUMMYFUNCTION("GOOGLETRANSLATE(C5785,""en"",""pl"")"),"cytryna")</f>
        <v>cytryna</v>
      </c>
    </row>
    <row r="5786">
      <c r="C5786" s="1" t="s">
        <v>5780</v>
      </c>
      <c r="D5786" s="3" t="str">
        <f>IFERROR(__xludf.DUMMYFUNCTION("GOOGLETRANSLATE(C5786,""en"",""pl"")"),"drastyczny")</f>
        <v>drastyczny</v>
      </c>
    </row>
    <row r="5787">
      <c r="C5787" s="1" t="s">
        <v>5781</v>
      </c>
      <c r="D5787" s="3" t="str">
        <f>IFERROR(__xludf.DUMMYFUNCTION("GOOGLETRANSLATE(C5787,""en"",""pl"")"),"postępowanie")</f>
        <v>postępowanie</v>
      </c>
    </row>
    <row r="5788">
      <c r="C5788" s="1" t="s">
        <v>5782</v>
      </c>
      <c r="D5788" s="3" t="str">
        <f>IFERROR(__xludf.DUMMYFUNCTION("GOOGLETRANSLATE(C5788,""en"",""pl"")"),"prezydenci")</f>
        <v>prezydenci</v>
      </c>
    </row>
    <row r="5789">
      <c r="C5789" s="1" t="s">
        <v>5783</v>
      </c>
      <c r="D5789" s="3" t="str">
        <f>IFERROR(__xludf.DUMMYFUNCTION("GOOGLETRANSLATE(C5789,""en"",""pl"")"),"niepokoić")</f>
        <v>niepokoić</v>
      </c>
    </row>
    <row r="5790">
      <c r="C5790" s="1" t="s">
        <v>5784</v>
      </c>
      <c r="D5790" s="3" t="str">
        <f>IFERROR(__xludf.DUMMYFUNCTION("GOOGLETRANSLATE(C5790,""en"",""pl"")"),"słupki")</f>
        <v>słupki</v>
      </c>
    </row>
    <row r="5791">
      <c r="C5791" s="1" t="s">
        <v>5785</v>
      </c>
      <c r="D5791" s="3" t="str">
        <f>IFERROR(__xludf.DUMMYFUNCTION("GOOGLETRANSLATE(C5791,""en"",""pl"")"),"sumy")</f>
        <v>sumy</v>
      </c>
    </row>
    <row r="5792">
      <c r="C5792" s="1" t="s">
        <v>5786</v>
      </c>
      <c r="D5792" s="3" t="str">
        <f>IFERROR(__xludf.DUMMYFUNCTION("GOOGLETRANSLATE(C5792,""en"",""pl"")"),"pozbawiony")</f>
        <v>pozbawiony</v>
      </c>
    </row>
    <row r="5793">
      <c r="C5793" s="1" t="s">
        <v>5787</v>
      </c>
      <c r="D5793" s="3" t="str">
        <f>IFERROR(__xludf.DUMMYFUNCTION("GOOGLETRANSLATE(C5793,""en"",""pl"")"),"reklama")</f>
        <v>reklama</v>
      </c>
    </row>
    <row r="5794">
      <c r="C5794" s="1" t="s">
        <v>5788</v>
      </c>
      <c r="D5794" s="3" t="str">
        <f>IFERROR(__xludf.DUMMYFUNCTION("GOOGLETRANSLATE(C5794,""en"",""pl"")"),"puszczanie bąków")</f>
        <v>puszczanie bąków</v>
      </c>
    </row>
    <row r="5795">
      <c r="C5795" s="1" t="s">
        <v>5789</v>
      </c>
      <c r="D5795" s="3" t="str">
        <f>IFERROR(__xludf.DUMMYFUNCTION("GOOGLETRANSLATE(C5795,""en"",""pl"")"),"wyprostowany")</f>
        <v>wyprostowany</v>
      </c>
    </row>
    <row r="5796">
      <c r="C5796" s="1" t="s">
        <v>5790</v>
      </c>
      <c r="D5796" s="3" t="str">
        <f>IFERROR(__xludf.DUMMYFUNCTION("GOOGLETRANSLATE(C5796,""en"",""pl"")"),"główny")</f>
        <v>główny</v>
      </c>
    </row>
    <row r="5797">
      <c r="C5797" s="1" t="s">
        <v>5791</v>
      </c>
      <c r="D5797" s="3" t="str">
        <f>IFERROR(__xludf.DUMMYFUNCTION("GOOGLETRANSLATE(C5797,""en"",""pl"")"),"modyfikacja")</f>
        <v>modyfikacja</v>
      </c>
    </row>
    <row r="5798">
      <c r="C5798" s="1" t="s">
        <v>5792</v>
      </c>
      <c r="D5798" s="3" t="str">
        <f>IFERROR(__xludf.DUMMYFUNCTION("GOOGLETRANSLATE(C5798,""en"",""pl"")"),"szarada")</f>
        <v>szarada</v>
      </c>
    </row>
    <row r="5799">
      <c r="C5799" s="1" t="s">
        <v>5793</v>
      </c>
      <c r="D5799" s="3" t="str">
        <f>IFERROR(__xludf.DUMMYFUNCTION("GOOGLETRANSLATE(C5799,""en"",""pl"")"),"puste miejsca")</f>
        <v>puste miejsca</v>
      </c>
    </row>
    <row r="5800">
      <c r="C5800" s="1" t="s">
        <v>5794</v>
      </c>
      <c r="D5800" s="3" t="str">
        <f>IFERROR(__xludf.DUMMYFUNCTION("GOOGLETRANSLATE(C5800,""en"",""pl"")"),"stig")</f>
        <v>stig</v>
      </c>
    </row>
    <row r="5801">
      <c r="C5801" s="1" t="s">
        <v>5795</v>
      </c>
      <c r="D5801" s="3" t="str">
        <f>IFERROR(__xludf.DUMMYFUNCTION("GOOGLETRANSLATE(C5801,""en"",""pl"")"),"przebicie")</f>
        <v>przebicie</v>
      </c>
    </row>
    <row r="5802">
      <c r="C5802" s="1" t="s">
        <v>5796</v>
      </c>
      <c r="D5802" s="3" t="str">
        <f>IFERROR(__xludf.DUMMYFUNCTION("GOOGLETRANSLATE(C5802,""en"",""pl"")"),"zbić")</f>
        <v>zbić</v>
      </c>
    </row>
    <row r="5803">
      <c r="C5803" s="1" t="s">
        <v>5797</v>
      </c>
      <c r="D5803" s="3" t="str">
        <f>IFERROR(__xludf.DUMMYFUNCTION("GOOGLETRANSLATE(C5803,""en"",""pl"")"),"Utah")</f>
        <v>Utah</v>
      </c>
    </row>
    <row r="5804">
      <c r="C5804" s="1" t="s">
        <v>5798</v>
      </c>
      <c r="D5804" s="3" t="str">
        <f>IFERROR(__xludf.DUMMYFUNCTION("GOOGLETRANSLATE(C5804,""en"",""pl"")"),"buczenie")</f>
        <v>buczenie</v>
      </c>
    </row>
    <row r="5805">
      <c r="C5805" s="1" t="s">
        <v>5799</v>
      </c>
      <c r="D5805" s="3" t="str">
        <f>IFERROR(__xludf.DUMMYFUNCTION("GOOGLETRANSLATE(C5805,""en"",""pl"")"),"brzuch")</f>
        <v>brzuch</v>
      </c>
    </row>
    <row r="5806">
      <c r="C5806" s="1" t="s">
        <v>5800</v>
      </c>
      <c r="D5806" s="3" t="str">
        <f>IFERROR(__xludf.DUMMYFUNCTION("GOOGLETRANSLATE(C5806,""en"",""pl"")"),"minimalny")</f>
        <v>minimalny</v>
      </c>
    </row>
    <row r="5807">
      <c r="C5807" s="1" t="s">
        <v>5801</v>
      </c>
      <c r="D5807" s="3" t="str">
        <f>IFERROR(__xludf.DUMMYFUNCTION("GOOGLETRANSLATE(C5807,""en"",""pl"")"),"dziewczyny")</f>
        <v>dziewczyny</v>
      </c>
    </row>
    <row r="5808">
      <c r="C5808" s="1" t="s">
        <v>5802</v>
      </c>
      <c r="D5808" s="3" t="str">
        <f>IFERROR(__xludf.DUMMYFUNCTION("GOOGLETRANSLATE(C5808,""en"",""pl"")"),"błyski")</f>
        <v>błyski</v>
      </c>
    </row>
    <row r="5809">
      <c r="C5809" s="1" t="s">
        <v>5803</v>
      </c>
      <c r="D5809" s="3" t="str">
        <f>IFERROR(__xludf.DUMMYFUNCTION("GOOGLETRANSLATE(C5809,""en"",""pl"")"),"andriej")</f>
        <v>andriej</v>
      </c>
    </row>
    <row r="5810">
      <c r="C5810" s="1" t="s">
        <v>5804</v>
      </c>
      <c r="D5810" s="3" t="str">
        <f>IFERROR(__xludf.DUMMYFUNCTION("GOOGLETRANSLATE(C5810,""en"",""pl"")"),"wymagania")</f>
        <v>wymagania</v>
      </c>
    </row>
    <row r="5811">
      <c r="C5811" s="1" t="s">
        <v>5805</v>
      </c>
      <c r="D5811" s="3" t="str">
        <f>IFERROR(__xludf.DUMMYFUNCTION("GOOGLETRANSLATE(C5811,""en"",""pl"")"),"szklarnia")</f>
        <v>szklarnia</v>
      </c>
    </row>
    <row r="5812">
      <c r="C5812" s="1" t="s">
        <v>5806</v>
      </c>
      <c r="D5812" s="3" t="str">
        <f>IFERROR(__xludf.DUMMYFUNCTION("GOOGLETRANSLATE(C5812,""en"",""pl"")"),"Marks")</f>
        <v>Marks</v>
      </c>
    </row>
    <row r="5813">
      <c r="C5813" s="4" t="s">
        <v>5807</v>
      </c>
      <c r="D5813" s="3" t="str">
        <f>IFERROR(__xludf.DUMMYFUNCTION("GOOGLETRANSLATE(C5813,""en"",""pl"")"),"mama")</f>
        <v>mama</v>
      </c>
    </row>
    <row r="5814">
      <c r="C5814" s="1" t="s">
        <v>5808</v>
      </c>
      <c r="D5814" s="3" t="str">
        <f>IFERROR(__xludf.DUMMYFUNCTION("GOOGLETRANSLATE(C5814,""en"",""pl"")"),"Vermont")</f>
        <v>Vermont</v>
      </c>
    </row>
    <row r="5815">
      <c r="C5815" s="1" t="s">
        <v>5809</v>
      </c>
      <c r="D5815" s="3" t="str">
        <f>IFERROR(__xludf.DUMMYFUNCTION("GOOGLETRANSLATE(C5815,""en"",""pl"")"),"zrozumieć")</f>
        <v>zrozumieć</v>
      </c>
    </row>
    <row r="5816">
      <c r="C5816" s="1" t="s">
        <v>5810</v>
      </c>
      <c r="D5816" s="3" t="str">
        <f>IFERROR(__xludf.DUMMYFUNCTION("GOOGLETRANSLATE(C5816,""en"",""pl"")"),"kajak")</f>
        <v>kajak</v>
      </c>
    </row>
    <row r="5817">
      <c r="C5817" s="1" t="s">
        <v>5811</v>
      </c>
      <c r="D5817" s="3" t="str">
        <f>IFERROR(__xludf.DUMMYFUNCTION("GOOGLETRANSLATE(C5817,""en"",""pl"")"),"pałeczka")</f>
        <v>pałeczka</v>
      </c>
    </row>
    <row r="5818">
      <c r="C5818" s="1" t="s">
        <v>5812</v>
      </c>
      <c r="D5818" s="3" t="str">
        <f>IFERROR(__xludf.DUMMYFUNCTION("GOOGLETRANSLATE(C5818,""en"",""pl"")"),"dupek")</f>
        <v>dupek</v>
      </c>
    </row>
    <row r="5819">
      <c r="C5819" s="1" t="s">
        <v>5813</v>
      </c>
      <c r="D5819" s="3" t="str">
        <f>IFERROR(__xludf.DUMMYFUNCTION("GOOGLETRANSLATE(C5819,""en"",""pl"")"),"ukończenie studiów")</f>
        <v>ukończenie studiów</v>
      </c>
    </row>
    <row r="5820">
      <c r="C5820" s="1" t="s">
        <v>5814</v>
      </c>
      <c r="D5820" s="3" t="str">
        <f>IFERROR(__xludf.DUMMYFUNCTION("GOOGLETRANSLATE(C5820,""en"",""pl"")"),"częściowo")</f>
        <v>częściowo</v>
      </c>
    </row>
    <row r="5821">
      <c r="C5821" s="1" t="s">
        <v>5815</v>
      </c>
      <c r="D5821" s="3" t="str">
        <f>IFERROR(__xludf.DUMMYFUNCTION("GOOGLETRANSLATE(C5821,""en"",""pl"")"),"wyczuwanie")</f>
        <v>wyczuwanie</v>
      </c>
    </row>
    <row r="5822">
      <c r="C5822" s="1" t="s">
        <v>5816</v>
      </c>
      <c r="D5822" s="3" t="str">
        <f>IFERROR(__xludf.DUMMYFUNCTION("GOOGLETRANSLATE(C5822,""en"",""pl"")"),"wyuzdany")</f>
        <v>wyuzdany</v>
      </c>
    </row>
    <row r="5823">
      <c r="C5823" s="1" t="s">
        <v>5817</v>
      </c>
      <c r="D5823" s="3" t="str">
        <f>IFERROR(__xludf.DUMMYFUNCTION("GOOGLETRANSLATE(C5823,""en"",""pl"")"),"tytani")</f>
        <v>tytani</v>
      </c>
    </row>
    <row r="5824">
      <c r="C5824" s="1" t="s">
        <v>5818</v>
      </c>
      <c r="D5824" s="3" t="str">
        <f>IFERROR(__xludf.DUMMYFUNCTION("GOOGLETRANSLATE(C5824,""en"",""pl"")"),"mikroskop")</f>
        <v>mikroskop</v>
      </c>
    </row>
    <row r="5825">
      <c r="C5825" s="1" t="s">
        <v>5819</v>
      </c>
      <c r="D5825" s="3" t="str">
        <f>IFERROR(__xludf.DUMMYFUNCTION("GOOGLETRANSLATE(C5825,""en"",""pl"")"),"onieśmielający")</f>
        <v>onieśmielający</v>
      </c>
    </row>
    <row r="5826">
      <c r="C5826" s="1" t="s">
        <v>5820</v>
      </c>
      <c r="D5826" s="3" t="str">
        <f>IFERROR(__xludf.DUMMYFUNCTION("GOOGLETRANSLATE(C5826,""en"",""pl"")"),"ren")</f>
        <v>ren</v>
      </c>
    </row>
    <row r="5827">
      <c r="C5827" s="1" t="s">
        <v>5821</v>
      </c>
      <c r="D5827" s="3" t="str">
        <f>IFERROR(__xludf.DUMMYFUNCTION("GOOGLETRANSLATE(C5827,""en"",""pl"")"),"babu")</f>
        <v>babu</v>
      </c>
    </row>
    <row r="5828">
      <c r="C5828" s="1" t="s">
        <v>5822</v>
      </c>
      <c r="D5828" s="3" t="str">
        <f>IFERROR(__xludf.DUMMYFUNCTION("GOOGLETRANSLATE(C5828,""en"",""pl"")"),"terytoria")</f>
        <v>terytoria</v>
      </c>
    </row>
    <row r="5829">
      <c r="C5829" s="1" t="s">
        <v>5823</v>
      </c>
      <c r="D5829" s="3" t="str">
        <f>IFERROR(__xludf.DUMMYFUNCTION("GOOGLETRANSLATE(C5829,""en"",""pl"")"),"niejasno")</f>
        <v>niejasno</v>
      </c>
    </row>
    <row r="5830">
      <c r="C5830" s="1" t="s">
        <v>5824</v>
      </c>
      <c r="D5830" s="3" t="str">
        <f>IFERROR(__xludf.DUMMYFUNCTION("GOOGLETRANSLATE(C5830,""en"",""pl"")"),"gęsi")</f>
        <v>gęsi</v>
      </c>
    </row>
    <row r="5831">
      <c r="C5831" s="1" t="s">
        <v>5825</v>
      </c>
      <c r="D5831" s="3" t="str">
        <f>IFERROR(__xludf.DUMMYFUNCTION("GOOGLETRANSLATE(C5831,""en"",""pl"")"),"trudność")</f>
        <v>trudność</v>
      </c>
    </row>
    <row r="5832">
      <c r="C5832" s="1" t="s">
        <v>5826</v>
      </c>
      <c r="D5832" s="3" t="str">
        <f>IFERROR(__xludf.DUMMYFUNCTION("GOOGLETRANSLATE(C5832,""en"",""pl"")"),"Karina")</f>
        <v>Karina</v>
      </c>
    </row>
    <row r="5833">
      <c r="C5833" s="1" t="s">
        <v>5827</v>
      </c>
      <c r="D5833" s="3" t="str">
        <f>IFERROR(__xludf.DUMMYFUNCTION("GOOGLETRANSLATE(C5833,""en"",""pl"")"),"wyjątki")</f>
        <v>wyjątki</v>
      </c>
    </row>
    <row r="5834">
      <c r="C5834" s="1" t="s">
        <v>5828</v>
      </c>
      <c r="D5834" s="3" t="str">
        <f>IFERROR(__xludf.DUMMYFUNCTION("GOOGLETRANSLATE(C5834,""en"",""pl"")"),"dźwięczenie")</f>
        <v>dźwięczenie</v>
      </c>
    </row>
    <row r="5835">
      <c r="C5835" s="1" t="s">
        <v>5829</v>
      </c>
      <c r="D5835" s="3" t="str">
        <f>IFERROR(__xludf.DUMMYFUNCTION("GOOGLETRANSLATE(C5835,""en"",""pl"")"),"dziadek")</f>
        <v>dziadek</v>
      </c>
    </row>
    <row r="5836">
      <c r="C5836" s="1" t="s">
        <v>5830</v>
      </c>
      <c r="D5836" s="3" t="str">
        <f>IFERROR(__xludf.DUMMYFUNCTION("GOOGLETRANSLATE(C5836,""en"",""pl"")"),"florrick")</f>
        <v>florrick</v>
      </c>
    </row>
    <row r="5837">
      <c r="C5837" s="1" t="s">
        <v>5831</v>
      </c>
      <c r="D5837" s="3" t="str">
        <f>IFERROR(__xludf.DUMMYFUNCTION("GOOGLETRANSLATE(C5837,""en"",""pl"")"),"debel")</f>
        <v>debel</v>
      </c>
    </row>
    <row r="5838">
      <c r="C5838" s="1" t="s">
        <v>5832</v>
      </c>
      <c r="D5838" s="3" t="str">
        <f>IFERROR(__xludf.DUMMYFUNCTION("GOOGLETRANSLATE(C5838,""en"",""pl"")"),"dzianie")</f>
        <v>dzianie</v>
      </c>
    </row>
    <row r="5839">
      <c r="C5839" s="1" t="s">
        <v>5833</v>
      </c>
      <c r="D5839" s="3" t="str">
        <f>IFERROR(__xludf.DUMMYFUNCTION("GOOGLETRANSLATE(C5839,""en"",""pl"")"),"spowolniony")</f>
        <v>spowolniony</v>
      </c>
    </row>
    <row r="5840">
      <c r="C5840" s="1" t="s">
        <v>5834</v>
      </c>
      <c r="D5840" s="3" t="str">
        <f>IFERROR(__xludf.DUMMYFUNCTION("GOOGLETRANSLATE(C5840,""en"",""pl"")"),"administrator")</f>
        <v>administrator</v>
      </c>
    </row>
    <row r="5841">
      <c r="C5841" s="1" t="s">
        <v>5835</v>
      </c>
      <c r="D5841" s="3" t="str">
        <f>IFERROR(__xludf.DUMMYFUNCTION("GOOGLETRANSLATE(C5841,""en"",""pl"")"),"kowal")</f>
        <v>kowal</v>
      </c>
    </row>
    <row r="5842">
      <c r="C5842" s="1" t="s">
        <v>5836</v>
      </c>
      <c r="D5842" s="3" t="str">
        <f>IFERROR(__xludf.DUMMYFUNCTION("GOOGLETRANSLATE(C5842,""en"",""pl"")"),"ctu")</f>
        <v>ctu</v>
      </c>
    </row>
    <row r="5843">
      <c r="C5843" s="1" t="s">
        <v>5837</v>
      </c>
      <c r="D5843" s="3" t="str">
        <f>IFERROR(__xludf.DUMMYFUNCTION("GOOGLETRANSLATE(C5843,""en"",""pl"")"),"pobieranie opłat")</f>
        <v>pobieranie opłat</v>
      </c>
    </row>
    <row r="5844">
      <c r="C5844" s="1" t="s">
        <v>5838</v>
      </c>
      <c r="D5844" s="3" t="str">
        <f>IFERROR(__xludf.DUMMYFUNCTION("GOOGLETRANSLATE(C5844,""en"",""pl"")"),"korespondencja")</f>
        <v>korespondencja</v>
      </c>
    </row>
    <row r="5845">
      <c r="C5845" s="1" t="s">
        <v>5839</v>
      </c>
      <c r="D5845" s="3" t="str">
        <f>IFERROR(__xludf.DUMMYFUNCTION("GOOGLETRANSLATE(C5845,""en"",""pl"")"),"modny")</f>
        <v>modny</v>
      </c>
    </row>
    <row r="5846">
      <c r="C5846" s="1" t="s">
        <v>5840</v>
      </c>
      <c r="D5846" s="3" t="str">
        <f>IFERROR(__xludf.DUMMYFUNCTION("GOOGLETRANSLATE(C5846,""en"",""pl"")"),"przeoczony")</f>
        <v>przeoczony</v>
      </c>
    </row>
    <row r="5847">
      <c r="C5847" s="1" t="s">
        <v>5841</v>
      </c>
      <c r="D5847" s="3" t="str">
        <f>IFERROR(__xludf.DUMMYFUNCTION("GOOGLETRANSLATE(C5847,""en"",""pl"")"),"Zyobhana")</f>
        <v>Zyobhana</v>
      </c>
    </row>
    <row r="5848">
      <c r="C5848" s="1" t="s">
        <v>5842</v>
      </c>
      <c r="D5848" s="3" t="str">
        <f>IFERROR(__xludf.DUMMYFUNCTION("GOOGLETRANSLATE(C5848,""en"",""pl"")"),"matrona")</f>
        <v>matrona</v>
      </c>
    </row>
    <row r="5849">
      <c r="C5849" s="1" t="s">
        <v>5843</v>
      </c>
      <c r="D5849" s="3" t="str">
        <f>IFERROR(__xludf.DUMMYFUNCTION("GOOGLETRANSLATE(C5849,""en"",""pl"")"),"arkada")</f>
        <v>arkada</v>
      </c>
    </row>
    <row r="5850">
      <c r="C5850" s="1" t="s">
        <v>5844</v>
      </c>
      <c r="D5850" s="3" t="str">
        <f>IFERROR(__xludf.DUMMYFUNCTION("GOOGLETRANSLATE(C5850,""en"",""pl"")"),"gesty")</f>
        <v>gesty</v>
      </c>
    </row>
    <row r="5851">
      <c r="C5851" s="1" t="s">
        <v>5845</v>
      </c>
      <c r="D5851" s="3" t="str">
        <f>IFERROR(__xludf.DUMMYFUNCTION("GOOGLETRANSLATE(C5851,""en"",""pl"")"),"Lonnie")</f>
        <v>Lonnie</v>
      </c>
    </row>
    <row r="5852">
      <c r="C5852" s="1" t="s">
        <v>5846</v>
      </c>
      <c r="D5852" s="3" t="str">
        <f>IFERROR(__xludf.DUMMYFUNCTION("GOOGLETRANSLATE(C5852,""en"",""pl"")"),"tablica0")</f>
        <v>tablica0</v>
      </c>
    </row>
    <row r="5853">
      <c r="C5853" s="1" t="s">
        <v>5847</v>
      </c>
      <c r="D5853" s="3" t="str">
        <f>IFERROR(__xludf.DUMMYFUNCTION("GOOGLETRANSLATE(C5853,""en"",""pl"")"),"skwitowany")</f>
        <v>skwitowany</v>
      </c>
    </row>
    <row r="5854">
      <c r="C5854" s="1" t="s">
        <v>5848</v>
      </c>
      <c r="D5854" s="3" t="str">
        <f>IFERROR(__xludf.DUMMYFUNCTION("GOOGLETRANSLATE(C5854,""en"",""pl"")"),"przewyższony liczebnie")</f>
        <v>przewyższony liczebnie</v>
      </c>
    </row>
    <row r="5855">
      <c r="C5855" s="1" t="s">
        <v>5849</v>
      </c>
      <c r="D5855" s="3" t="str">
        <f>IFERROR(__xludf.DUMMYFUNCTION("GOOGLETRANSLATE(C5855,""en"",""pl"")"),"Zablokować")</f>
        <v>Zablokować</v>
      </c>
    </row>
    <row r="5856">
      <c r="C5856" s="1" t="s">
        <v>5850</v>
      </c>
      <c r="D5856" s="3" t="str">
        <f>IFERROR(__xludf.DUMMYFUNCTION("GOOGLETRANSLATE(C5856,""en"",""pl"")"),"słowny")</f>
        <v>słowny</v>
      </c>
    </row>
    <row r="5857">
      <c r="C5857" s="1" t="s">
        <v>5851</v>
      </c>
      <c r="D5857" s="3" t="str">
        <f>IFERROR(__xludf.DUMMYFUNCTION("GOOGLETRANSLATE(C5857,""en"",""pl"")"),"mc")</f>
        <v>mc</v>
      </c>
    </row>
    <row r="5858">
      <c r="C5858" s="1" t="s">
        <v>5852</v>
      </c>
      <c r="D5858" s="3" t="str">
        <f>IFERROR(__xludf.DUMMYFUNCTION("GOOGLETRANSLATE(C5858,""en"",""pl"")"),"zakończyć")</f>
        <v>zakończyć</v>
      </c>
    </row>
    <row r="5859">
      <c r="C5859" s="1" t="s">
        <v>5853</v>
      </c>
      <c r="D5859" s="3" t="str">
        <f>IFERROR(__xludf.DUMMYFUNCTION("GOOGLETRANSLATE(C5859,""en"",""pl"")"),"zastępy niebieskie")</f>
        <v>zastępy niebieskie</v>
      </c>
    </row>
    <row r="5860">
      <c r="C5860" s="1" t="s">
        <v>5854</v>
      </c>
      <c r="D5860" s="3" t="str">
        <f>IFERROR(__xludf.DUMMYFUNCTION("GOOGLETRANSLATE(C5860,""en"",""pl"")"),"żyto")</f>
        <v>żyto</v>
      </c>
    </row>
    <row r="5861">
      <c r="C5861" s="1" t="s">
        <v>5855</v>
      </c>
      <c r="D5861" s="3" t="str">
        <f>IFERROR(__xludf.DUMMYFUNCTION("GOOGLETRANSLATE(C5861,""en"",""pl"")"),"ćwierkanie")</f>
        <v>ćwierkanie</v>
      </c>
    </row>
    <row r="5862">
      <c r="C5862" s="1" t="s">
        <v>5856</v>
      </c>
      <c r="D5862" s="3" t="str">
        <f>IFERROR(__xludf.DUMMYFUNCTION("GOOGLETRANSLATE(C5862,""en"",""pl"")"),"przewodnictwo")</f>
        <v>przewodnictwo</v>
      </c>
    </row>
    <row r="5863">
      <c r="C5863" s="1" t="s">
        <v>5857</v>
      </c>
      <c r="D5863" s="3" t="str">
        <f>IFERROR(__xludf.DUMMYFUNCTION("GOOGLETRANSLATE(C5863,""en"",""pl"")"),"Roberta")</f>
        <v>Roberta</v>
      </c>
    </row>
    <row r="5864">
      <c r="C5864" s="1" t="s">
        <v>5858</v>
      </c>
      <c r="D5864" s="3" t="str">
        <f>IFERROR(__xludf.DUMMYFUNCTION("GOOGLETRANSLATE(C5864,""en"",""pl"")"),"poświęcać")</f>
        <v>poświęcać</v>
      </c>
    </row>
    <row r="5865">
      <c r="C5865" s="1" t="s">
        <v>5859</v>
      </c>
      <c r="D5865" s="3" t="str">
        <f>IFERROR(__xludf.DUMMYFUNCTION("GOOGLETRANSLATE(C5865,""en"",""pl"")"),"30.")</f>
        <v>30.</v>
      </c>
    </row>
    <row r="5866">
      <c r="C5866" s="1" t="s">
        <v>5860</v>
      </c>
      <c r="D5866" s="3" t="str">
        <f>IFERROR(__xludf.DUMMYFUNCTION("GOOGLETRANSLATE(C5866,""en"",""pl"")"),"depresja")</f>
        <v>depresja</v>
      </c>
    </row>
    <row r="5867">
      <c r="C5867" s="1" t="s">
        <v>5861</v>
      </c>
      <c r="D5867" s="3" t="str">
        <f>IFERROR(__xludf.DUMMYFUNCTION("GOOGLETRANSLATE(C5867,""en"",""pl"")"),"Cześć")</f>
        <v>Cześć</v>
      </c>
    </row>
    <row r="5868">
      <c r="C5868" s="1" t="s">
        <v>5862</v>
      </c>
      <c r="D5868" s="3" t="str">
        <f>IFERROR(__xludf.DUMMYFUNCTION("GOOGLETRANSLATE(C5868,""en"",""pl"")"),"improwizować")</f>
        <v>improwizować</v>
      </c>
    </row>
    <row r="5869">
      <c r="C5869" s="1" t="s">
        <v>5863</v>
      </c>
      <c r="D5869" s="3" t="str">
        <f>IFERROR(__xludf.DUMMYFUNCTION("GOOGLETRANSLATE(C5869,""en"",""pl"")"),"monika")</f>
        <v>monika</v>
      </c>
    </row>
    <row r="5870">
      <c r="C5870" s="1" t="s">
        <v>5864</v>
      </c>
      <c r="D5870" s="3" t="str">
        <f>IFERROR(__xludf.DUMMYFUNCTION("GOOGLETRANSLATE(C5870,""en"",""pl"")"),"puchatek")</f>
        <v>puchatek</v>
      </c>
    </row>
    <row r="5871">
      <c r="C5871" s="1" t="s">
        <v>5865</v>
      </c>
      <c r="D5871" s="3" t="str">
        <f>IFERROR(__xludf.DUMMYFUNCTION("GOOGLETRANSLATE(C5871,""en"",""pl"")"),"statek kosmiczny")</f>
        <v>statek kosmiczny</v>
      </c>
    </row>
    <row r="5872">
      <c r="C5872" s="1" t="s">
        <v>5866</v>
      </c>
      <c r="D5872" s="3" t="str">
        <f>IFERROR(__xludf.DUMMYFUNCTION("GOOGLETRANSLATE(C5872,""en"",""pl"")"),"pik")</f>
        <v>pik</v>
      </c>
    </row>
    <row r="5873">
      <c r="C5873" s="1" t="s">
        <v>5867</v>
      </c>
      <c r="D5873" s="3" t="str">
        <f>IFERROR(__xludf.DUMMYFUNCTION("GOOGLETRANSLATE(C5873,""en"",""pl"")"),"opary")</f>
        <v>opary</v>
      </c>
    </row>
    <row r="5874">
      <c r="C5874" s="1" t="s">
        <v>5868</v>
      </c>
      <c r="D5874" s="3" t="str">
        <f>IFERROR(__xludf.DUMMYFUNCTION("GOOGLETRANSLATE(C5874,""en"",""pl"")"),"krakanie")</f>
        <v>krakanie</v>
      </c>
    </row>
    <row r="5875">
      <c r="C5875" s="1" t="s">
        <v>5869</v>
      </c>
      <c r="D5875" s="3" t="str">
        <f>IFERROR(__xludf.DUMMYFUNCTION("GOOGLETRANSLATE(C5875,""en"",""pl"")"),"aluminium")</f>
        <v>aluminium</v>
      </c>
    </row>
    <row r="5876">
      <c r="C5876" s="1" t="s">
        <v>5870</v>
      </c>
      <c r="D5876" s="3" t="str">
        <f>IFERROR(__xludf.DUMMYFUNCTION("GOOGLETRANSLATE(C5876,""en"",""pl"")"),"pisk")</f>
        <v>pisk</v>
      </c>
    </row>
    <row r="5877">
      <c r="C5877" s="1" t="s">
        <v>5871</v>
      </c>
      <c r="D5877" s="3" t="str">
        <f>IFERROR(__xludf.DUMMYFUNCTION("GOOGLETRANSLATE(C5877,""en"",""pl"")"),"opracowany")</f>
        <v>opracowany</v>
      </c>
    </row>
    <row r="5878">
      <c r="C5878" s="1" t="s">
        <v>5872</v>
      </c>
      <c r="D5878" s="3" t="str">
        <f>IFERROR(__xludf.DUMMYFUNCTION("GOOGLETRANSLATE(C5878,""en"",""pl"")"),"ssh")</f>
        <v>ssh</v>
      </c>
    </row>
    <row r="5879">
      <c r="C5879" s="1" t="s">
        <v>5873</v>
      </c>
      <c r="D5879" s="3" t="str">
        <f>IFERROR(__xludf.DUMMYFUNCTION("GOOGLETRANSLATE(C5879,""en"",""pl"")"),"Everest")</f>
        <v>Everest</v>
      </c>
    </row>
    <row r="5880">
      <c r="C5880" s="1" t="s">
        <v>5874</v>
      </c>
      <c r="D5880" s="3" t="str">
        <f>IFERROR(__xludf.DUMMYFUNCTION("GOOGLETRANSLATE(C5880,""en"",""pl"")"),"Michał")</f>
        <v>Michał</v>
      </c>
    </row>
    <row r="5881">
      <c r="C5881" s="1" t="s">
        <v>5875</v>
      </c>
      <c r="D5881" s="3" t="str">
        <f>IFERROR(__xludf.DUMMYFUNCTION("GOOGLETRANSLATE(C5881,""en"",""pl"")"),"wspólnota")</f>
        <v>wspólnota</v>
      </c>
    </row>
    <row r="5882">
      <c r="C5882" s="1" t="s">
        <v>5876</v>
      </c>
      <c r="D5882" s="3" t="str">
        <f>IFERROR(__xludf.DUMMYFUNCTION("GOOGLETRANSLATE(C5882,""en"",""pl"")"),"Candace")</f>
        <v>Candace</v>
      </c>
    </row>
    <row r="5883">
      <c r="C5883" s="1" t="s">
        <v>5877</v>
      </c>
      <c r="D5883" s="3" t="str">
        <f>IFERROR(__xludf.DUMMYFUNCTION("GOOGLETRANSLATE(C5883,""en"",""pl"")"),"cappuccino")</f>
        <v>cappuccino</v>
      </c>
    </row>
    <row r="5884">
      <c r="C5884" s="1" t="s">
        <v>5878</v>
      </c>
      <c r="D5884" s="3" t="str">
        <f>IFERROR(__xludf.DUMMYFUNCTION("GOOGLETRANSLATE(C5884,""en"",""pl"")"),"ogórek")</f>
        <v>ogórek</v>
      </c>
    </row>
    <row r="5885">
      <c r="C5885" s="1" t="s">
        <v>5879</v>
      </c>
      <c r="D5885" s="3" t="str">
        <f>IFERROR(__xludf.DUMMYFUNCTION("GOOGLETRANSLATE(C5885,""en"",""pl"")"),"wynalazca")</f>
        <v>wynalazca</v>
      </c>
    </row>
    <row r="5886">
      <c r="C5886" s="1" t="s">
        <v>5880</v>
      </c>
      <c r="D5886" s="3" t="str">
        <f>IFERROR(__xludf.DUMMYFUNCTION("GOOGLETRANSLATE(C5886,""en"",""pl"")"),"falcówka")</f>
        <v>falcówka</v>
      </c>
    </row>
    <row r="5887">
      <c r="C5887" s="1" t="s">
        <v>5881</v>
      </c>
      <c r="D5887" s="3" t="str">
        <f>IFERROR(__xludf.DUMMYFUNCTION("GOOGLETRANSLATE(C5887,""en"",""pl"")"),"trzaskanie")</f>
        <v>trzaskanie</v>
      </c>
    </row>
    <row r="5888">
      <c r="C5888" s="1" t="s">
        <v>5882</v>
      </c>
      <c r="D5888" s="3" t="str">
        <f>IFERROR(__xludf.DUMMYFUNCTION("GOOGLETRANSLATE(C5888,""en"",""pl"")"),"przysługi")</f>
        <v>przysługi</v>
      </c>
    </row>
    <row r="5889">
      <c r="C5889" s="1" t="s">
        <v>5883</v>
      </c>
      <c r="D5889" s="3" t="str">
        <f>IFERROR(__xludf.DUMMYFUNCTION("GOOGLETRANSLATE(C5889,""en"",""pl"")"),"papryka")</f>
        <v>papryka</v>
      </c>
    </row>
    <row r="5890">
      <c r="C5890" s="1" t="s">
        <v>5884</v>
      </c>
      <c r="D5890" s="3" t="str">
        <f>IFERROR(__xludf.DUMMYFUNCTION("GOOGLETRANSLATE(C5890,""en"",""pl"")"),"apeluje")</f>
        <v>apeluje</v>
      </c>
    </row>
    <row r="5891">
      <c r="C5891" s="1" t="s">
        <v>5885</v>
      </c>
      <c r="D5891" s="3" t="str">
        <f>IFERROR(__xludf.DUMMYFUNCTION("GOOGLETRANSLATE(C5891,""en"",""pl"")"),"Walton")</f>
        <v>Walton</v>
      </c>
    </row>
    <row r="5892">
      <c r="C5892" s="1" t="s">
        <v>5886</v>
      </c>
      <c r="D5892" s="3" t="str">
        <f>IFERROR(__xludf.DUMMYFUNCTION("GOOGLETRANSLATE(C5892,""en"",""pl"")"),"rozumowanie")</f>
        <v>rozumowanie</v>
      </c>
    </row>
    <row r="5893">
      <c r="C5893" s="1" t="s">
        <v>5887</v>
      </c>
      <c r="D5893" s="3" t="str">
        <f>IFERROR(__xludf.DUMMYFUNCTION("GOOGLETRANSLATE(C5893,""en"",""pl"")"),"odpowiedni")</f>
        <v>odpowiedni</v>
      </c>
    </row>
    <row r="5894">
      <c r="C5894" s="1" t="s">
        <v>5888</v>
      </c>
      <c r="D5894" s="3" t="str">
        <f>IFERROR(__xludf.DUMMYFUNCTION("GOOGLETRANSLATE(C5894,""en"",""pl"")"),"snickers")</f>
        <v>snickers</v>
      </c>
    </row>
    <row r="5895">
      <c r="C5895" s="1" t="s">
        <v>5889</v>
      </c>
      <c r="D5895" s="3" t="str">
        <f>IFERROR(__xludf.DUMMYFUNCTION("GOOGLETRANSLATE(C5895,""en"",""pl"")"),"przyklejony")</f>
        <v>przyklejony</v>
      </c>
    </row>
    <row r="5896">
      <c r="C5896" s="1" t="s">
        <v>5890</v>
      </c>
      <c r="D5896" s="3" t="str">
        <f>IFERROR(__xludf.DUMMYFUNCTION("GOOGLETRANSLATE(C5896,""en"",""pl"")"),"jeśli")</f>
        <v>jeśli</v>
      </c>
    </row>
    <row r="5897">
      <c r="C5897" s="1" t="s">
        <v>5891</v>
      </c>
      <c r="D5897" s="3" t="str">
        <f>IFERROR(__xludf.DUMMYFUNCTION("GOOGLETRANSLATE(C5897,""en"",""pl"")"),"sieci")</f>
        <v>sieci</v>
      </c>
    </row>
    <row r="5898">
      <c r="C5898" s="1" t="s">
        <v>5892</v>
      </c>
      <c r="D5898" s="3" t="str">
        <f>IFERROR(__xludf.DUMMYFUNCTION("GOOGLETRANSLATE(C5898,""en"",""pl"")"),"hangar")</f>
        <v>hangar</v>
      </c>
    </row>
    <row r="5899">
      <c r="C5899" s="1" t="s">
        <v>5893</v>
      </c>
      <c r="D5899" s="3" t="str">
        <f>IFERROR(__xludf.DUMMYFUNCTION("GOOGLETRANSLATE(C5899,""en"",""pl"")"),"matka chrzestna")</f>
        <v>matka chrzestna</v>
      </c>
    </row>
    <row r="5900">
      <c r="C5900" s="1" t="s">
        <v>5894</v>
      </c>
      <c r="D5900" s="3" t="str">
        <f>IFERROR(__xludf.DUMMYFUNCTION("GOOGLETRANSLATE(C5900,""en"",""pl"")"),"z pustymi rękami")</f>
        <v>z pustymi rękami</v>
      </c>
    </row>
    <row r="5901">
      <c r="C5901" s="1" t="s">
        <v>5895</v>
      </c>
      <c r="D5901" s="3" t="str">
        <f>IFERROR(__xludf.DUMMYFUNCTION("GOOGLETRANSLATE(C5901,""en"",""pl"")"),"satur")</f>
        <v>satur</v>
      </c>
    </row>
    <row r="5902">
      <c r="C5902" s="1" t="s">
        <v>5896</v>
      </c>
      <c r="D5902" s="3" t="str">
        <f>IFERROR(__xludf.DUMMYFUNCTION("GOOGLETRANSLATE(C5902,""en"",""pl"")"),"forum")</f>
        <v>forum</v>
      </c>
    </row>
    <row r="5903">
      <c r="C5903" s="1" t="s">
        <v>5897</v>
      </c>
      <c r="D5903" s="3" t="str">
        <f>IFERROR(__xludf.DUMMYFUNCTION("GOOGLETRANSLATE(C5903,""en"",""pl"")"),"radości")</f>
        <v>radości</v>
      </c>
    </row>
    <row r="5904">
      <c r="C5904" s="1" t="s">
        <v>5898</v>
      </c>
      <c r="D5904" s="3" t="str">
        <f>IFERROR(__xludf.DUMMYFUNCTION("GOOGLETRANSLATE(C5904,""en"",""pl"")"),"głupota")</f>
        <v>głupota</v>
      </c>
    </row>
    <row r="5905">
      <c r="C5905" s="1" t="s">
        <v>5899</v>
      </c>
      <c r="D5905" s="3" t="str">
        <f>IFERROR(__xludf.DUMMYFUNCTION("GOOGLETRANSLATE(C5905,""en"",""pl"")"),"Sybilla")</f>
        <v>Sybilla</v>
      </c>
    </row>
    <row r="5906">
      <c r="C5906" s="1" t="s">
        <v>5900</v>
      </c>
      <c r="D5906" s="3" t="str">
        <f>IFERROR(__xludf.DUMMYFUNCTION("GOOGLETRANSLATE(C5906,""en"",""pl"")"),"herb")</f>
        <v>herb</v>
      </c>
    </row>
    <row r="5907">
      <c r="C5907" s="1" t="s">
        <v>5901</v>
      </c>
      <c r="D5907" s="3" t="str">
        <f>IFERROR(__xludf.DUMMYFUNCTION("GOOGLETRANSLATE(C5907,""en"",""pl"")"),"figlarny")</f>
        <v>figlarny</v>
      </c>
    </row>
    <row r="5908">
      <c r="C5908" s="1" t="s">
        <v>5902</v>
      </c>
      <c r="D5908" s="3" t="str">
        <f>IFERROR(__xludf.DUMMYFUNCTION("GOOGLETRANSLATE(C5908,""en"",""pl"")"),"rówieśnicy")</f>
        <v>rówieśnicy</v>
      </c>
    </row>
    <row r="5909">
      <c r="C5909" s="1" t="s">
        <v>5903</v>
      </c>
      <c r="D5909" s="3" t="str">
        <f>IFERROR(__xludf.DUMMYFUNCTION("GOOGLETRANSLATE(C5909,""en"",""pl"")"),"horrory")</f>
        <v>horrory</v>
      </c>
    </row>
    <row r="5910">
      <c r="C5910" s="1" t="s">
        <v>5904</v>
      </c>
      <c r="D5910" s="3" t="str">
        <f>IFERROR(__xludf.DUMMYFUNCTION("GOOGLETRANSLATE(C5910,""en"",""pl"")"),"dorośli")</f>
        <v>dorośli</v>
      </c>
    </row>
    <row r="5911">
      <c r="C5911" s="1" t="s">
        <v>5905</v>
      </c>
      <c r="D5911" s="3" t="str">
        <f>IFERROR(__xludf.DUMMYFUNCTION("GOOGLETRANSLATE(C5911,""en"",""pl"")"),"wybielacz")</f>
        <v>wybielacz</v>
      </c>
    </row>
    <row r="5912">
      <c r="C5912" s="1" t="s">
        <v>5906</v>
      </c>
      <c r="D5912" s="3" t="str">
        <f>IFERROR(__xludf.DUMMYFUNCTION("GOOGLETRANSLATE(C5912,""en"",""pl"")"),"fatalny")</f>
        <v>fatalny</v>
      </c>
    </row>
    <row r="5913">
      <c r="C5913" s="1" t="s">
        <v>5907</v>
      </c>
      <c r="D5913" s="3" t="str">
        <f>IFERROR(__xludf.DUMMYFUNCTION("GOOGLETRANSLATE(C5913,""en"",""pl"")"),"skład")</f>
        <v>skład</v>
      </c>
    </row>
    <row r="5914">
      <c r="C5914" s="1" t="s">
        <v>5908</v>
      </c>
      <c r="D5914" s="3" t="str">
        <f>IFERROR(__xludf.DUMMYFUNCTION("GOOGLETRANSLATE(C5914,""en"",""pl"")"),"urok")</f>
        <v>urok</v>
      </c>
    </row>
    <row r="5915">
      <c r="C5915" s="1" t="s">
        <v>5909</v>
      </c>
      <c r="D5915" s="3" t="str">
        <f>IFERROR(__xludf.DUMMYFUNCTION("GOOGLETRANSLATE(C5915,""en"",""pl"")"),"koronacja")</f>
        <v>koronacja</v>
      </c>
    </row>
    <row r="5916">
      <c r="C5916" s="1" t="s">
        <v>5910</v>
      </c>
      <c r="D5916" s="3" t="str">
        <f>IFERROR(__xludf.DUMMYFUNCTION("GOOGLETRANSLATE(C5916,""en"",""pl"")"),"aureola")</f>
        <v>aureola</v>
      </c>
    </row>
    <row r="5917">
      <c r="C5917" s="1" t="s">
        <v>5911</v>
      </c>
      <c r="D5917" s="3" t="str">
        <f>IFERROR(__xludf.DUMMYFUNCTION("GOOGLETRANSLATE(C5917,""en"",""pl"")"),"sookie")</f>
        <v>sookie</v>
      </c>
    </row>
    <row r="5918">
      <c r="C5918" s="1" t="s">
        <v>5912</v>
      </c>
      <c r="D5918" s="3" t="str">
        <f>IFERROR(__xludf.DUMMYFUNCTION("GOOGLETRANSLATE(C5918,""en"",""pl"")"),"atrakcja")</f>
        <v>atrakcja</v>
      </c>
    </row>
    <row r="5919">
      <c r="C5919" s="1" t="s">
        <v>5913</v>
      </c>
      <c r="D5919" s="3" t="str">
        <f>IFERROR(__xludf.DUMMYFUNCTION("GOOGLETRANSLATE(C5919,""en"",""pl"")"),"Żywa")</f>
        <v>Żywa</v>
      </c>
    </row>
    <row r="5920">
      <c r="C5920" s="1" t="s">
        <v>5914</v>
      </c>
      <c r="D5920" s="3" t="str">
        <f>IFERROR(__xludf.DUMMYFUNCTION("GOOGLETRANSLATE(C5920,""en"",""pl"")"),"kucyki")</f>
        <v>kucyki</v>
      </c>
    </row>
    <row r="5921">
      <c r="C5921" s="1" t="s">
        <v>5915</v>
      </c>
      <c r="D5921" s="3" t="str">
        <f>IFERROR(__xludf.DUMMYFUNCTION("GOOGLETRANSLATE(C5921,""en"",""pl"")"),"błędy")</f>
        <v>błędy</v>
      </c>
    </row>
    <row r="5922">
      <c r="C5922" s="1" t="s">
        <v>5916</v>
      </c>
      <c r="D5922" s="3" t="str">
        <f>IFERROR(__xludf.DUMMYFUNCTION("GOOGLETRANSLATE(C5922,""en"",""pl"")"),"żyć")</f>
        <v>żyć</v>
      </c>
    </row>
    <row r="5923">
      <c r="C5923" s="1" t="s">
        <v>5917</v>
      </c>
      <c r="D5923" s="3" t="str">
        <f>IFERROR(__xludf.DUMMYFUNCTION("GOOGLETRANSLATE(C5923,""en"",""pl"")"),"Alvarez")</f>
        <v>Alvarez</v>
      </c>
    </row>
    <row r="5924">
      <c r="C5924" s="1" t="s">
        <v>5918</v>
      </c>
      <c r="D5924" s="3" t="str">
        <f>IFERROR(__xludf.DUMMYFUNCTION("GOOGLETRANSLATE(C5924,""en"",""pl"")"),"Pluton")</f>
        <v>Pluton</v>
      </c>
    </row>
    <row r="5925">
      <c r="C5925" s="1" t="s">
        <v>5919</v>
      </c>
      <c r="D5925" s="3" t="str">
        <f>IFERROR(__xludf.DUMMYFUNCTION("GOOGLETRANSLATE(C5925,""en"",""pl"")"),"ciężary")</f>
        <v>ciężary</v>
      </c>
    </row>
    <row r="5926">
      <c r="C5926" s="1" t="s">
        <v>5920</v>
      </c>
      <c r="D5926" s="3" t="str">
        <f>IFERROR(__xludf.DUMMYFUNCTION("GOOGLETRANSLATE(C5926,""en"",""pl"")"),"arabia")</f>
        <v>arabia</v>
      </c>
    </row>
    <row r="5927">
      <c r="C5927" s="1" t="s">
        <v>5921</v>
      </c>
      <c r="D5927" s="3" t="str">
        <f>IFERROR(__xludf.DUMMYFUNCTION("GOOGLETRANSLATE(C5927,""en"",""pl"")"),"pilny")</f>
        <v>pilny</v>
      </c>
    </row>
    <row r="5928">
      <c r="C5928" s="1" t="s">
        <v>5922</v>
      </c>
      <c r="D5928" s="3" t="str">
        <f>IFERROR(__xludf.DUMMYFUNCTION("GOOGLETRANSLATE(C5928,""en"",""pl"")"),"handlowiec")</f>
        <v>handlowiec</v>
      </c>
    </row>
    <row r="5929">
      <c r="C5929" s="1" t="s">
        <v>5923</v>
      </c>
      <c r="D5929" s="3" t="str">
        <f>IFERROR(__xludf.DUMMYFUNCTION("GOOGLETRANSLATE(C5929,""en"",""pl"")"),"Galileusz")</f>
        <v>Galileusz</v>
      </c>
    </row>
    <row r="5930">
      <c r="C5930" s="1" t="s">
        <v>5924</v>
      </c>
      <c r="D5930" s="3" t="str">
        <f>IFERROR(__xludf.DUMMYFUNCTION("GOOGLETRANSLATE(C5930,""en"",""pl"")"),"zanieczyszczony")</f>
        <v>zanieczyszczony</v>
      </c>
    </row>
    <row r="5931">
      <c r="C5931" s="1" t="s">
        <v>5925</v>
      </c>
      <c r="D5931" s="3" t="str">
        <f>IFERROR(__xludf.DUMMYFUNCTION("GOOGLETRANSLATE(C5931,""en"",""pl"")"),"apteka")</f>
        <v>apteka</v>
      </c>
    </row>
    <row r="5932">
      <c r="C5932" s="1" t="s">
        <v>5926</v>
      </c>
      <c r="D5932" s="3" t="str">
        <f>IFERROR(__xludf.DUMMYFUNCTION("GOOGLETRANSLATE(C5932,""en"",""pl"")"),"soczewki")</f>
        <v>soczewki</v>
      </c>
    </row>
    <row r="5933">
      <c r="C5933" s="1" t="s">
        <v>5927</v>
      </c>
      <c r="D5933" s="3" t="str">
        <f>IFERROR(__xludf.DUMMYFUNCTION("GOOGLETRANSLATE(C5933,""en"",""pl"")"),"przeszkoda")</f>
        <v>przeszkoda</v>
      </c>
    </row>
    <row r="5934">
      <c r="C5934" s="1" t="s">
        <v>5928</v>
      </c>
      <c r="D5934" s="3" t="str">
        <f>IFERROR(__xludf.DUMMYFUNCTION("GOOGLETRANSLATE(C5934,""en"",""pl"")"),"segment")</f>
        <v>segment</v>
      </c>
    </row>
    <row r="5935">
      <c r="C5935" s="1" t="s">
        <v>5929</v>
      </c>
      <c r="D5935" s="3" t="str">
        <f>IFERROR(__xludf.DUMMYFUNCTION("GOOGLETRANSLATE(C5935,""en"",""pl"")"),"zazdrosny")</f>
        <v>zazdrosny</v>
      </c>
    </row>
    <row r="5936">
      <c r="C5936" s="1" t="s">
        <v>5930</v>
      </c>
      <c r="D5936" s="3" t="str">
        <f>IFERROR(__xludf.DUMMYFUNCTION("GOOGLETRANSLATE(C5936,""en"",""pl"")"),"Gertruda")</f>
        <v>Gertruda</v>
      </c>
    </row>
    <row r="5937">
      <c r="C5937" s="1" t="s">
        <v>5931</v>
      </c>
      <c r="D5937" s="3" t="str">
        <f>IFERROR(__xludf.DUMMYFUNCTION("GOOGLETRANSLATE(C5937,""en"",""pl"")"),"pokrętny")</f>
        <v>pokrętny</v>
      </c>
    </row>
    <row r="5938">
      <c r="C5938" s="1" t="s">
        <v>5932</v>
      </c>
      <c r="D5938" s="3" t="str">
        <f>IFERROR(__xludf.DUMMYFUNCTION("GOOGLETRANSLATE(C5938,""en"",""pl"")"),"Mikołaj")</f>
        <v>Mikołaj</v>
      </c>
    </row>
    <row r="5939">
      <c r="C5939" s="1" t="s">
        <v>5933</v>
      </c>
      <c r="D5939" s="3" t="str">
        <f>IFERROR(__xludf.DUMMYFUNCTION("GOOGLETRANSLATE(C5939,""en"",""pl"")"),"ubezpieczony")</f>
        <v>ubezpieczony</v>
      </c>
    </row>
    <row r="5940">
      <c r="C5940" s="1" t="s">
        <v>5934</v>
      </c>
      <c r="D5940" s="3" t="str">
        <f>IFERROR(__xludf.DUMMYFUNCTION("GOOGLETRANSLATE(C5940,""en"",""pl"")"),"przeoczyć")</f>
        <v>przeoczyć</v>
      </c>
    </row>
    <row r="5941">
      <c r="C5941" s="1" t="s">
        <v>5935</v>
      </c>
      <c r="D5941" s="3" t="str">
        <f>IFERROR(__xludf.DUMMYFUNCTION("GOOGLETRANSLATE(C5941,""en"",""pl"")"),"ikona")</f>
        <v>ikona</v>
      </c>
    </row>
    <row r="5942">
      <c r="C5942" s="1" t="s">
        <v>5936</v>
      </c>
      <c r="D5942" s="3" t="str">
        <f>IFERROR(__xludf.DUMMYFUNCTION("GOOGLETRANSLATE(C5942,""en"",""pl"")"),"toczyć się")</f>
        <v>toczyć się</v>
      </c>
    </row>
    <row r="5943">
      <c r="C5943" s="1" t="s">
        <v>5937</v>
      </c>
      <c r="D5943" s="3" t="str">
        <f>IFERROR(__xludf.DUMMYFUNCTION("GOOGLETRANSLATE(C5943,""en"",""pl"")"),"komentator")</f>
        <v>komentator</v>
      </c>
    </row>
    <row r="5944">
      <c r="C5944" s="1" t="s">
        <v>5938</v>
      </c>
      <c r="D5944" s="3" t="str">
        <f>IFERROR(__xludf.DUMMYFUNCTION("GOOGLETRANSLATE(C5944,""en"",""pl"")"),"dół")</f>
        <v>dół</v>
      </c>
    </row>
    <row r="5945">
      <c r="C5945" s="1" t="s">
        <v>5939</v>
      </c>
      <c r="D5945" s="3" t="str">
        <f>IFERROR(__xludf.DUMMYFUNCTION("GOOGLETRANSLATE(C5945,""en"",""pl"")"),"Kamila")</f>
        <v>Kamila</v>
      </c>
    </row>
    <row r="5946">
      <c r="C5946" s="1" t="s">
        <v>5940</v>
      </c>
      <c r="D5946" s="3" t="str">
        <f>IFERROR(__xludf.DUMMYFUNCTION("GOOGLETRANSLATE(C5946,""en"",""pl"")"),"mózgowy")</f>
        <v>mózgowy</v>
      </c>
    </row>
    <row r="5947">
      <c r="C5947" s="1" t="s">
        <v>5941</v>
      </c>
      <c r="D5947" s="3" t="str">
        <f>IFERROR(__xludf.DUMMYFUNCTION("GOOGLETRANSLATE(C5947,""en"",""pl"")"),"qin")</f>
        <v>qin</v>
      </c>
    </row>
    <row r="5948">
      <c r="C5948" s="1" t="s">
        <v>5942</v>
      </c>
      <c r="D5948" s="3" t="str">
        <f>IFERROR(__xludf.DUMMYFUNCTION("GOOGLETRANSLATE(C5948,""en"",""pl"")"),"zelda")</f>
        <v>zelda</v>
      </c>
    </row>
    <row r="5949">
      <c r="C5949" s="1" t="s">
        <v>5943</v>
      </c>
      <c r="D5949" s="3" t="str">
        <f>IFERROR(__xludf.DUMMYFUNCTION("GOOGLETRANSLATE(C5949,""en"",""pl"")"),"psucie")</f>
        <v>psucie</v>
      </c>
    </row>
    <row r="5950">
      <c r="C5950" s="1" t="s">
        <v>5944</v>
      </c>
      <c r="D5950" s="3" t="str">
        <f>IFERROR(__xludf.DUMMYFUNCTION("GOOGLETRANSLATE(C5950,""en"",""pl"")"),"car")</f>
        <v>car</v>
      </c>
    </row>
    <row r="5951">
      <c r="C5951" s="1" t="s">
        <v>5945</v>
      </c>
      <c r="D5951" s="3" t="str">
        <f>IFERROR(__xludf.DUMMYFUNCTION("GOOGLETRANSLATE(C5951,""en"",""pl"")"),"ramki")</f>
        <v>ramki</v>
      </c>
    </row>
    <row r="5952">
      <c r="C5952" s="1" t="s">
        <v>5946</v>
      </c>
      <c r="D5952" s="3" t="str">
        <f>IFERROR(__xludf.DUMMYFUNCTION("GOOGLETRANSLATE(C5952,""en"",""pl"")"),"poduszka")</f>
        <v>poduszka</v>
      </c>
    </row>
    <row r="5953">
      <c r="C5953" s="1" t="s">
        <v>5947</v>
      </c>
      <c r="D5953" s="3" t="str">
        <f>IFERROR(__xludf.DUMMYFUNCTION("GOOGLETRANSLATE(C5953,""en"",""pl"")"),"nie jeden")</f>
        <v>nie jeden</v>
      </c>
    </row>
    <row r="5954">
      <c r="C5954" s="1" t="s">
        <v>5948</v>
      </c>
      <c r="D5954" s="3" t="str">
        <f>IFERROR(__xludf.DUMMYFUNCTION("GOOGLETRANSLATE(C5954,""en"",""pl"")"),"poświęcony")</f>
        <v>poświęcony</v>
      </c>
    </row>
    <row r="5955">
      <c r="C5955" s="1" t="s">
        <v>5949</v>
      </c>
      <c r="D5955" s="3" t="str">
        <f>IFERROR(__xludf.DUMMYFUNCTION("GOOGLETRANSLATE(C5955,""en"",""pl"")"),"zjeżdżalnia")</f>
        <v>zjeżdżalnia</v>
      </c>
    </row>
    <row r="5956">
      <c r="C5956" s="1" t="s">
        <v>5950</v>
      </c>
      <c r="D5956" s="3" t="str">
        <f>IFERROR(__xludf.DUMMYFUNCTION("GOOGLETRANSLATE(C5956,""en"",""pl"")"),"wgłębienie")</f>
        <v>wgłębienie</v>
      </c>
    </row>
    <row r="5957">
      <c r="C5957" s="1" t="s">
        <v>5951</v>
      </c>
      <c r="D5957" s="3" t="str">
        <f>IFERROR(__xludf.DUMMYFUNCTION("GOOGLETRANSLATE(C5957,""en"",""pl"")"),"czerwone")</f>
        <v>czerwone</v>
      </c>
    </row>
    <row r="5958">
      <c r="C5958" s="1" t="s">
        <v>5952</v>
      </c>
      <c r="D5958" s="3" t="str">
        <f>IFERROR(__xludf.DUMMYFUNCTION("GOOGLETRANSLATE(C5958,""en"",""pl"")"),"wulkany")</f>
        <v>wulkany</v>
      </c>
    </row>
    <row r="5959">
      <c r="C5959" s="1" t="s">
        <v>5953</v>
      </c>
      <c r="D5959" s="3" t="str">
        <f>IFERROR(__xludf.DUMMYFUNCTION("GOOGLETRANSLATE(C5959,""en"",""pl"")"),"NA.")</f>
        <v>NA.</v>
      </c>
    </row>
    <row r="5960">
      <c r="C5960" s="1" t="s">
        <v>5954</v>
      </c>
      <c r="D5960" s="3" t="str">
        <f>IFERROR(__xludf.DUMMYFUNCTION("GOOGLETRANSLATE(C5960,""en"",""pl"")"),"Angelina")</f>
        <v>Angelina</v>
      </c>
    </row>
    <row r="5961">
      <c r="C5961" s="1" t="s">
        <v>5955</v>
      </c>
      <c r="D5961" s="3" t="str">
        <f>IFERROR(__xludf.DUMMYFUNCTION("GOOGLETRANSLATE(C5961,""en"",""pl"")"),"Sahib")</f>
        <v>Sahib</v>
      </c>
    </row>
    <row r="5962">
      <c r="C5962" s="1" t="s">
        <v>5956</v>
      </c>
      <c r="D5962" s="3" t="str">
        <f>IFERROR(__xludf.DUMMYFUNCTION("GOOGLETRANSLATE(C5962,""en"",""pl"")"),"naciągnięty")</f>
        <v>naciągnięty</v>
      </c>
    </row>
    <row r="5963">
      <c r="C5963" s="1" t="s">
        <v>5957</v>
      </c>
      <c r="D5963" s="3" t="str">
        <f>IFERROR(__xludf.DUMMYFUNCTION("GOOGLETRANSLATE(C5963,""en"",""pl"")"),"watów")</f>
        <v>watów</v>
      </c>
    </row>
    <row r="5964">
      <c r="C5964" s="1" t="s">
        <v>5958</v>
      </c>
      <c r="D5964" s="3" t="str">
        <f>IFERROR(__xludf.DUMMYFUNCTION("GOOGLETRANSLATE(C5964,""en"",""pl"")"),"Lata 40.")</f>
        <v>Lata 40.</v>
      </c>
    </row>
    <row r="5965">
      <c r="C5965" s="1" t="s">
        <v>5959</v>
      </c>
      <c r="D5965" s="3" t="str">
        <f>IFERROR(__xludf.DUMMYFUNCTION("GOOGLETRANSLATE(C5965,""en"",""pl"")"),"monopol")</f>
        <v>monopol</v>
      </c>
    </row>
    <row r="5966">
      <c r="C5966" s="1" t="s">
        <v>5960</v>
      </c>
      <c r="D5966" s="3" t="str">
        <f>IFERROR(__xludf.DUMMYFUNCTION("GOOGLETRANSLATE(C5966,""en"",""pl"")"),"bracia")</f>
        <v>bracia</v>
      </c>
    </row>
    <row r="5967">
      <c r="C5967" s="1" t="s">
        <v>5961</v>
      </c>
      <c r="D5967" s="3" t="str">
        <f>IFERROR(__xludf.DUMMYFUNCTION("GOOGLETRANSLATE(C5967,""en"",""pl"")"),"imigrant")</f>
        <v>imigrant</v>
      </c>
    </row>
    <row r="5968">
      <c r="C5968" s="1" t="s">
        <v>5962</v>
      </c>
      <c r="D5968" s="3" t="str">
        <f>IFERROR(__xludf.DUMMYFUNCTION("GOOGLETRANSLATE(C5968,""en"",""pl"")"),"kopia zapasowa")</f>
        <v>kopia zapasowa</v>
      </c>
    </row>
    <row r="5969">
      <c r="C5969" s="1" t="s">
        <v>5963</v>
      </c>
      <c r="D5969" s="3" t="str">
        <f>IFERROR(__xludf.DUMMYFUNCTION("GOOGLETRANSLATE(C5969,""en"",""pl"")"),"Apacz")</f>
        <v>Apacz</v>
      </c>
    </row>
    <row r="5970">
      <c r="C5970" s="1" t="s">
        <v>5964</v>
      </c>
      <c r="D5970" s="3" t="str">
        <f>IFERROR(__xludf.DUMMYFUNCTION("GOOGLETRANSLATE(C5970,""en"",""pl"")"),"kofeina")</f>
        <v>kofeina</v>
      </c>
    </row>
    <row r="5971">
      <c r="C5971" s="1" t="s">
        <v>5965</v>
      </c>
      <c r="D5971" s="3" t="str">
        <f>IFERROR(__xludf.DUMMYFUNCTION("GOOGLETRANSLATE(C5971,""en"",""pl"")"),"ściskanie")</f>
        <v>ściskanie</v>
      </c>
    </row>
    <row r="5972">
      <c r="C5972" s="1" t="s">
        <v>5966</v>
      </c>
      <c r="D5972" s="3" t="str">
        <f>IFERROR(__xludf.DUMMYFUNCTION("GOOGLETRANSLATE(C5972,""en"",""pl"")"),"odłożony")</f>
        <v>odłożony</v>
      </c>
    </row>
    <row r="5973">
      <c r="C5973" s="1" t="s">
        <v>5967</v>
      </c>
      <c r="D5973" s="3" t="str">
        <f>IFERROR(__xludf.DUMMYFUNCTION("GOOGLETRANSLATE(C5973,""en"",""pl"")"),"spotkania")</f>
        <v>spotkania</v>
      </c>
    </row>
    <row r="5974">
      <c r="C5974" s="1" t="s">
        <v>5968</v>
      </c>
      <c r="D5974" s="3" t="str">
        <f>IFERROR(__xludf.DUMMYFUNCTION("GOOGLETRANSLATE(C5974,""en"",""pl"")"),"jąkanie")</f>
        <v>jąkanie</v>
      </c>
    </row>
    <row r="5975">
      <c r="C5975" s="1" t="s">
        <v>5969</v>
      </c>
      <c r="D5975" s="3" t="str">
        <f>IFERROR(__xludf.DUMMYFUNCTION("GOOGLETRANSLATE(C5975,""en"",""pl"")"),"rykowisko")</f>
        <v>rykowisko</v>
      </c>
    </row>
    <row r="5976">
      <c r="C5976" s="1" t="s">
        <v>5970</v>
      </c>
      <c r="D5976" s="3" t="str">
        <f>IFERROR(__xludf.DUMMYFUNCTION("GOOGLETRANSLATE(C5976,""en"",""pl"")"),"uspokoił się")</f>
        <v>uspokoił się</v>
      </c>
    </row>
    <row r="5977">
      <c r="C5977" s="1" t="s">
        <v>5971</v>
      </c>
      <c r="D5977" s="3" t="str">
        <f>IFERROR(__xludf.DUMMYFUNCTION("GOOGLETRANSLATE(C5977,""en"",""pl"")"),"otwieracz")</f>
        <v>otwieracz</v>
      </c>
    </row>
    <row r="5978">
      <c r="C5978" s="1" t="s">
        <v>5972</v>
      </c>
      <c r="D5978" s="3" t="str">
        <f>IFERROR(__xludf.DUMMYFUNCTION("GOOGLETRANSLATE(C5978,""en"",""pl"")"),"bak")</f>
        <v>bak</v>
      </c>
    </row>
    <row r="5979">
      <c r="C5979" s="1" t="s">
        <v>5973</v>
      </c>
      <c r="D5979" s="3" t="str">
        <f>IFERROR(__xludf.DUMMYFUNCTION("GOOGLETRANSLATE(C5979,""en"",""pl"")"),"bezsilny")</f>
        <v>bezsilny</v>
      </c>
    </row>
    <row r="5980">
      <c r="C5980" s="1" t="s">
        <v>5974</v>
      </c>
      <c r="D5980" s="3" t="str">
        <f>IFERROR(__xludf.DUMMYFUNCTION("GOOGLETRANSLATE(C5980,""en"",""pl"")"),"zakładki")</f>
        <v>zakładki</v>
      </c>
    </row>
    <row r="5981">
      <c r="C5981" s="1" t="s">
        <v>5975</v>
      </c>
      <c r="D5981" s="3" t="str">
        <f>IFERROR(__xludf.DUMMYFUNCTION("GOOGLETRANSLATE(C5981,""en"",""pl"")"),"koncesja")</f>
        <v>koncesja</v>
      </c>
    </row>
    <row r="5982">
      <c r="C5982" s="1" t="s">
        <v>5976</v>
      </c>
      <c r="D5982" s="3" t="str">
        <f>IFERROR(__xludf.DUMMYFUNCTION("GOOGLETRANSLATE(C5982,""en"",""pl"")"),"podmiot")</f>
        <v>podmiot</v>
      </c>
    </row>
    <row r="5983">
      <c r="C5983" s="1" t="s">
        <v>5977</v>
      </c>
      <c r="D5983" s="3" t="str">
        <f>IFERROR(__xludf.DUMMYFUNCTION("GOOGLETRANSLATE(C5983,""en"",""pl"")"),"śluzowaty")</f>
        <v>śluzowaty</v>
      </c>
    </row>
    <row r="5984">
      <c r="C5984" s="1"/>
    </row>
    <row r="5985">
      <c r="C5985" s="1"/>
    </row>
    <row r="5986">
      <c r="C5986" s="1"/>
    </row>
    <row r="5987">
      <c r="C5987" s="1"/>
    </row>
    <row r="5988">
      <c r="C5988" s="1"/>
    </row>
    <row r="5989">
      <c r="C5989" s="1"/>
    </row>
    <row r="5990">
      <c r="C5990" s="1"/>
    </row>
    <row r="5991">
      <c r="C5991" s="1"/>
    </row>
    <row r="5992">
      <c r="C5992" s="1"/>
    </row>
    <row r="5993">
      <c r="C5993" s="1"/>
    </row>
    <row r="5994">
      <c r="C5994" s="1"/>
    </row>
    <row r="5995">
      <c r="C5995" s="1"/>
    </row>
    <row r="5996">
      <c r="C5996" s="1"/>
    </row>
    <row r="5997">
      <c r="C5997" s="1"/>
    </row>
    <row r="5998">
      <c r="C5998" s="1"/>
    </row>
    <row r="5999">
      <c r="C5999" s="1"/>
    </row>
    <row r="6000">
      <c r="C6000" s="1"/>
    </row>
    <row r="6001">
      <c r="C6001" s="1"/>
    </row>
    <row r="6002">
      <c r="C6002" s="1"/>
    </row>
    <row r="6003">
      <c r="C6003" s="1"/>
    </row>
    <row r="6004">
      <c r="C6004" s="1"/>
    </row>
    <row r="6005">
      <c r="C6005" s="1"/>
    </row>
    <row r="6006">
      <c r="C6006" s="1"/>
    </row>
    <row r="6007">
      <c r="C6007" s="1"/>
    </row>
    <row r="6008">
      <c r="C6008" s="1"/>
    </row>
    <row r="6009">
      <c r="C6009" s="1"/>
    </row>
    <row r="6010">
      <c r="C6010" s="1"/>
    </row>
    <row r="6011">
      <c r="C6011" s="1"/>
    </row>
    <row r="6012">
      <c r="C6012" s="1"/>
    </row>
    <row r="6013">
      <c r="C6013" s="1"/>
    </row>
    <row r="6014">
      <c r="C6014" s="1"/>
    </row>
    <row r="6015">
      <c r="C6015" s="1"/>
    </row>
    <row r="6016">
      <c r="C6016" s="1"/>
    </row>
    <row r="6017">
      <c r="C6017" s="1"/>
    </row>
    <row r="6018">
      <c r="C6018" s="1"/>
    </row>
    <row r="6019">
      <c r="C6019" s="1"/>
    </row>
    <row r="6020">
      <c r="C6020" s="1"/>
    </row>
    <row r="6021">
      <c r="C6021" s="1"/>
    </row>
    <row r="6022">
      <c r="C6022" s="1"/>
    </row>
    <row r="6023">
      <c r="C6023" s="1"/>
    </row>
    <row r="6024">
      <c r="C6024" s="1"/>
    </row>
    <row r="6025">
      <c r="C6025" s="1"/>
    </row>
    <row r="6026">
      <c r="C6026" s="1"/>
    </row>
    <row r="6027">
      <c r="C6027" s="1"/>
    </row>
    <row r="6028">
      <c r="C6028" s="1"/>
    </row>
    <row r="6029">
      <c r="C6029" s="1"/>
    </row>
    <row r="6030">
      <c r="C6030" s="1"/>
    </row>
    <row r="6031">
      <c r="C6031" s="1"/>
    </row>
    <row r="6032">
      <c r="C6032" s="1"/>
    </row>
    <row r="6033">
      <c r="C6033" s="1"/>
    </row>
    <row r="6034">
      <c r="C6034" s="1"/>
    </row>
    <row r="6035">
      <c r="C6035" s="1"/>
    </row>
    <row r="6036">
      <c r="C6036" s="1"/>
    </row>
    <row r="6037">
      <c r="C6037" s="1"/>
    </row>
    <row r="6038">
      <c r="C6038" s="1"/>
    </row>
    <row r="6039">
      <c r="C6039" s="1"/>
    </row>
    <row r="6040">
      <c r="C6040" s="1"/>
    </row>
    <row r="6041">
      <c r="C6041" s="1"/>
    </row>
    <row r="6042">
      <c r="C6042" s="1"/>
    </row>
    <row r="6043">
      <c r="C6043" s="1"/>
    </row>
    <row r="6044">
      <c r="C6044" s="1"/>
    </row>
    <row r="6045">
      <c r="C6045" s="1"/>
    </row>
    <row r="6046">
      <c r="C6046" s="1"/>
    </row>
    <row r="6047">
      <c r="C6047" s="1"/>
    </row>
    <row r="6048">
      <c r="C6048" s="1"/>
    </row>
    <row r="6049">
      <c r="C6049" s="1"/>
    </row>
    <row r="6050">
      <c r="C6050" s="1"/>
    </row>
    <row r="6051">
      <c r="C6051" s="1"/>
    </row>
    <row r="6052">
      <c r="C6052" s="1"/>
    </row>
    <row r="6053">
      <c r="C6053" s="1"/>
    </row>
    <row r="6054">
      <c r="C6054" s="1"/>
    </row>
    <row r="6055">
      <c r="C6055" s="1"/>
    </row>
    <row r="6056">
      <c r="C6056" s="1"/>
    </row>
    <row r="6057">
      <c r="C6057" s="1"/>
    </row>
    <row r="6058">
      <c r="C6058" s="1"/>
    </row>
    <row r="6059">
      <c r="C6059" s="1"/>
    </row>
    <row r="6060">
      <c r="C6060" s="1"/>
    </row>
    <row r="6061">
      <c r="C6061" s="1"/>
    </row>
    <row r="6062">
      <c r="C6062" s="1"/>
    </row>
    <row r="6063">
      <c r="C6063" s="1"/>
    </row>
    <row r="6064">
      <c r="C6064" s="1"/>
    </row>
    <row r="6065">
      <c r="C6065" s="1"/>
    </row>
    <row r="6066">
      <c r="C6066" s="1"/>
    </row>
    <row r="6067">
      <c r="C6067" s="1"/>
    </row>
    <row r="6068">
      <c r="C6068" s="1"/>
    </row>
    <row r="6069">
      <c r="C6069" s="1"/>
    </row>
    <row r="6070">
      <c r="C6070" s="1"/>
    </row>
    <row r="6071">
      <c r="C6071" s="1"/>
    </row>
    <row r="6072">
      <c r="C6072" s="1"/>
    </row>
    <row r="6073">
      <c r="C6073" s="1"/>
    </row>
    <row r="6074">
      <c r="C6074" s="1"/>
    </row>
    <row r="6075">
      <c r="C6075" s="1"/>
    </row>
    <row r="6076">
      <c r="C6076" s="1"/>
    </row>
    <row r="6077">
      <c r="C6077" s="1"/>
    </row>
    <row r="6078">
      <c r="C6078" s="1"/>
    </row>
    <row r="6079">
      <c r="C6079" s="1"/>
    </row>
    <row r="6080">
      <c r="C6080" s="1"/>
    </row>
    <row r="6081">
      <c r="C6081" s="1"/>
    </row>
    <row r="6082">
      <c r="C6082" s="1"/>
    </row>
    <row r="6083">
      <c r="C6083" s="1"/>
    </row>
    <row r="6084">
      <c r="C6084" s="1"/>
    </row>
    <row r="6085">
      <c r="C6085" s="1"/>
    </row>
    <row r="6086">
      <c r="C6086" s="1"/>
    </row>
    <row r="6087">
      <c r="C6087" s="1"/>
    </row>
    <row r="6088">
      <c r="C6088" s="1"/>
    </row>
    <row r="6089">
      <c r="C6089" s="1"/>
    </row>
    <row r="6090">
      <c r="C6090" s="1"/>
    </row>
    <row r="6091">
      <c r="C6091" s="1"/>
    </row>
    <row r="6092">
      <c r="C6092" s="1"/>
    </row>
    <row r="6093">
      <c r="C6093" s="1"/>
    </row>
    <row r="6094">
      <c r="C6094" s="1"/>
    </row>
    <row r="6095">
      <c r="C6095" s="1"/>
    </row>
    <row r="6096">
      <c r="C6096" s="1"/>
    </row>
    <row r="6097">
      <c r="C6097" s="1"/>
    </row>
    <row r="6098">
      <c r="C6098" s="1"/>
    </row>
    <row r="6099">
      <c r="C6099" s="1"/>
    </row>
    <row r="6100">
      <c r="C6100" s="1"/>
    </row>
    <row r="6101">
      <c r="C6101" s="1"/>
    </row>
    <row r="6102">
      <c r="C6102" s="1"/>
    </row>
    <row r="6103">
      <c r="C6103" s="1"/>
    </row>
    <row r="6104">
      <c r="C6104" s="1"/>
    </row>
    <row r="6105">
      <c r="C6105" s="1"/>
    </row>
    <row r="6106">
      <c r="C6106" s="1"/>
    </row>
    <row r="6107">
      <c r="C6107" s="1"/>
    </row>
    <row r="6108">
      <c r="C6108" s="1"/>
    </row>
    <row r="6109">
      <c r="C6109" s="1"/>
    </row>
    <row r="6110">
      <c r="C6110" s="1"/>
    </row>
    <row r="6111">
      <c r="C6111" s="1"/>
    </row>
    <row r="6112">
      <c r="C6112" s="1"/>
    </row>
    <row r="6113">
      <c r="C6113" s="1"/>
    </row>
    <row r="6114">
      <c r="C6114" s="1"/>
    </row>
    <row r="6115">
      <c r="C6115" s="1"/>
    </row>
    <row r="6116">
      <c r="C6116" s="1"/>
    </row>
    <row r="6117">
      <c r="C6117" s="1"/>
    </row>
    <row r="6118">
      <c r="C6118" s="1"/>
    </row>
    <row r="6119">
      <c r="C6119" s="1"/>
    </row>
    <row r="6120">
      <c r="C6120" s="1"/>
    </row>
    <row r="6121">
      <c r="C6121" s="1"/>
    </row>
    <row r="6122">
      <c r="C6122" s="1"/>
    </row>
    <row r="6123">
      <c r="C6123" s="1"/>
    </row>
    <row r="6124">
      <c r="C6124" s="1"/>
    </row>
    <row r="6125">
      <c r="C6125" s="1"/>
    </row>
    <row r="6126">
      <c r="C6126" s="1"/>
    </row>
    <row r="6127">
      <c r="C6127" s="1"/>
    </row>
    <row r="6128">
      <c r="C6128" s="1"/>
    </row>
    <row r="6129">
      <c r="C6129" s="1"/>
    </row>
    <row r="6130">
      <c r="C6130" s="1"/>
    </row>
    <row r="6131">
      <c r="C6131" s="1"/>
    </row>
    <row r="6132">
      <c r="C6132" s="1"/>
    </row>
    <row r="6133">
      <c r="C6133" s="1"/>
    </row>
    <row r="6134">
      <c r="C6134" s="1"/>
    </row>
    <row r="6135">
      <c r="C6135" s="1"/>
    </row>
    <row r="6136">
      <c r="C6136" s="1"/>
    </row>
    <row r="6137">
      <c r="C6137" s="1"/>
    </row>
    <row r="6138">
      <c r="C6138" s="1"/>
    </row>
    <row r="6139">
      <c r="C6139" s="1"/>
    </row>
    <row r="6140">
      <c r="C6140" s="1"/>
    </row>
    <row r="6141">
      <c r="C6141" s="1"/>
    </row>
    <row r="6142">
      <c r="C6142" s="1"/>
    </row>
    <row r="6143">
      <c r="C6143" s="1"/>
    </row>
    <row r="6144">
      <c r="C6144" s="1"/>
    </row>
    <row r="6145">
      <c r="C6145" s="1"/>
    </row>
    <row r="6146">
      <c r="C6146" s="1"/>
    </row>
    <row r="6147">
      <c r="C6147" s="1"/>
    </row>
    <row r="6148">
      <c r="C6148" s="1"/>
    </row>
    <row r="6149">
      <c r="C6149" s="1"/>
    </row>
    <row r="6150">
      <c r="C6150" s="1"/>
    </row>
    <row r="6151">
      <c r="C6151" s="1"/>
    </row>
    <row r="6152">
      <c r="C6152" s="1"/>
    </row>
    <row r="6153">
      <c r="C6153" s="1"/>
    </row>
    <row r="6154">
      <c r="C6154" s="1"/>
    </row>
    <row r="6155">
      <c r="C6155" s="1"/>
    </row>
    <row r="6156">
      <c r="C6156" s="1"/>
    </row>
    <row r="6157">
      <c r="C6157" s="1"/>
    </row>
    <row r="6158">
      <c r="C6158" s="1"/>
    </row>
    <row r="6159">
      <c r="C6159" s="1"/>
    </row>
    <row r="6160">
      <c r="C6160" s="1"/>
    </row>
    <row r="6161">
      <c r="C6161" s="1"/>
    </row>
    <row r="6162">
      <c r="C6162" s="1"/>
    </row>
    <row r="6163">
      <c r="C6163" s="1"/>
    </row>
    <row r="6164">
      <c r="C6164" s="1"/>
    </row>
    <row r="6165">
      <c r="C6165" s="1"/>
    </row>
    <row r="6166">
      <c r="C6166" s="1"/>
    </row>
    <row r="6167">
      <c r="C6167" s="1"/>
    </row>
    <row r="6168">
      <c r="C6168" s="1"/>
    </row>
    <row r="6169">
      <c r="C6169" s="1"/>
    </row>
    <row r="6170">
      <c r="C6170" s="1"/>
    </row>
    <row r="6171">
      <c r="C6171" s="1"/>
    </row>
    <row r="6172">
      <c r="C6172" s="1"/>
    </row>
    <row r="6173">
      <c r="C6173" s="1"/>
    </row>
    <row r="6174">
      <c r="C6174" s="1"/>
    </row>
    <row r="6175">
      <c r="C6175" s="1"/>
    </row>
    <row r="6176">
      <c r="C6176" s="1"/>
    </row>
    <row r="6177">
      <c r="C6177" s="1"/>
    </row>
    <row r="6178">
      <c r="C6178" s="1"/>
    </row>
    <row r="6179">
      <c r="C6179" s="1"/>
    </row>
    <row r="6180">
      <c r="C6180" s="1"/>
    </row>
    <row r="6181">
      <c r="C6181" s="1"/>
    </row>
    <row r="6182">
      <c r="C6182" s="1"/>
    </row>
    <row r="6183">
      <c r="C6183" s="1"/>
    </row>
    <row r="6184">
      <c r="C6184" s="1"/>
    </row>
    <row r="6185">
      <c r="C6185" s="1"/>
    </row>
    <row r="6186">
      <c r="C6186" s="1"/>
    </row>
    <row r="6187">
      <c r="C6187" s="1"/>
    </row>
    <row r="6188">
      <c r="C6188" s="1"/>
    </row>
    <row r="6189">
      <c r="C6189" s="1"/>
    </row>
    <row r="6190">
      <c r="C6190" s="1"/>
    </row>
    <row r="6191">
      <c r="C6191" s="1"/>
    </row>
    <row r="6192">
      <c r="C6192" s="1"/>
    </row>
    <row r="6193">
      <c r="C6193" s="1"/>
    </row>
    <row r="6194">
      <c r="C6194" s="1"/>
    </row>
    <row r="6195">
      <c r="C6195" s="1"/>
    </row>
    <row r="6196">
      <c r="C6196" s="1"/>
    </row>
    <row r="6197">
      <c r="C6197" s="1"/>
    </row>
    <row r="6198">
      <c r="C6198" s="1"/>
    </row>
    <row r="6199">
      <c r="C6199" s="1"/>
    </row>
    <row r="6200">
      <c r="C6200" s="1"/>
    </row>
    <row r="6201">
      <c r="C6201" s="1"/>
    </row>
    <row r="6202">
      <c r="C6202" s="1"/>
    </row>
    <row r="6203">
      <c r="C6203" s="1"/>
    </row>
    <row r="6204">
      <c r="C6204" s="1"/>
    </row>
    <row r="6205">
      <c r="C6205" s="1"/>
    </row>
    <row r="6206">
      <c r="C6206" s="1"/>
    </row>
    <row r="6207">
      <c r="C6207" s="1"/>
    </row>
    <row r="6208">
      <c r="C6208" s="1"/>
    </row>
    <row r="6209">
      <c r="C6209" s="1"/>
    </row>
    <row r="6210">
      <c r="C6210" s="1"/>
    </row>
    <row r="6211">
      <c r="C6211" s="1"/>
    </row>
    <row r="6212">
      <c r="C6212" s="1"/>
    </row>
    <row r="6213">
      <c r="C6213" s="1"/>
    </row>
    <row r="6214">
      <c r="C6214" s="1"/>
    </row>
    <row r="6215">
      <c r="C6215" s="1"/>
    </row>
    <row r="6216">
      <c r="C6216" s="1"/>
    </row>
    <row r="6217">
      <c r="C6217" s="1"/>
    </row>
    <row r="6218">
      <c r="C6218" s="1"/>
    </row>
    <row r="6219">
      <c r="C6219" s="1"/>
    </row>
    <row r="6220">
      <c r="C6220" s="1"/>
    </row>
    <row r="6221">
      <c r="C6221" s="1"/>
    </row>
    <row r="6222">
      <c r="C6222" s="1"/>
    </row>
    <row r="6223">
      <c r="C6223" s="1"/>
    </row>
    <row r="6224">
      <c r="C6224" s="1"/>
    </row>
    <row r="6225">
      <c r="C6225" s="1"/>
    </row>
    <row r="6226">
      <c r="C6226" s="1"/>
    </row>
    <row r="6227">
      <c r="C6227" s="1"/>
    </row>
    <row r="6228">
      <c r="C6228" s="1"/>
    </row>
    <row r="6229">
      <c r="C6229" s="1"/>
    </row>
    <row r="6230">
      <c r="C6230" s="1"/>
    </row>
    <row r="6231">
      <c r="C6231" s="1"/>
    </row>
    <row r="6232">
      <c r="C6232" s="1"/>
    </row>
    <row r="6233">
      <c r="C6233" s="1"/>
    </row>
    <row r="6234">
      <c r="C6234" s="1"/>
    </row>
    <row r="6235">
      <c r="C6235" s="1"/>
    </row>
    <row r="6236">
      <c r="C6236" s="1"/>
    </row>
    <row r="6237">
      <c r="C6237" s="1"/>
    </row>
    <row r="6238">
      <c r="C6238" s="1"/>
    </row>
    <row r="6239">
      <c r="C6239" s="1"/>
    </row>
    <row r="6240">
      <c r="C6240" s="1"/>
    </row>
    <row r="6241">
      <c r="C6241" s="1"/>
    </row>
    <row r="6242">
      <c r="C6242" s="1"/>
    </row>
    <row r="6243">
      <c r="C6243" s="1"/>
    </row>
    <row r="6244">
      <c r="C6244" s="1"/>
    </row>
    <row r="6245">
      <c r="C6245" s="1"/>
    </row>
    <row r="6246">
      <c r="C6246" s="1"/>
    </row>
    <row r="6247">
      <c r="C6247" s="1"/>
    </row>
    <row r="6248">
      <c r="C6248" s="1"/>
    </row>
    <row r="6249">
      <c r="C6249" s="1"/>
    </row>
    <row r="6250">
      <c r="C6250" s="1"/>
    </row>
    <row r="6251">
      <c r="C6251" s="1"/>
    </row>
    <row r="6252">
      <c r="C6252" s="1"/>
    </row>
    <row r="6253">
      <c r="C6253" s="1"/>
    </row>
    <row r="6254">
      <c r="C6254" s="1"/>
    </row>
    <row r="6255">
      <c r="C6255" s="1"/>
    </row>
    <row r="6256">
      <c r="C6256" s="1"/>
    </row>
    <row r="6257">
      <c r="C6257" s="1"/>
    </row>
    <row r="6258">
      <c r="C6258" s="1"/>
    </row>
    <row r="6259">
      <c r="C6259" s="1"/>
    </row>
    <row r="6260">
      <c r="C6260" s="1"/>
    </row>
    <row r="6261">
      <c r="C6261" s="1"/>
    </row>
    <row r="6262">
      <c r="C6262" s="1"/>
    </row>
    <row r="6263">
      <c r="C6263" s="1"/>
    </row>
    <row r="6264">
      <c r="C6264" s="1"/>
    </row>
    <row r="6265">
      <c r="C6265" s="1"/>
    </row>
    <row r="6266">
      <c r="C6266" s="1"/>
    </row>
    <row r="6267">
      <c r="C6267" s="1"/>
    </row>
    <row r="6268">
      <c r="C6268" s="1"/>
    </row>
    <row r="6269">
      <c r="C6269" s="1"/>
    </row>
    <row r="6270">
      <c r="C6270" s="1"/>
    </row>
    <row r="6271">
      <c r="C6271" s="1"/>
    </row>
    <row r="6272">
      <c r="C6272" s="1"/>
    </row>
    <row r="6273">
      <c r="C6273" s="1"/>
    </row>
    <row r="6274">
      <c r="C6274" s="1"/>
    </row>
    <row r="6275">
      <c r="C6275" s="1"/>
    </row>
    <row r="6276">
      <c r="C6276" s="1"/>
    </row>
    <row r="6277">
      <c r="C6277" s="1"/>
    </row>
    <row r="6278">
      <c r="C6278" s="1"/>
    </row>
    <row r="6279">
      <c r="C6279" s="1"/>
    </row>
    <row r="6280">
      <c r="C6280" s="1"/>
    </row>
    <row r="6281">
      <c r="C6281" s="1"/>
    </row>
    <row r="6282">
      <c r="C6282" s="1"/>
    </row>
    <row r="6283">
      <c r="C6283" s="1"/>
    </row>
    <row r="6284">
      <c r="C6284" s="1"/>
    </row>
    <row r="6285">
      <c r="C6285" s="1"/>
    </row>
    <row r="6286">
      <c r="C6286" s="1"/>
    </row>
    <row r="6287">
      <c r="C6287" s="1"/>
    </row>
    <row r="6288">
      <c r="C6288" s="1"/>
    </row>
    <row r="6289">
      <c r="C6289" s="1"/>
    </row>
    <row r="6290">
      <c r="C6290" s="1"/>
    </row>
    <row r="6291">
      <c r="C6291" s="1"/>
    </row>
    <row r="6292">
      <c r="C6292" s="1"/>
    </row>
    <row r="6293">
      <c r="C6293" s="1"/>
    </row>
    <row r="6294">
      <c r="C6294" s="1"/>
    </row>
    <row r="6295">
      <c r="C6295" s="1"/>
    </row>
    <row r="6296">
      <c r="C6296" s="1"/>
    </row>
    <row r="6297">
      <c r="C6297" s="1"/>
    </row>
    <row r="6298">
      <c r="C6298" s="1"/>
    </row>
    <row r="6299">
      <c r="C6299" s="1"/>
    </row>
    <row r="6300">
      <c r="C6300" s="1"/>
    </row>
    <row r="6301">
      <c r="C6301" s="1"/>
    </row>
    <row r="6302">
      <c r="C6302" s="1"/>
    </row>
    <row r="6303">
      <c r="C6303" s="1"/>
    </row>
    <row r="6304">
      <c r="C6304" s="1"/>
    </row>
    <row r="6305">
      <c r="C6305" s="1"/>
    </row>
    <row r="6306">
      <c r="C6306" s="1"/>
    </row>
    <row r="6307">
      <c r="C6307" s="1"/>
    </row>
    <row r="6308">
      <c r="C6308" s="1"/>
    </row>
    <row r="6309">
      <c r="C6309" s="1"/>
    </row>
    <row r="6310">
      <c r="C6310" s="1"/>
    </row>
    <row r="6311">
      <c r="C6311" s="1"/>
    </row>
    <row r="6312">
      <c r="C6312" s="1"/>
    </row>
    <row r="6313">
      <c r="C6313" s="1"/>
    </row>
    <row r="6314">
      <c r="C6314" s="1"/>
    </row>
    <row r="6315">
      <c r="C6315" s="1"/>
    </row>
    <row r="6316">
      <c r="C6316" s="1"/>
    </row>
    <row r="6317">
      <c r="C6317" s="1"/>
    </row>
    <row r="6318">
      <c r="C6318" s="1"/>
    </row>
    <row r="6319">
      <c r="C6319" s="1"/>
    </row>
    <row r="6320">
      <c r="C6320" s="1"/>
    </row>
    <row r="6321">
      <c r="C6321" s="1"/>
    </row>
    <row r="6322">
      <c r="C6322" s="1"/>
    </row>
    <row r="6323">
      <c r="C6323" s="1"/>
    </row>
    <row r="6324">
      <c r="C6324" s="1"/>
    </row>
    <row r="6325">
      <c r="C6325" s="1"/>
    </row>
    <row r="6326">
      <c r="C6326" s="1"/>
    </row>
    <row r="6327">
      <c r="C6327" s="1"/>
    </row>
    <row r="6328">
      <c r="C6328" s="1"/>
    </row>
    <row r="6329">
      <c r="C6329" s="1"/>
    </row>
    <row r="6330">
      <c r="C6330" s="1"/>
    </row>
    <row r="6331">
      <c r="C6331" s="1"/>
    </row>
    <row r="6332">
      <c r="C6332" s="1"/>
    </row>
    <row r="6333">
      <c r="C6333" s="1"/>
    </row>
    <row r="6334">
      <c r="C6334" s="1"/>
    </row>
    <row r="6335">
      <c r="C6335" s="1"/>
    </row>
    <row r="6336">
      <c r="C6336" s="1"/>
    </row>
    <row r="6337">
      <c r="C6337" s="1"/>
    </row>
    <row r="6338">
      <c r="C6338" s="1"/>
    </row>
    <row r="6339">
      <c r="C6339" s="1"/>
    </row>
    <row r="6340">
      <c r="C6340" s="1"/>
    </row>
    <row r="6341">
      <c r="C6341" s="1"/>
    </row>
    <row r="6342">
      <c r="C6342" s="1"/>
    </row>
    <row r="6343">
      <c r="C6343" s="1"/>
    </row>
    <row r="6344">
      <c r="C6344" s="1"/>
    </row>
    <row r="6345">
      <c r="C6345" s="1"/>
    </row>
    <row r="6346">
      <c r="C6346" s="1"/>
    </row>
    <row r="6347">
      <c r="C6347" s="1"/>
    </row>
    <row r="6348">
      <c r="C6348" s="1"/>
    </row>
    <row r="6349">
      <c r="C6349" s="1"/>
    </row>
    <row r="6350">
      <c r="C6350" s="1"/>
    </row>
    <row r="6351">
      <c r="C6351" s="1"/>
    </row>
    <row r="6352">
      <c r="C6352" s="1"/>
    </row>
    <row r="6353">
      <c r="C6353" s="1"/>
    </row>
    <row r="6354">
      <c r="C6354" s="1"/>
    </row>
    <row r="6355">
      <c r="C6355" s="1"/>
    </row>
    <row r="6356">
      <c r="C6356" s="1"/>
    </row>
    <row r="6357">
      <c r="C6357" s="1"/>
    </row>
    <row r="6358">
      <c r="C6358" s="1"/>
    </row>
    <row r="6359">
      <c r="C6359" s="1"/>
    </row>
    <row r="6360">
      <c r="C6360" s="1"/>
    </row>
    <row r="6361">
      <c r="C6361" s="1"/>
    </row>
    <row r="6362">
      <c r="C6362" s="1"/>
    </row>
    <row r="6363">
      <c r="C6363" s="1"/>
    </row>
    <row r="6364">
      <c r="C6364" s="1"/>
    </row>
    <row r="6365">
      <c r="C6365" s="1"/>
    </row>
    <row r="6366">
      <c r="C6366" s="1"/>
    </row>
    <row r="6367">
      <c r="C6367" s="1"/>
    </row>
    <row r="6368">
      <c r="C6368" s="1"/>
    </row>
    <row r="6369">
      <c r="C6369" s="1"/>
    </row>
    <row r="6370">
      <c r="C6370" s="1"/>
    </row>
    <row r="6371">
      <c r="C6371" s="1"/>
    </row>
    <row r="6372">
      <c r="C6372" s="1"/>
    </row>
    <row r="6373">
      <c r="C6373" s="1"/>
    </row>
    <row r="6374">
      <c r="C6374" s="1"/>
    </row>
    <row r="6375">
      <c r="C6375" s="1"/>
    </row>
    <row r="6376">
      <c r="C6376" s="1"/>
    </row>
    <row r="6377">
      <c r="C6377" s="1"/>
    </row>
    <row r="6378">
      <c r="C6378" s="1"/>
    </row>
    <row r="6379">
      <c r="C6379" s="1"/>
    </row>
    <row r="6380">
      <c r="C6380" s="1"/>
    </row>
    <row r="6381">
      <c r="C6381" s="1"/>
    </row>
    <row r="6382">
      <c r="C6382" s="1"/>
    </row>
    <row r="6383">
      <c r="C6383" s="1"/>
    </row>
    <row r="6384">
      <c r="C6384" s="1"/>
    </row>
    <row r="6385">
      <c r="C6385" s="1"/>
    </row>
    <row r="6386">
      <c r="C6386" s="1"/>
    </row>
    <row r="6387">
      <c r="C6387" s="1"/>
    </row>
    <row r="6388">
      <c r="C6388" s="1"/>
    </row>
    <row r="6389">
      <c r="C6389" s="1"/>
    </row>
    <row r="6390">
      <c r="C6390" s="1"/>
    </row>
    <row r="6391">
      <c r="C6391" s="1"/>
    </row>
    <row r="6392">
      <c r="C6392" s="1"/>
    </row>
    <row r="6393">
      <c r="C6393" s="1"/>
    </row>
    <row r="6394">
      <c r="C6394" s="1"/>
    </row>
    <row r="6395">
      <c r="C6395" s="1"/>
    </row>
    <row r="6396">
      <c r="C6396" s="1"/>
    </row>
    <row r="6397">
      <c r="C6397" s="1"/>
    </row>
    <row r="6398">
      <c r="C6398" s="1"/>
    </row>
    <row r="6399">
      <c r="C6399" s="1"/>
    </row>
    <row r="6400">
      <c r="C6400" s="1"/>
    </row>
    <row r="6401">
      <c r="C6401" s="1"/>
    </row>
    <row r="6402">
      <c r="C6402" s="1"/>
    </row>
    <row r="6403">
      <c r="C6403" s="1"/>
    </row>
    <row r="6404">
      <c r="C6404" s="1"/>
    </row>
    <row r="6405">
      <c r="C6405" s="1"/>
    </row>
    <row r="6406">
      <c r="C6406" s="1"/>
    </row>
    <row r="6407">
      <c r="C6407" s="1"/>
    </row>
    <row r="6408">
      <c r="C6408" s="1"/>
    </row>
    <row r="6409">
      <c r="C6409" s="1"/>
    </row>
    <row r="6410">
      <c r="C6410" s="1"/>
    </row>
    <row r="6411">
      <c r="C6411" s="1"/>
    </row>
    <row r="6412">
      <c r="C6412" s="1"/>
    </row>
    <row r="6413">
      <c r="C6413" s="1"/>
    </row>
    <row r="6414">
      <c r="C6414" s="1"/>
    </row>
    <row r="6415">
      <c r="C6415" s="1"/>
    </row>
    <row r="6416">
      <c r="C6416" s="1"/>
    </row>
    <row r="6417">
      <c r="C6417" s="1"/>
    </row>
    <row r="6418">
      <c r="C6418" s="1"/>
    </row>
    <row r="6419">
      <c r="C6419" s="1"/>
    </row>
    <row r="6420">
      <c r="C6420" s="1"/>
    </row>
    <row r="6421">
      <c r="C6421" s="1"/>
    </row>
    <row r="6422">
      <c r="C6422" s="1"/>
    </row>
    <row r="6423">
      <c r="C6423" s="1"/>
    </row>
    <row r="6424">
      <c r="C6424" s="1"/>
    </row>
    <row r="6425">
      <c r="C6425" s="1"/>
    </row>
    <row r="6426">
      <c r="C6426" s="1"/>
    </row>
    <row r="6427">
      <c r="C6427" s="1"/>
    </row>
    <row r="6428">
      <c r="C6428" s="1"/>
    </row>
    <row r="6429">
      <c r="C6429" s="1"/>
    </row>
    <row r="6430">
      <c r="C6430" s="1"/>
    </row>
    <row r="6431">
      <c r="C6431" s="1"/>
    </row>
    <row r="6432">
      <c r="C6432" s="1"/>
    </row>
    <row r="6433">
      <c r="C6433" s="1"/>
    </row>
    <row r="6434">
      <c r="C6434" s="1"/>
    </row>
    <row r="6435">
      <c r="C6435" s="1"/>
    </row>
    <row r="6436">
      <c r="C6436" s="1"/>
    </row>
    <row r="6437">
      <c r="C6437" s="1"/>
    </row>
    <row r="6438">
      <c r="C6438" s="1"/>
    </row>
    <row r="6439">
      <c r="C6439" s="1"/>
    </row>
    <row r="6440">
      <c r="C6440" s="1"/>
    </row>
    <row r="6441">
      <c r="C6441" s="1"/>
    </row>
    <row r="6442">
      <c r="C6442" s="1"/>
    </row>
    <row r="6443">
      <c r="C6443" s="1"/>
    </row>
    <row r="6444">
      <c r="C6444" s="1"/>
    </row>
    <row r="6445">
      <c r="C6445" s="1"/>
    </row>
    <row r="6446">
      <c r="C6446" s="1"/>
    </row>
    <row r="6447">
      <c r="C6447" s="1"/>
    </row>
    <row r="6448">
      <c r="C6448" s="1"/>
    </row>
    <row r="6449">
      <c r="C6449" s="1"/>
    </row>
    <row r="6450">
      <c r="C6450" s="1"/>
    </row>
    <row r="6451">
      <c r="C6451" s="1"/>
    </row>
    <row r="6452">
      <c r="C6452" s="1"/>
    </row>
    <row r="6453">
      <c r="C6453" s="1"/>
    </row>
    <row r="6454">
      <c r="C6454" s="1"/>
    </row>
    <row r="6455">
      <c r="C6455" s="1"/>
    </row>
    <row r="6456">
      <c r="C6456" s="1"/>
    </row>
    <row r="6457">
      <c r="C6457" s="1"/>
    </row>
    <row r="6458">
      <c r="C6458" s="1"/>
    </row>
    <row r="6459">
      <c r="C6459" s="1"/>
    </row>
    <row r="6460">
      <c r="C6460" s="1"/>
    </row>
    <row r="6461">
      <c r="C6461" s="1"/>
    </row>
    <row r="6462">
      <c r="C6462" s="1"/>
    </row>
    <row r="6463">
      <c r="C6463" s="1"/>
    </row>
    <row r="6464">
      <c r="C6464" s="1"/>
    </row>
    <row r="6465">
      <c r="C6465" s="1"/>
    </row>
    <row r="6466">
      <c r="C6466" s="1"/>
    </row>
    <row r="6467">
      <c r="C6467" s="1"/>
    </row>
    <row r="6468">
      <c r="C6468" s="1"/>
    </row>
    <row r="6469">
      <c r="C6469" s="1"/>
    </row>
    <row r="6470">
      <c r="C6470" s="1"/>
    </row>
    <row r="6471">
      <c r="C6471" s="1"/>
    </row>
    <row r="6472">
      <c r="C6472" s="1"/>
    </row>
    <row r="6473">
      <c r="C6473" s="1"/>
    </row>
    <row r="6474">
      <c r="C6474" s="1"/>
    </row>
    <row r="6475">
      <c r="C6475" s="1"/>
    </row>
    <row r="6476">
      <c r="C6476" s="1"/>
    </row>
    <row r="6477">
      <c r="C6477" s="1"/>
    </row>
    <row r="6478">
      <c r="C6478" s="1"/>
    </row>
    <row r="6479">
      <c r="C6479" s="1"/>
    </row>
    <row r="6480">
      <c r="C6480" s="1"/>
    </row>
    <row r="6481">
      <c r="C6481" s="1"/>
    </row>
    <row r="6482">
      <c r="C6482" s="1"/>
    </row>
    <row r="6483">
      <c r="C6483" s="1"/>
    </row>
    <row r="6484">
      <c r="C6484" s="1"/>
    </row>
    <row r="6485">
      <c r="C6485" s="1"/>
    </row>
    <row r="6486">
      <c r="C6486" s="1"/>
    </row>
    <row r="6487">
      <c r="C6487" s="1"/>
    </row>
    <row r="6488">
      <c r="C6488" s="1"/>
    </row>
    <row r="6489">
      <c r="C6489" s="1"/>
    </row>
    <row r="6490">
      <c r="C6490" s="1"/>
    </row>
    <row r="6491">
      <c r="C6491" s="1"/>
    </row>
    <row r="6492">
      <c r="C6492" s="1"/>
    </row>
    <row r="6493">
      <c r="C6493" s="1"/>
    </row>
    <row r="6494">
      <c r="C6494" s="1"/>
    </row>
    <row r="6495">
      <c r="C6495" s="1"/>
    </row>
    <row r="6496">
      <c r="C6496" s="1"/>
    </row>
    <row r="6497">
      <c r="C6497" s="1"/>
    </row>
    <row r="6498">
      <c r="C6498" s="1"/>
    </row>
    <row r="6499">
      <c r="C6499" s="1"/>
    </row>
    <row r="6500">
      <c r="C6500" s="1"/>
    </row>
    <row r="6501">
      <c r="C6501" s="1"/>
    </row>
    <row r="6502">
      <c r="C6502" s="1"/>
    </row>
    <row r="6503">
      <c r="C6503" s="1"/>
    </row>
    <row r="6504">
      <c r="C6504" s="1"/>
    </row>
    <row r="6505">
      <c r="C6505" s="1"/>
    </row>
    <row r="6506">
      <c r="C6506" s="1"/>
    </row>
    <row r="6507">
      <c r="C6507" s="1"/>
    </row>
    <row r="6508">
      <c r="C6508" s="1"/>
    </row>
    <row r="6509">
      <c r="C6509" s="1"/>
    </row>
    <row r="6510">
      <c r="C6510" s="1"/>
    </row>
    <row r="6511">
      <c r="C6511" s="1"/>
    </row>
    <row r="6512">
      <c r="C6512" s="1"/>
    </row>
    <row r="6513">
      <c r="C6513" s="1"/>
    </row>
    <row r="6514">
      <c r="C6514" s="1"/>
    </row>
    <row r="6515">
      <c r="C6515" s="1"/>
    </row>
    <row r="6516">
      <c r="C6516" s="1"/>
    </row>
    <row r="6517">
      <c r="C6517" s="1"/>
    </row>
    <row r="6518">
      <c r="C6518" s="1"/>
    </row>
    <row r="6519">
      <c r="C6519" s="1"/>
    </row>
    <row r="6520">
      <c r="C6520" s="1"/>
    </row>
    <row r="6521">
      <c r="C6521" s="1"/>
    </row>
    <row r="6522">
      <c r="C6522" s="1"/>
    </row>
    <row r="6523">
      <c r="C6523" s="1"/>
    </row>
    <row r="6524">
      <c r="C6524" s="1"/>
    </row>
    <row r="6525">
      <c r="C6525" s="1"/>
    </row>
    <row r="6526">
      <c r="C6526" s="1"/>
    </row>
    <row r="6527">
      <c r="C6527" s="1"/>
    </row>
    <row r="6528">
      <c r="C6528" s="1"/>
    </row>
    <row r="6529">
      <c r="C6529" s="1"/>
    </row>
    <row r="6530">
      <c r="C6530" s="1"/>
    </row>
    <row r="6531">
      <c r="C6531" s="1"/>
    </row>
    <row r="6532">
      <c r="C6532" s="1"/>
    </row>
    <row r="6533">
      <c r="C6533" s="1"/>
    </row>
    <row r="6534">
      <c r="C6534" s="1"/>
    </row>
    <row r="6535">
      <c r="C6535" s="1"/>
    </row>
    <row r="6536">
      <c r="C6536" s="1"/>
    </row>
    <row r="6537">
      <c r="C6537" s="1"/>
    </row>
    <row r="6538">
      <c r="C6538" s="1"/>
    </row>
    <row r="6539">
      <c r="C6539" s="1"/>
    </row>
    <row r="6540">
      <c r="C6540" s="1"/>
    </row>
    <row r="6541">
      <c r="C6541" s="1"/>
    </row>
    <row r="6542">
      <c r="C6542" s="1"/>
    </row>
    <row r="6543">
      <c r="C6543" s="1"/>
    </row>
    <row r="6544">
      <c r="C6544" s="1"/>
    </row>
    <row r="6545">
      <c r="C6545" s="1"/>
    </row>
    <row r="6546">
      <c r="C6546" s="1"/>
    </row>
    <row r="6547">
      <c r="C6547" s="1"/>
    </row>
    <row r="6548">
      <c r="C6548" s="1"/>
    </row>
    <row r="6549">
      <c r="C6549" s="1"/>
    </row>
    <row r="6550">
      <c r="C6550" s="1"/>
    </row>
    <row r="6551">
      <c r="C6551" s="1"/>
    </row>
    <row r="6552">
      <c r="C6552" s="1"/>
    </row>
    <row r="6553">
      <c r="C6553" s="1"/>
    </row>
    <row r="6554">
      <c r="C6554" s="1"/>
    </row>
    <row r="6555">
      <c r="C6555" s="1"/>
    </row>
    <row r="6556">
      <c r="C6556" s="1"/>
    </row>
    <row r="6557">
      <c r="C6557" s="1"/>
    </row>
    <row r="6558">
      <c r="C6558" s="1"/>
    </row>
    <row r="6559">
      <c r="C6559" s="1"/>
    </row>
    <row r="6560">
      <c r="C6560" s="1"/>
    </row>
    <row r="6561">
      <c r="C6561" s="1"/>
    </row>
    <row r="6562">
      <c r="C6562" s="1"/>
    </row>
    <row r="6563">
      <c r="C6563" s="1"/>
    </row>
    <row r="6564">
      <c r="C6564" s="1"/>
    </row>
    <row r="6565">
      <c r="C6565" s="1"/>
    </row>
    <row r="6566">
      <c r="C6566" s="1"/>
    </row>
    <row r="6567">
      <c r="C6567" s="1"/>
    </row>
    <row r="6568">
      <c r="C6568" s="1"/>
    </row>
    <row r="6569">
      <c r="C6569" s="1"/>
    </row>
    <row r="6570">
      <c r="C6570" s="1"/>
    </row>
    <row r="6571">
      <c r="C6571" s="1"/>
    </row>
    <row r="6572">
      <c r="C6572" s="1"/>
    </row>
    <row r="6573">
      <c r="C6573" s="1"/>
    </row>
    <row r="6574">
      <c r="C6574" s="1"/>
    </row>
    <row r="6575">
      <c r="C6575" s="1"/>
    </row>
    <row r="6576">
      <c r="C6576" s="1"/>
    </row>
    <row r="6577">
      <c r="C6577" s="1"/>
    </row>
    <row r="6578">
      <c r="C6578" s="1"/>
    </row>
    <row r="6579">
      <c r="C6579" s="1"/>
    </row>
    <row r="6580">
      <c r="C6580" s="1"/>
    </row>
    <row r="6581">
      <c r="C6581" s="1"/>
    </row>
    <row r="6582">
      <c r="C6582" s="1"/>
    </row>
    <row r="6583">
      <c r="C6583" s="1"/>
    </row>
    <row r="6584">
      <c r="C6584" s="1"/>
    </row>
    <row r="6585">
      <c r="C6585" s="1"/>
    </row>
    <row r="6586">
      <c r="C6586" s="1"/>
    </row>
    <row r="6587">
      <c r="C6587" s="1"/>
    </row>
    <row r="6588">
      <c r="C6588" s="1"/>
    </row>
    <row r="6589">
      <c r="C6589" s="1"/>
    </row>
    <row r="6590">
      <c r="C6590" s="1"/>
    </row>
    <row r="6591">
      <c r="C6591" s="1"/>
    </row>
    <row r="6592">
      <c r="C6592" s="1"/>
    </row>
    <row r="6593">
      <c r="C6593" s="1"/>
    </row>
    <row r="6594">
      <c r="C6594" s="1"/>
    </row>
    <row r="6595">
      <c r="C6595" s="1"/>
    </row>
    <row r="6596">
      <c r="C6596" s="1"/>
    </row>
    <row r="6597">
      <c r="C6597" s="1"/>
    </row>
    <row r="6598">
      <c r="C6598" s="1"/>
    </row>
    <row r="6599">
      <c r="C6599" s="1"/>
    </row>
    <row r="6600">
      <c r="C6600" s="1"/>
    </row>
    <row r="6601">
      <c r="C6601" s="1"/>
    </row>
    <row r="6602">
      <c r="C6602" s="1"/>
    </row>
    <row r="6603">
      <c r="C6603" s="1"/>
    </row>
    <row r="6604">
      <c r="C6604" s="1"/>
    </row>
    <row r="6605">
      <c r="C6605" s="1"/>
    </row>
    <row r="6606">
      <c r="C6606" s="1"/>
    </row>
    <row r="6607">
      <c r="C6607" s="1"/>
    </row>
    <row r="6608">
      <c r="C6608" s="1"/>
    </row>
    <row r="6609">
      <c r="C6609" s="1"/>
    </row>
    <row r="6610">
      <c r="C6610" s="1"/>
    </row>
    <row r="6611">
      <c r="C6611" s="1"/>
    </row>
    <row r="6612">
      <c r="C6612" s="1"/>
    </row>
    <row r="6613">
      <c r="C6613" s="1"/>
    </row>
    <row r="6614">
      <c r="C6614" s="1"/>
    </row>
    <row r="6615">
      <c r="C6615" s="1"/>
    </row>
    <row r="6616">
      <c r="C6616" s="1"/>
    </row>
    <row r="6617">
      <c r="C6617" s="1"/>
    </row>
    <row r="6618">
      <c r="C6618" s="1"/>
    </row>
    <row r="6619">
      <c r="C6619" s="1"/>
    </row>
    <row r="6620">
      <c r="C6620" s="1"/>
    </row>
    <row r="6621">
      <c r="C6621" s="1"/>
    </row>
    <row r="6622">
      <c r="C6622" s="1"/>
    </row>
    <row r="6623">
      <c r="C6623" s="1"/>
    </row>
    <row r="6624">
      <c r="C6624" s="1"/>
    </row>
    <row r="6625">
      <c r="C6625" s="1"/>
    </row>
    <row r="6626">
      <c r="C6626" s="1"/>
    </row>
    <row r="6627">
      <c r="C6627" s="1"/>
    </row>
    <row r="6628">
      <c r="C6628" s="1"/>
    </row>
    <row r="6629">
      <c r="C6629" s="1"/>
    </row>
    <row r="6630">
      <c r="C6630" s="1"/>
    </row>
    <row r="6631">
      <c r="C6631" s="1"/>
    </row>
    <row r="6632">
      <c r="C6632" s="1"/>
    </row>
    <row r="6633">
      <c r="C6633" s="1"/>
    </row>
    <row r="6634">
      <c r="C6634" s="1"/>
    </row>
    <row r="6635">
      <c r="C6635" s="1"/>
    </row>
    <row r="6636">
      <c r="C6636" s="1"/>
    </row>
    <row r="6637">
      <c r="C6637" s="1"/>
    </row>
    <row r="6638">
      <c r="C6638" s="1"/>
    </row>
    <row r="6639">
      <c r="C6639" s="1"/>
    </row>
    <row r="6640">
      <c r="C6640" s="1"/>
    </row>
    <row r="6641">
      <c r="C6641" s="1"/>
    </row>
    <row r="6642">
      <c r="C6642" s="1"/>
    </row>
    <row r="6643">
      <c r="C6643" s="1"/>
    </row>
    <row r="6644">
      <c r="C6644" s="1"/>
    </row>
    <row r="6645">
      <c r="C6645" s="1"/>
    </row>
    <row r="6646">
      <c r="C6646" s="1"/>
    </row>
    <row r="6647">
      <c r="C6647" s="1"/>
    </row>
    <row r="6648">
      <c r="C6648" s="1"/>
    </row>
    <row r="6649">
      <c r="C6649" s="1"/>
    </row>
    <row r="6650">
      <c r="C6650" s="1"/>
    </row>
    <row r="6651">
      <c r="C6651" s="1"/>
    </row>
    <row r="6652">
      <c r="C6652" s="1"/>
    </row>
    <row r="6653">
      <c r="C6653" s="1"/>
    </row>
    <row r="6654">
      <c r="C6654" s="1"/>
    </row>
    <row r="6655">
      <c r="C6655" s="1"/>
    </row>
    <row r="6656">
      <c r="C6656" s="1"/>
    </row>
    <row r="6657">
      <c r="C6657" s="1"/>
    </row>
    <row r="6658">
      <c r="C6658" s="1"/>
    </row>
    <row r="6659">
      <c r="C6659" s="1"/>
    </row>
    <row r="6660">
      <c r="C6660" s="1"/>
    </row>
    <row r="6661">
      <c r="C6661" s="1"/>
    </row>
    <row r="6662">
      <c r="C6662" s="1"/>
    </row>
    <row r="6663">
      <c r="C6663" s="1"/>
    </row>
    <row r="6664">
      <c r="C6664" s="1"/>
    </row>
    <row r="6665">
      <c r="C6665" s="1"/>
    </row>
    <row r="6666">
      <c r="C6666" s="1"/>
    </row>
    <row r="6667">
      <c r="C6667" s="1"/>
    </row>
    <row r="6668">
      <c r="C6668" s="1"/>
    </row>
    <row r="6669">
      <c r="C6669" s="1"/>
    </row>
    <row r="6670">
      <c r="C6670" s="1"/>
    </row>
    <row r="6671">
      <c r="C6671" s="1"/>
    </row>
    <row r="6672">
      <c r="C6672" s="1"/>
    </row>
    <row r="6673">
      <c r="C6673" s="1"/>
    </row>
    <row r="6674">
      <c r="C6674" s="1"/>
    </row>
    <row r="6675">
      <c r="C6675" s="1"/>
    </row>
    <row r="6676">
      <c r="C6676" s="1"/>
    </row>
    <row r="6677">
      <c r="C6677" s="1"/>
    </row>
    <row r="6678">
      <c r="C6678" s="1"/>
    </row>
    <row r="6679">
      <c r="C6679" s="1"/>
    </row>
    <row r="6680">
      <c r="C6680" s="1"/>
    </row>
    <row r="6681">
      <c r="C6681" s="1"/>
    </row>
    <row r="6682">
      <c r="C6682" s="1"/>
    </row>
    <row r="6683">
      <c r="C6683" s="1"/>
    </row>
    <row r="6684">
      <c r="C6684" s="1"/>
    </row>
    <row r="6685">
      <c r="C6685" s="1"/>
    </row>
    <row r="6686">
      <c r="C6686" s="1"/>
    </row>
    <row r="6687">
      <c r="C6687" s="1"/>
    </row>
    <row r="6688">
      <c r="C6688" s="1"/>
    </row>
    <row r="6689">
      <c r="C6689" s="1"/>
    </row>
    <row r="6690">
      <c r="C6690" s="1"/>
    </row>
    <row r="6691">
      <c r="C6691" s="1"/>
    </row>
    <row r="6692">
      <c r="C6692" s="1"/>
    </row>
    <row r="6693">
      <c r="C6693" s="1"/>
    </row>
    <row r="6694">
      <c r="C6694" s="1"/>
    </row>
    <row r="6695">
      <c r="C6695" s="1"/>
    </row>
    <row r="6696">
      <c r="C6696" s="1"/>
    </row>
    <row r="6697">
      <c r="C6697" s="1"/>
    </row>
    <row r="6698">
      <c r="C6698" s="1"/>
    </row>
    <row r="6699">
      <c r="C6699" s="1"/>
    </row>
    <row r="6700">
      <c r="C6700" s="1"/>
    </row>
    <row r="6701">
      <c r="C6701" s="1"/>
    </row>
    <row r="6702">
      <c r="C6702" s="1"/>
    </row>
    <row r="6703">
      <c r="C6703" s="1"/>
    </row>
    <row r="6704">
      <c r="C6704" s="1"/>
    </row>
    <row r="6705">
      <c r="C6705" s="1"/>
    </row>
    <row r="6706">
      <c r="C6706" s="1"/>
    </row>
    <row r="6707">
      <c r="C6707" s="1"/>
    </row>
    <row r="6708">
      <c r="C6708" s="1"/>
    </row>
    <row r="6709">
      <c r="C6709" s="1"/>
    </row>
    <row r="6710">
      <c r="C6710" s="1"/>
    </row>
    <row r="6711">
      <c r="C6711" s="1"/>
    </row>
    <row r="6712">
      <c r="C6712" s="1"/>
    </row>
    <row r="6713">
      <c r="C6713" s="1"/>
    </row>
    <row r="6714">
      <c r="C6714" s="1"/>
    </row>
    <row r="6715">
      <c r="C6715" s="1"/>
    </row>
    <row r="6716">
      <c r="C6716" s="1"/>
    </row>
    <row r="6717">
      <c r="C6717" s="1"/>
    </row>
    <row r="6718">
      <c r="C6718" s="1"/>
    </row>
    <row r="6719">
      <c r="C6719" s="1"/>
    </row>
    <row r="6720">
      <c r="C6720" s="1"/>
    </row>
    <row r="6721">
      <c r="C6721" s="1"/>
    </row>
    <row r="6722">
      <c r="C6722" s="1"/>
    </row>
    <row r="6723">
      <c r="C6723" s="1"/>
    </row>
    <row r="6724">
      <c r="C6724" s="1"/>
    </row>
    <row r="6725">
      <c r="C6725" s="1"/>
    </row>
    <row r="6726">
      <c r="C6726" s="1"/>
    </row>
    <row r="6727">
      <c r="C6727" s="1"/>
    </row>
    <row r="6728">
      <c r="C6728" s="1"/>
    </row>
    <row r="6729">
      <c r="C6729" s="1"/>
    </row>
    <row r="6730">
      <c r="C6730" s="1"/>
    </row>
    <row r="6731">
      <c r="C6731" s="1"/>
    </row>
    <row r="6732">
      <c r="C6732" s="1"/>
    </row>
    <row r="6733">
      <c r="C6733" s="1"/>
    </row>
    <row r="6734">
      <c r="C6734" s="1"/>
    </row>
    <row r="6735">
      <c r="C6735" s="1"/>
    </row>
    <row r="6736">
      <c r="C6736" s="1"/>
    </row>
    <row r="6737">
      <c r="C6737" s="1"/>
    </row>
    <row r="6738">
      <c r="C6738" s="1"/>
    </row>
    <row r="6739">
      <c r="C6739" s="1"/>
    </row>
    <row r="6740">
      <c r="C6740" s="1"/>
    </row>
    <row r="6741">
      <c r="C6741" s="1"/>
    </row>
    <row r="6742">
      <c r="C6742" s="1"/>
    </row>
    <row r="6743">
      <c r="C6743" s="1"/>
    </row>
    <row r="6744">
      <c r="C6744" s="1"/>
    </row>
    <row r="6745">
      <c r="C6745" s="1"/>
    </row>
    <row r="6746">
      <c r="C6746" s="1"/>
    </row>
    <row r="6747">
      <c r="C6747" s="1"/>
    </row>
    <row r="6748">
      <c r="C6748" s="1"/>
    </row>
    <row r="6749">
      <c r="C6749" s="1"/>
    </row>
    <row r="6750">
      <c r="C6750" s="1"/>
    </row>
    <row r="6751">
      <c r="C6751" s="1"/>
    </row>
    <row r="6752">
      <c r="C6752" s="1"/>
    </row>
    <row r="6753">
      <c r="C6753" s="1"/>
    </row>
    <row r="6754">
      <c r="C6754" s="1"/>
    </row>
    <row r="6755">
      <c r="C6755" s="1"/>
    </row>
    <row r="6756">
      <c r="C6756" s="1"/>
    </row>
    <row r="6757">
      <c r="C6757" s="1"/>
    </row>
    <row r="6758">
      <c r="C6758" s="1"/>
    </row>
    <row r="6759">
      <c r="C6759" s="1"/>
    </row>
    <row r="6760">
      <c r="C6760" s="1"/>
    </row>
    <row r="6761">
      <c r="C6761" s="1"/>
    </row>
    <row r="6762">
      <c r="C6762" s="1"/>
    </row>
    <row r="6763">
      <c r="C6763" s="1"/>
    </row>
    <row r="6764">
      <c r="C6764" s="1"/>
    </row>
    <row r="6765">
      <c r="C6765" s="1"/>
    </row>
    <row r="6766">
      <c r="C6766" s="1"/>
    </row>
    <row r="6767">
      <c r="C6767" s="1"/>
    </row>
    <row r="6768">
      <c r="C6768" s="1"/>
    </row>
    <row r="6769">
      <c r="C6769" s="1"/>
    </row>
    <row r="6770">
      <c r="C6770" s="1"/>
    </row>
    <row r="6771">
      <c r="C6771" s="1"/>
    </row>
    <row r="6772">
      <c r="C6772" s="1"/>
    </row>
    <row r="6773">
      <c r="C6773" s="1"/>
    </row>
    <row r="6774">
      <c r="C6774" s="1"/>
    </row>
    <row r="6775">
      <c r="C6775" s="1"/>
    </row>
    <row r="6776">
      <c r="C6776" s="1"/>
    </row>
    <row r="6777">
      <c r="C6777" s="1"/>
    </row>
    <row r="6778">
      <c r="C6778" s="1"/>
    </row>
    <row r="6779">
      <c r="C6779" s="1"/>
    </row>
    <row r="6780">
      <c r="C6780" s="1"/>
    </row>
    <row r="6781">
      <c r="C6781" s="1"/>
    </row>
    <row r="6782">
      <c r="C6782" s="1"/>
    </row>
    <row r="6783">
      <c r="C6783" s="1"/>
    </row>
    <row r="6784">
      <c r="C6784" s="1"/>
    </row>
    <row r="6785">
      <c r="C6785" s="1"/>
    </row>
    <row r="6786">
      <c r="C6786" s="1"/>
    </row>
    <row r="6787">
      <c r="C6787" s="1"/>
    </row>
    <row r="6788">
      <c r="C6788" s="1"/>
    </row>
    <row r="6789">
      <c r="C6789" s="1"/>
    </row>
    <row r="6790">
      <c r="C6790" s="1"/>
    </row>
    <row r="6791">
      <c r="C6791" s="1"/>
    </row>
    <row r="6792">
      <c r="C6792" s="1"/>
    </row>
    <row r="6793">
      <c r="C6793" s="1"/>
    </row>
    <row r="6794">
      <c r="C6794" s="1"/>
    </row>
    <row r="6795">
      <c r="C6795" s="1"/>
    </row>
    <row r="6796">
      <c r="C6796" s="1"/>
    </row>
    <row r="6797">
      <c r="C6797" s="1"/>
    </row>
    <row r="6798">
      <c r="C6798" s="1"/>
    </row>
    <row r="6799">
      <c r="C6799" s="1"/>
    </row>
    <row r="6800">
      <c r="C6800" s="1"/>
    </row>
    <row r="6801">
      <c r="C6801" s="1"/>
    </row>
    <row r="6802">
      <c r="C6802" s="1"/>
    </row>
    <row r="6803">
      <c r="C6803" s="1"/>
    </row>
    <row r="6804">
      <c r="C6804" s="1"/>
    </row>
    <row r="6805">
      <c r="C6805" s="1"/>
    </row>
    <row r="6806">
      <c r="C6806" s="1"/>
    </row>
    <row r="6807">
      <c r="C6807" s="1"/>
    </row>
    <row r="6808">
      <c r="C6808" s="1"/>
    </row>
    <row r="6809">
      <c r="C6809" s="1"/>
    </row>
    <row r="6810">
      <c r="C6810" s="1"/>
    </row>
    <row r="6811">
      <c r="C6811" s="1"/>
    </row>
    <row r="6812">
      <c r="C6812" s="1"/>
    </row>
    <row r="6813">
      <c r="C6813" s="1"/>
    </row>
    <row r="6814">
      <c r="C6814" s="1"/>
    </row>
    <row r="6815">
      <c r="C6815" s="1"/>
    </row>
    <row r="6816">
      <c r="C6816" s="1"/>
    </row>
    <row r="6817">
      <c r="C6817" s="1"/>
    </row>
    <row r="6818">
      <c r="C6818" s="1"/>
    </row>
    <row r="6819">
      <c r="C6819" s="1"/>
    </row>
    <row r="6820">
      <c r="C6820" s="1"/>
    </row>
    <row r="6821">
      <c r="C6821" s="1"/>
    </row>
    <row r="6822">
      <c r="C6822" s="1"/>
    </row>
    <row r="6823">
      <c r="C6823" s="1"/>
    </row>
    <row r="6824">
      <c r="C6824" s="1"/>
    </row>
    <row r="6825">
      <c r="C6825" s="1"/>
    </row>
    <row r="6826">
      <c r="C6826" s="1"/>
    </row>
    <row r="6827">
      <c r="C6827" s="1"/>
    </row>
    <row r="6828">
      <c r="C6828" s="1"/>
    </row>
    <row r="6829">
      <c r="C6829" s="1"/>
    </row>
    <row r="6830">
      <c r="C6830" s="1"/>
    </row>
    <row r="6831">
      <c r="C6831" s="1"/>
    </row>
    <row r="6832">
      <c r="C6832" s="1"/>
    </row>
    <row r="6833">
      <c r="C6833" s="1"/>
    </row>
    <row r="6834">
      <c r="C6834" s="1"/>
    </row>
    <row r="6835">
      <c r="C6835" s="1"/>
    </row>
    <row r="6836">
      <c r="C6836" s="1"/>
    </row>
    <row r="6837">
      <c r="C6837" s="1"/>
    </row>
    <row r="6838">
      <c r="C6838" s="1"/>
    </row>
    <row r="6839">
      <c r="C6839" s="1"/>
    </row>
    <row r="6840">
      <c r="C6840" s="1"/>
    </row>
    <row r="6841">
      <c r="C6841" s="1"/>
    </row>
    <row r="6842">
      <c r="C6842" s="1"/>
    </row>
    <row r="6843">
      <c r="C6843" s="1"/>
    </row>
    <row r="6844">
      <c r="C6844" s="1"/>
    </row>
    <row r="6845">
      <c r="C6845" s="1"/>
    </row>
    <row r="6846">
      <c r="C6846" s="1"/>
    </row>
    <row r="6847">
      <c r="C6847" s="1"/>
    </row>
    <row r="6848">
      <c r="C6848" s="1"/>
    </row>
    <row r="6849">
      <c r="C6849" s="1"/>
    </row>
    <row r="6850">
      <c r="C6850" s="1"/>
    </row>
    <row r="6851">
      <c r="C6851" s="1"/>
    </row>
    <row r="6852">
      <c r="C6852" s="1"/>
    </row>
    <row r="6853">
      <c r="C6853" s="1"/>
    </row>
    <row r="6854">
      <c r="C6854" s="1"/>
    </row>
    <row r="6855">
      <c r="C6855" s="1"/>
    </row>
    <row r="6856">
      <c r="C6856" s="1"/>
    </row>
    <row r="6857">
      <c r="C6857" s="1"/>
    </row>
    <row r="6858">
      <c r="C6858" s="1"/>
    </row>
    <row r="6859">
      <c r="C6859" s="1"/>
    </row>
    <row r="6860">
      <c r="C6860" s="1"/>
    </row>
    <row r="6861">
      <c r="C6861" s="1"/>
    </row>
    <row r="6862">
      <c r="C6862" s="1"/>
    </row>
    <row r="6863">
      <c r="C6863" s="1"/>
    </row>
    <row r="6864">
      <c r="C6864" s="1"/>
    </row>
    <row r="6865">
      <c r="C6865" s="1"/>
    </row>
    <row r="6866">
      <c r="C6866" s="1"/>
    </row>
    <row r="6867">
      <c r="C6867" s="1"/>
    </row>
    <row r="6868">
      <c r="C6868" s="1"/>
    </row>
    <row r="6869">
      <c r="C6869" s="1"/>
    </row>
    <row r="6870">
      <c r="C6870" s="1"/>
    </row>
    <row r="6871">
      <c r="C6871" s="1"/>
    </row>
    <row r="6872">
      <c r="C6872" s="1"/>
    </row>
    <row r="6873">
      <c r="C6873" s="1"/>
    </row>
    <row r="6874">
      <c r="C6874" s="1"/>
    </row>
    <row r="6875">
      <c r="C6875" s="1"/>
    </row>
    <row r="6876">
      <c r="C6876" s="1"/>
    </row>
    <row r="6877">
      <c r="C6877" s="1"/>
    </row>
    <row r="6878">
      <c r="C6878" s="1"/>
    </row>
    <row r="6879">
      <c r="C6879" s="1"/>
    </row>
    <row r="6880">
      <c r="C6880" s="1"/>
    </row>
    <row r="6881">
      <c r="C6881" s="1"/>
    </row>
    <row r="6882">
      <c r="C6882" s="1"/>
    </row>
    <row r="6883">
      <c r="C6883" s="1"/>
    </row>
    <row r="6884">
      <c r="C6884" s="1"/>
    </row>
    <row r="6885">
      <c r="C6885" s="1"/>
    </row>
    <row r="6886">
      <c r="C6886" s="1"/>
    </row>
    <row r="6887">
      <c r="C6887" s="1"/>
    </row>
    <row r="6888">
      <c r="C6888" s="1"/>
    </row>
    <row r="6889">
      <c r="C6889" s="1"/>
    </row>
    <row r="6890">
      <c r="C6890" s="1"/>
    </row>
    <row r="6891">
      <c r="C6891" s="1"/>
    </row>
    <row r="6892">
      <c r="C6892" s="1"/>
    </row>
    <row r="6893">
      <c r="C6893" s="1"/>
    </row>
    <row r="6894">
      <c r="C6894" s="1"/>
    </row>
    <row r="6895">
      <c r="C6895" s="1"/>
    </row>
    <row r="6896">
      <c r="C6896" s="1"/>
    </row>
    <row r="6897">
      <c r="C6897" s="1"/>
    </row>
    <row r="6898">
      <c r="C6898" s="1"/>
    </row>
    <row r="6899">
      <c r="C6899" s="1"/>
    </row>
    <row r="6900">
      <c r="C6900" s="1"/>
    </row>
    <row r="6901">
      <c r="C6901" s="1"/>
    </row>
    <row r="6902">
      <c r="C6902" s="1"/>
    </row>
    <row r="6903">
      <c r="C6903" s="1"/>
    </row>
    <row r="6904">
      <c r="C6904" s="1"/>
    </row>
    <row r="6905">
      <c r="C6905" s="1"/>
    </row>
    <row r="6906">
      <c r="C6906" s="1"/>
    </row>
    <row r="6907">
      <c r="C6907" s="1"/>
    </row>
    <row r="6908">
      <c r="C6908" s="1"/>
    </row>
    <row r="6909">
      <c r="C6909" s="1"/>
    </row>
    <row r="6910">
      <c r="C6910" s="1"/>
    </row>
    <row r="6911">
      <c r="C6911" s="1"/>
    </row>
    <row r="6912">
      <c r="C6912" s="1"/>
    </row>
    <row r="6913">
      <c r="C6913" s="1"/>
    </row>
    <row r="6914">
      <c r="C6914" s="1"/>
    </row>
    <row r="6915">
      <c r="C6915" s="1"/>
    </row>
    <row r="6916">
      <c r="C6916" s="1"/>
    </row>
    <row r="6917">
      <c r="C6917" s="1"/>
    </row>
    <row r="6918">
      <c r="C6918" s="1"/>
    </row>
    <row r="6919">
      <c r="C6919" s="1"/>
    </row>
    <row r="6920">
      <c r="C6920" s="1"/>
    </row>
    <row r="6921">
      <c r="C6921" s="1"/>
    </row>
    <row r="6922">
      <c r="C6922" s="1"/>
    </row>
    <row r="6923">
      <c r="C6923" s="1"/>
    </row>
    <row r="6924">
      <c r="C6924" s="1"/>
    </row>
    <row r="6925">
      <c r="C6925" s="1"/>
    </row>
    <row r="6926">
      <c r="C6926" s="1"/>
    </row>
    <row r="6927">
      <c r="C6927" s="1"/>
    </row>
    <row r="6928">
      <c r="C6928" s="1"/>
    </row>
    <row r="6929">
      <c r="C6929" s="1"/>
    </row>
    <row r="6930">
      <c r="C6930" s="1"/>
    </row>
    <row r="6931">
      <c r="C6931" s="1"/>
    </row>
    <row r="6932">
      <c r="C6932" s="1"/>
    </row>
    <row r="6933">
      <c r="C6933" s="1"/>
    </row>
    <row r="6934">
      <c r="C6934" s="1"/>
    </row>
    <row r="6935">
      <c r="C6935" s="1"/>
    </row>
    <row r="6936">
      <c r="C6936" s="1"/>
    </row>
    <row r="6937">
      <c r="C6937" s="1"/>
    </row>
    <row r="6938">
      <c r="C6938" s="1"/>
    </row>
    <row r="6939">
      <c r="C6939" s="1"/>
    </row>
    <row r="6940">
      <c r="C6940" s="1"/>
    </row>
    <row r="6941">
      <c r="C6941" s="1"/>
    </row>
    <row r="6942">
      <c r="C6942" s="1"/>
    </row>
    <row r="6943">
      <c r="C6943" s="1"/>
    </row>
    <row r="6944">
      <c r="C6944" s="1"/>
    </row>
    <row r="6945">
      <c r="C6945" s="1"/>
    </row>
    <row r="6946">
      <c r="C6946" s="1"/>
    </row>
    <row r="6947">
      <c r="C6947" s="1"/>
    </row>
    <row r="6948">
      <c r="C6948" s="1"/>
    </row>
    <row r="6949">
      <c r="C6949" s="1"/>
    </row>
    <row r="6950">
      <c r="C6950" s="1"/>
    </row>
    <row r="6951">
      <c r="C6951" s="1"/>
    </row>
    <row r="6952">
      <c r="C6952" s="1"/>
    </row>
    <row r="6953">
      <c r="C6953" s="1"/>
    </row>
    <row r="6954">
      <c r="C6954" s="1"/>
    </row>
    <row r="6955">
      <c r="C6955" s="1"/>
    </row>
    <row r="6956">
      <c r="C6956" s="1"/>
    </row>
    <row r="6957">
      <c r="C6957" s="1"/>
    </row>
    <row r="6958">
      <c r="C6958" s="1"/>
    </row>
    <row r="6959">
      <c r="C6959" s="1"/>
    </row>
    <row r="6960">
      <c r="C6960" s="1"/>
    </row>
    <row r="6961">
      <c r="C6961" s="1"/>
    </row>
    <row r="6962">
      <c r="C6962" s="1"/>
    </row>
    <row r="6963">
      <c r="C6963" s="1"/>
    </row>
    <row r="6964">
      <c r="C6964" s="1"/>
    </row>
    <row r="6965">
      <c r="C6965" s="1"/>
    </row>
    <row r="6966">
      <c r="C6966" s="1"/>
    </row>
    <row r="6967">
      <c r="C6967" s="1"/>
    </row>
    <row r="6968">
      <c r="C6968" s="1"/>
    </row>
    <row r="6969">
      <c r="C6969" s="1"/>
    </row>
    <row r="6970">
      <c r="C6970" s="1"/>
    </row>
    <row r="6971">
      <c r="C6971" s="1"/>
    </row>
    <row r="6972">
      <c r="C6972" s="1"/>
    </row>
    <row r="6973">
      <c r="C6973" s="1"/>
    </row>
    <row r="6974">
      <c r="C6974" s="1"/>
    </row>
    <row r="6975">
      <c r="C6975" s="1"/>
    </row>
    <row r="6976">
      <c r="C6976" s="1"/>
    </row>
    <row r="6977">
      <c r="C6977" s="1"/>
    </row>
    <row r="6978">
      <c r="C6978" s="1"/>
    </row>
    <row r="6979">
      <c r="C6979" s="1"/>
    </row>
    <row r="6980">
      <c r="C6980" s="1"/>
    </row>
    <row r="6981">
      <c r="C6981" s="1"/>
    </row>
    <row r="6982">
      <c r="C6982" s="1"/>
    </row>
    <row r="6983">
      <c r="C6983" s="1"/>
    </row>
    <row r="6984">
      <c r="C6984" s="1"/>
    </row>
    <row r="6985">
      <c r="C6985" s="1"/>
    </row>
    <row r="6986">
      <c r="C6986" s="1"/>
    </row>
    <row r="6987">
      <c r="C6987" s="1"/>
    </row>
    <row r="6988">
      <c r="C6988" s="1"/>
    </row>
    <row r="6989">
      <c r="C6989" s="1"/>
    </row>
    <row r="6990">
      <c r="C6990" s="1"/>
    </row>
    <row r="6991">
      <c r="C6991" s="1"/>
    </row>
    <row r="6992">
      <c r="C6992" s="1"/>
    </row>
    <row r="6993">
      <c r="C6993" s="1"/>
    </row>
    <row r="6994">
      <c r="C6994" s="1"/>
    </row>
    <row r="6995">
      <c r="C6995" s="1"/>
    </row>
    <row r="6996">
      <c r="C6996" s="1"/>
    </row>
    <row r="6997">
      <c r="C6997" s="1"/>
    </row>
    <row r="6998">
      <c r="C6998" s="1"/>
    </row>
    <row r="6999">
      <c r="C6999" s="1"/>
    </row>
    <row r="7000">
      <c r="C7000" s="1"/>
    </row>
    <row r="7001">
      <c r="C7001" s="1"/>
    </row>
    <row r="7002">
      <c r="C7002" s="1"/>
    </row>
    <row r="7003">
      <c r="C7003" s="1"/>
    </row>
    <row r="7004">
      <c r="C7004" s="1"/>
    </row>
    <row r="7005">
      <c r="C7005" s="1"/>
    </row>
    <row r="7006">
      <c r="C7006" s="1"/>
    </row>
    <row r="7007">
      <c r="C7007" s="1"/>
    </row>
    <row r="7008">
      <c r="C7008" s="1"/>
    </row>
    <row r="7009">
      <c r="C7009" s="1"/>
    </row>
    <row r="7010">
      <c r="C7010" s="1"/>
    </row>
    <row r="7011">
      <c r="C7011" s="1"/>
    </row>
    <row r="7012">
      <c r="C7012" s="1"/>
    </row>
    <row r="7013">
      <c r="C7013" s="1"/>
    </row>
    <row r="7014">
      <c r="C7014" s="1"/>
    </row>
    <row r="7015">
      <c r="C7015" s="1"/>
    </row>
    <row r="7016">
      <c r="C7016" s="1"/>
    </row>
    <row r="7017">
      <c r="C7017" s="1"/>
    </row>
    <row r="7018">
      <c r="C7018" s="1"/>
    </row>
    <row r="7019">
      <c r="C7019" s="1"/>
    </row>
    <row r="7020">
      <c r="C7020" s="1"/>
    </row>
    <row r="7021">
      <c r="C7021" s="1"/>
    </row>
    <row r="7022">
      <c r="C7022" s="1"/>
    </row>
    <row r="7023">
      <c r="C7023" s="1"/>
    </row>
    <row r="7024">
      <c r="C7024" s="1"/>
    </row>
    <row r="7025">
      <c r="C7025" s="1"/>
    </row>
    <row r="7026">
      <c r="C7026" s="1"/>
    </row>
    <row r="7027">
      <c r="C7027" s="1"/>
    </row>
    <row r="7028">
      <c r="C7028" s="1"/>
    </row>
    <row r="7029">
      <c r="C7029" s="1"/>
    </row>
    <row r="7030">
      <c r="C7030" s="1"/>
    </row>
    <row r="7031">
      <c r="C7031" s="1"/>
    </row>
    <row r="7032">
      <c r="C7032" s="1"/>
    </row>
    <row r="7033">
      <c r="C7033" s="1"/>
    </row>
    <row r="7034">
      <c r="C7034" s="1"/>
    </row>
    <row r="7035">
      <c r="C7035" s="1"/>
    </row>
    <row r="7036">
      <c r="C7036" s="1"/>
    </row>
    <row r="7037">
      <c r="C7037" s="1"/>
    </row>
    <row r="7038">
      <c r="C7038" s="1"/>
    </row>
    <row r="7039">
      <c r="C7039" s="1"/>
    </row>
    <row r="7040">
      <c r="C7040" s="1"/>
    </row>
    <row r="7041">
      <c r="C7041" s="1"/>
    </row>
    <row r="7042">
      <c r="C7042" s="1"/>
    </row>
    <row r="7043">
      <c r="C7043" s="1"/>
    </row>
    <row r="7044">
      <c r="C7044" s="1"/>
    </row>
    <row r="7045">
      <c r="C7045" s="1"/>
    </row>
    <row r="7046">
      <c r="C7046" s="1"/>
    </row>
    <row r="7047">
      <c r="C7047" s="1"/>
    </row>
    <row r="7048">
      <c r="C7048" s="1"/>
    </row>
    <row r="7049">
      <c r="C7049" s="1"/>
    </row>
    <row r="7050">
      <c r="C7050" s="1"/>
    </row>
    <row r="7051">
      <c r="C7051" s="1"/>
    </row>
    <row r="7052">
      <c r="C7052" s="1"/>
    </row>
    <row r="7053">
      <c r="C7053" s="1"/>
    </row>
    <row r="7054">
      <c r="C7054" s="1"/>
    </row>
    <row r="7055">
      <c r="C7055" s="1"/>
    </row>
    <row r="7056">
      <c r="C7056" s="1"/>
    </row>
    <row r="7057">
      <c r="C7057" s="1"/>
    </row>
    <row r="7058">
      <c r="C7058" s="1"/>
    </row>
    <row r="7059">
      <c r="C7059" s="1"/>
    </row>
    <row r="7060">
      <c r="C7060" s="1"/>
    </row>
    <row r="7061">
      <c r="C7061" s="1"/>
    </row>
    <row r="7062">
      <c r="C7062" s="1"/>
    </row>
    <row r="7063">
      <c r="C7063" s="1"/>
    </row>
    <row r="7064">
      <c r="C7064" s="1"/>
    </row>
    <row r="7065">
      <c r="C7065" s="1"/>
    </row>
    <row r="7066">
      <c r="C7066" s="1"/>
    </row>
    <row r="7067">
      <c r="C7067" s="1"/>
    </row>
    <row r="7068">
      <c r="C7068" s="1"/>
    </row>
    <row r="7069">
      <c r="C7069" s="1"/>
    </row>
    <row r="7070">
      <c r="C7070" s="1"/>
    </row>
    <row r="7071">
      <c r="C7071" s="1"/>
    </row>
    <row r="7072">
      <c r="C7072" s="1"/>
    </row>
    <row r="7073">
      <c r="C7073" s="1"/>
    </row>
    <row r="7074">
      <c r="C7074" s="1"/>
    </row>
    <row r="7075">
      <c r="C7075" s="1"/>
    </row>
    <row r="7076">
      <c r="C7076" s="1"/>
    </row>
    <row r="7077">
      <c r="C7077" s="1"/>
    </row>
    <row r="7078">
      <c r="C7078" s="1"/>
    </row>
    <row r="7079">
      <c r="C7079" s="1"/>
    </row>
    <row r="7080">
      <c r="C7080" s="1"/>
    </row>
    <row r="7081">
      <c r="C7081" s="1"/>
    </row>
    <row r="7082">
      <c r="C7082" s="1"/>
    </row>
    <row r="7083">
      <c r="C7083" s="1"/>
    </row>
    <row r="7084">
      <c r="C7084" s="1"/>
    </row>
    <row r="7085">
      <c r="C7085" s="1"/>
    </row>
    <row r="7086">
      <c r="C7086" s="1"/>
    </row>
    <row r="7087">
      <c r="C7087" s="1"/>
    </row>
    <row r="7088">
      <c r="C7088" s="1"/>
    </row>
    <row r="7089">
      <c r="C7089" s="1"/>
    </row>
    <row r="7090">
      <c r="C7090" s="1"/>
    </row>
    <row r="7091">
      <c r="C7091" s="1"/>
    </row>
    <row r="7092">
      <c r="C7092" s="1"/>
    </row>
    <row r="7093">
      <c r="C7093" s="1"/>
    </row>
    <row r="7094">
      <c r="C7094" s="1"/>
    </row>
    <row r="7095">
      <c r="C7095" s="1"/>
    </row>
    <row r="7096">
      <c r="C7096" s="1"/>
    </row>
    <row r="7097">
      <c r="C7097" s="1"/>
    </row>
    <row r="7098">
      <c r="C7098" s="1"/>
    </row>
    <row r="7099">
      <c r="C7099" s="1"/>
    </row>
    <row r="7100">
      <c r="C7100" s="1"/>
    </row>
    <row r="7101">
      <c r="C7101" s="1"/>
    </row>
    <row r="7102">
      <c r="C7102" s="1"/>
    </row>
    <row r="7103">
      <c r="C7103" s="1"/>
    </row>
    <row r="7104">
      <c r="C7104" s="1"/>
    </row>
    <row r="7105">
      <c r="C7105" s="1"/>
    </row>
    <row r="7106">
      <c r="C7106" s="1"/>
    </row>
    <row r="7107">
      <c r="C7107" s="1"/>
    </row>
    <row r="7108">
      <c r="C7108" s="1"/>
    </row>
    <row r="7109">
      <c r="C7109" s="1"/>
    </row>
    <row r="7110">
      <c r="C7110" s="1"/>
    </row>
    <row r="7111">
      <c r="C7111" s="1"/>
    </row>
    <row r="7112">
      <c r="C7112" s="1"/>
    </row>
    <row r="7113">
      <c r="C7113" s="1"/>
    </row>
    <row r="7114">
      <c r="C7114" s="1"/>
    </row>
    <row r="7115">
      <c r="C7115" s="1"/>
    </row>
    <row r="7116">
      <c r="C7116" s="1"/>
    </row>
    <row r="7117">
      <c r="C7117" s="1"/>
    </row>
    <row r="7118">
      <c r="C7118" s="1"/>
    </row>
    <row r="7119">
      <c r="C7119" s="1"/>
    </row>
    <row r="7120">
      <c r="C7120" s="1"/>
    </row>
    <row r="7121">
      <c r="C7121" s="1"/>
    </row>
    <row r="7122">
      <c r="C7122" s="1"/>
    </row>
    <row r="7123">
      <c r="C7123" s="1"/>
    </row>
    <row r="7124">
      <c r="C7124" s="1"/>
    </row>
    <row r="7125">
      <c r="C7125" s="1"/>
    </row>
    <row r="7126">
      <c r="C7126" s="1"/>
    </row>
    <row r="7127">
      <c r="C7127" s="1"/>
    </row>
    <row r="7128">
      <c r="C7128" s="1"/>
    </row>
    <row r="7129">
      <c r="C7129" s="1"/>
    </row>
    <row r="7130">
      <c r="C7130" s="1"/>
    </row>
    <row r="7131">
      <c r="C7131" s="1"/>
    </row>
    <row r="7132">
      <c r="C7132" s="1"/>
    </row>
    <row r="7133">
      <c r="C7133" s="1"/>
    </row>
    <row r="7134">
      <c r="C7134" s="1"/>
    </row>
    <row r="7135">
      <c r="C7135" s="1"/>
    </row>
    <row r="7136">
      <c r="C7136" s="1"/>
    </row>
    <row r="7137">
      <c r="C7137" s="1"/>
    </row>
    <row r="7138">
      <c r="C7138" s="1"/>
    </row>
    <row r="7139">
      <c r="C7139" s="1"/>
    </row>
    <row r="7140">
      <c r="C7140" s="1"/>
    </row>
    <row r="7141">
      <c r="C7141" s="1"/>
    </row>
    <row r="7142">
      <c r="C7142" s="1"/>
    </row>
    <row r="7143">
      <c r="C7143" s="1"/>
    </row>
    <row r="7144">
      <c r="C7144" s="1"/>
    </row>
    <row r="7145">
      <c r="C7145" s="1"/>
    </row>
    <row r="7146">
      <c r="C7146" s="1"/>
    </row>
    <row r="7147">
      <c r="C7147" s="1"/>
    </row>
    <row r="7148">
      <c r="C7148" s="1"/>
    </row>
    <row r="7149">
      <c r="C7149" s="1"/>
    </row>
    <row r="7150">
      <c r="C7150" s="1"/>
    </row>
    <row r="7151">
      <c r="C7151" s="1"/>
    </row>
    <row r="7152">
      <c r="C7152" s="1"/>
    </row>
    <row r="7153">
      <c r="C7153" s="1"/>
    </row>
    <row r="7154">
      <c r="C7154" s="1"/>
    </row>
    <row r="7155">
      <c r="C7155" s="1"/>
    </row>
    <row r="7156">
      <c r="C7156" s="1"/>
    </row>
    <row r="7157">
      <c r="C7157" s="1"/>
    </row>
    <row r="7158">
      <c r="C7158" s="1"/>
    </row>
    <row r="7159">
      <c r="C7159" s="1"/>
    </row>
    <row r="7160">
      <c r="C7160" s="1"/>
    </row>
    <row r="7161">
      <c r="C7161" s="1"/>
    </row>
    <row r="7162">
      <c r="C7162" s="1"/>
    </row>
    <row r="7163">
      <c r="C7163" s="1"/>
    </row>
    <row r="7164">
      <c r="C7164" s="1"/>
    </row>
    <row r="7165">
      <c r="C7165" s="1"/>
    </row>
    <row r="7166">
      <c r="C7166" s="1"/>
    </row>
    <row r="7167">
      <c r="C7167" s="1"/>
    </row>
    <row r="7168">
      <c r="C7168" s="1"/>
    </row>
    <row r="7169">
      <c r="C7169" s="1"/>
    </row>
    <row r="7170">
      <c r="C7170" s="1"/>
    </row>
    <row r="7171">
      <c r="C7171" s="1"/>
    </row>
    <row r="7172">
      <c r="C7172" s="1"/>
    </row>
    <row r="7173">
      <c r="C7173" s="1"/>
    </row>
    <row r="7174">
      <c r="C7174" s="1"/>
    </row>
    <row r="7175">
      <c r="C7175" s="1"/>
    </row>
    <row r="7176">
      <c r="C7176" s="1"/>
    </row>
    <row r="7177">
      <c r="C7177" s="1"/>
    </row>
    <row r="7178">
      <c r="C7178" s="1"/>
    </row>
    <row r="7179">
      <c r="C7179" s="1"/>
    </row>
    <row r="7180">
      <c r="C7180" s="1"/>
    </row>
    <row r="7181">
      <c r="C7181" s="1"/>
    </row>
    <row r="7182">
      <c r="C7182" s="1"/>
    </row>
    <row r="7183">
      <c r="C7183" s="1"/>
    </row>
    <row r="7184">
      <c r="C7184" s="1"/>
    </row>
    <row r="7185">
      <c r="C7185" s="1"/>
    </row>
    <row r="7186">
      <c r="C7186" s="1"/>
    </row>
    <row r="7187">
      <c r="C7187" s="1"/>
    </row>
    <row r="7188">
      <c r="C7188" s="1"/>
    </row>
    <row r="7189">
      <c r="C7189" s="1"/>
    </row>
    <row r="7190">
      <c r="C7190" s="1"/>
    </row>
    <row r="7191">
      <c r="C7191" s="1"/>
    </row>
    <row r="7192">
      <c r="C7192" s="1"/>
    </row>
    <row r="7193">
      <c r="C7193" s="1"/>
    </row>
    <row r="7194">
      <c r="C7194" s="1"/>
    </row>
    <row r="7195">
      <c r="C7195" s="1"/>
    </row>
    <row r="7196">
      <c r="C7196" s="1"/>
    </row>
    <row r="7197">
      <c r="C7197" s="1"/>
    </row>
    <row r="7198">
      <c r="C7198" s="1"/>
    </row>
    <row r="7199">
      <c r="C7199" s="1"/>
    </row>
    <row r="7200">
      <c r="C7200" s="1"/>
    </row>
    <row r="7201">
      <c r="C7201" s="1"/>
    </row>
    <row r="7202">
      <c r="C7202" s="1"/>
    </row>
    <row r="7203">
      <c r="C7203" s="1"/>
    </row>
    <row r="7204">
      <c r="C7204" s="1"/>
    </row>
    <row r="7205">
      <c r="C7205" s="1"/>
    </row>
    <row r="7206">
      <c r="C7206" s="1"/>
    </row>
    <row r="7207">
      <c r="C7207" s="1"/>
    </row>
    <row r="7208">
      <c r="C7208" s="1"/>
    </row>
    <row r="7209">
      <c r="C7209" s="1"/>
    </row>
    <row r="7210">
      <c r="C7210" s="1"/>
    </row>
    <row r="7211">
      <c r="C7211" s="1"/>
    </row>
    <row r="7212">
      <c r="C7212" s="1"/>
    </row>
    <row r="7213">
      <c r="C7213" s="1"/>
    </row>
    <row r="7214">
      <c r="C7214" s="1"/>
    </row>
    <row r="7215">
      <c r="C7215" s="1"/>
    </row>
    <row r="7216">
      <c r="C7216" s="1"/>
    </row>
    <row r="7217">
      <c r="C7217" s="1"/>
    </row>
    <row r="7218">
      <c r="C7218" s="1"/>
    </row>
    <row r="7219">
      <c r="C7219" s="1"/>
    </row>
    <row r="7220">
      <c r="C7220" s="1"/>
    </row>
    <row r="7221">
      <c r="C7221" s="1"/>
    </row>
    <row r="7222">
      <c r="C7222" s="1"/>
    </row>
    <row r="7223">
      <c r="C7223" s="1"/>
    </row>
    <row r="7224">
      <c r="C7224" s="1"/>
    </row>
    <row r="7225">
      <c r="C7225" s="1"/>
    </row>
    <row r="7226">
      <c r="C7226" s="1"/>
    </row>
    <row r="7227">
      <c r="C7227" s="1"/>
    </row>
    <row r="7228">
      <c r="C7228" s="1"/>
    </row>
    <row r="7229">
      <c r="C7229" s="1"/>
    </row>
    <row r="7230">
      <c r="C7230" s="1"/>
    </row>
    <row r="7231">
      <c r="C7231" s="1"/>
    </row>
    <row r="7232">
      <c r="C7232" s="1"/>
    </row>
    <row r="7233">
      <c r="C7233" s="1"/>
    </row>
    <row r="7234">
      <c r="C7234" s="1"/>
    </row>
    <row r="7235">
      <c r="C7235" s="1"/>
    </row>
    <row r="7236">
      <c r="C7236" s="1"/>
    </row>
    <row r="7237">
      <c r="C7237" s="1"/>
    </row>
    <row r="7238">
      <c r="C7238" s="1"/>
    </row>
    <row r="7239">
      <c r="C7239" s="1"/>
    </row>
    <row r="7240">
      <c r="C7240" s="1"/>
    </row>
    <row r="7241">
      <c r="C7241" s="1"/>
    </row>
    <row r="7242">
      <c r="C7242" s="1"/>
    </row>
    <row r="7243">
      <c r="C7243" s="1"/>
    </row>
    <row r="7244">
      <c r="C7244" s="1"/>
    </row>
    <row r="7245">
      <c r="C7245" s="1"/>
    </row>
    <row r="7246">
      <c r="C7246" s="1"/>
    </row>
    <row r="7247">
      <c r="C7247" s="1"/>
    </row>
    <row r="7248">
      <c r="C7248" s="1"/>
    </row>
    <row r="7249">
      <c r="C7249" s="1"/>
    </row>
    <row r="7250">
      <c r="C7250" s="1"/>
    </row>
    <row r="7251">
      <c r="C7251" s="1"/>
    </row>
    <row r="7252">
      <c r="C7252" s="1"/>
    </row>
    <row r="7253">
      <c r="C7253" s="1"/>
    </row>
    <row r="7254">
      <c r="C7254" s="1"/>
    </row>
    <row r="7255">
      <c r="C7255" s="1"/>
    </row>
    <row r="7256">
      <c r="C7256" s="1"/>
    </row>
    <row r="7257">
      <c r="C7257" s="1"/>
    </row>
    <row r="7258">
      <c r="C7258" s="1"/>
    </row>
    <row r="7259">
      <c r="C7259" s="1"/>
    </row>
    <row r="7260">
      <c r="C7260" s="1"/>
    </row>
    <row r="7261">
      <c r="C7261" s="1"/>
    </row>
    <row r="7262">
      <c r="C7262" s="1"/>
    </row>
    <row r="7263">
      <c r="C7263" s="1"/>
    </row>
    <row r="7264">
      <c r="C7264" s="1"/>
    </row>
    <row r="7265">
      <c r="C7265" s="1"/>
    </row>
    <row r="7266">
      <c r="C7266" s="1"/>
    </row>
    <row r="7267">
      <c r="C7267" s="1"/>
    </row>
    <row r="7268">
      <c r="C7268" s="1"/>
    </row>
    <row r="7269">
      <c r="C7269" s="1"/>
    </row>
    <row r="7270">
      <c r="C7270" s="1"/>
    </row>
    <row r="7271">
      <c r="C7271" s="1"/>
    </row>
    <row r="7272">
      <c r="C7272" s="1"/>
    </row>
    <row r="7273">
      <c r="C7273" s="1"/>
    </row>
    <row r="7274">
      <c r="C7274" s="1"/>
    </row>
    <row r="7275">
      <c r="C7275" s="1"/>
    </row>
    <row r="7276">
      <c r="C7276" s="1"/>
    </row>
    <row r="7277">
      <c r="C7277" s="1"/>
    </row>
    <row r="7278">
      <c r="C7278" s="1"/>
    </row>
    <row r="7279">
      <c r="C7279" s="1"/>
    </row>
    <row r="7280">
      <c r="C7280" s="1"/>
    </row>
    <row r="7281">
      <c r="C7281" s="1"/>
    </row>
    <row r="7282">
      <c r="C7282" s="1"/>
    </row>
    <row r="7283">
      <c r="C7283" s="1"/>
    </row>
    <row r="7284">
      <c r="C7284" s="1"/>
    </row>
    <row r="7285">
      <c r="C7285" s="1"/>
    </row>
    <row r="7286">
      <c r="C7286" s="1"/>
    </row>
    <row r="7287">
      <c r="C7287" s="1"/>
    </row>
    <row r="7288">
      <c r="C7288" s="1"/>
    </row>
    <row r="7289">
      <c r="C7289" s="1"/>
    </row>
    <row r="7290">
      <c r="C7290" s="1"/>
    </row>
    <row r="7291">
      <c r="C7291" s="1"/>
    </row>
    <row r="7292">
      <c r="C7292" s="1"/>
    </row>
    <row r="7293">
      <c r="C7293" s="1"/>
    </row>
    <row r="7294">
      <c r="C7294" s="1"/>
    </row>
    <row r="7295">
      <c r="C7295" s="1"/>
    </row>
    <row r="7296">
      <c r="C7296" s="1"/>
    </row>
    <row r="7297">
      <c r="C7297" s="1"/>
    </row>
    <row r="7298">
      <c r="C7298" s="1"/>
    </row>
    <row r="7299">
      <c r="C7299" s="1"/>
    </row>
    <row r="7300">
      <c r="C7300" s="1"/>
    </row>
    <row r="7301">
      <c r="C7301" s="1"/>
    </row>
    <row r="7302">
      <c r="C7302" s="1"/>
    </row>
    <row r="7303">
      <c r="C7303" s="1"/>
    </row>
    <row r="7304">
      <c r="C7304" s="1"/>
    </row>
    <row r="7305">
      <c r="C7305" s="1"/>
    </row>
    <row r="7306">
      <c r="C7306" s="1"/>
    </row>
    <row r="7307">
      <c r="C7307" s="1"/>
    </row>
    <row r="7308">
      <c r="C7308" s="1"/>
    </row>
    <row r="7309">
      <c r="C7309" s="1"/>
    </row>
    <row r="7310">
      <c r="C7310" s="1"/>
    </row>
    <row r="7311">
      <c r="C7311" s="1"/>
    </row>
    <row r="7312">
      <c r="C7312" s="1"/>
    </row>
    <row r="7313">
      <c r="C7313" s="1"/>
    </row>
    <row r="7314">
      <c r="C7314" s="1"/>
    </row>
    <row r="7315">
      <c r="C7315" s="1"/>
    </row>
    <row r="7316">
      <c r="C7316" s="1"/>
    </row>
    <row r="7317">
      <c r="C7317" s="1"/>
    </row>
    <row r="7318">
      <c r="C7318" s="1"/>
    </row>
    <row r="7319">
      <c r="C7319" s="1"/>
    </row>
    <row r="7320">
      <c r="C7320" s="1"/>
    </row>
    <row r="7321">
      <c r="C7321" s="1"/>
    </row>
    <row r="7322">
      <c r="C7322" s="1"/>
    </row>
    <row r="7323">
      <c r="C7323" s="1"/>
    </row>
    <row r="7324">
      <c r="C7324" s="1"/>
    </row>
    <row r="7325">
      <c r="C7325" s="1"/>
    </row>
    <row r="7326">
      <c r="C7326" s="1"/>
    </row>
    <row r="7327">
      <c r="C7327" s="1"/>
    </row>
    <row r="7328">
      <c r="C7328" s="1"/>
    </row>
    <row r="7329">
      <c r="C7329" s="1"/>
    </row>
    <row r="7330">
      <c r="C7330" s="1"/>
    </row>
    <row r="7331">
      <c r="C7331" s="1"/>
    </row>
    <row r="7332">
      <c r="C7332" s="1"/>
    </row>
    <row r="7333">
      <c r="C7333" s="1"/>
    </row>
    <row r="7334">
      <c r="C7334" s="1"/>
    </row>
    <row r="7335">
      <c r="C7335" s="1"/>
    </row>
    <row r="7336">
      <c r="C7336" s="1"/>
    </row>
    <row r="7337">
      <c r="C7337" s="1"/>
    </row>
    <row r="7338">
      <c r="C7338" s="1"/>
    </row>
    <row r="7339">
      <c r="C7339" s="1"/>
    </row>
    <row r="7340">
      <c r="C7340" s="1"/>
    </row>
    <row r="7341">
      <c r="C7341" s="1"/>
    </row>
    <row r="7342">
      <c r="C7342" s="1"/>
    </row>
    <row r="7343">
      <c r="C7343" s="1"/>
    </row>
    <row r="7344">
      <c r="C7344" s="1"/>
    </row>
    <row r="7345">
      <c r="C7345" s="1"/>
    </row>
    <row r="7346">
      <c r="C7346" s="1"/>
    </row>
    <row r="7347">
      <c r="C7347" s="1"/>
    </row>
    <row r="7348">
      <c r="C7348" s="1"/>
    </row>
    <row r="7349">
      <c r="C7349" s="1"/>
    </row>
    <row r="7350">
      <c r="C7350" s="1"/>
    </row>
    <row r="7351">
      <c r="C7351" s="1"/>
    </row>
    <row r="7352">
      <c r="C7352" s="1"/>
    </row>
    <row r="7353">
      <c r="C7353" s="1"/>
    </row>
    <row r="7354">
      <c r="C7354" s="1"/>
    </row>
    <row r="7355">
      <c r="C7355" s="1"/>
    </row>
    <row r="7356">
      <c r="C7356" s="1"/>
    </row>
    <row r="7357">
      <c r="C7357" s="1"/>
    </row>
    <row r="7358">
      <c r="C7358" s="1"/>
    </row>
    <row r="7359">
      <c r="C7359" s="1"/>
    </row>
    <row r="7360">
      <c r="C7360" s="1"/>
    </row>
    <row r="7361">
      <c r="C7361" s="1"/>
    </row>
    <row r="7362">
      <c r="C7362" s="1"/>
    </row>
    <row r="7363">
      <c r="C7363" s="1"/>
    </row>
    <row r="7364">
      <c r="C7364" s="1"/>
    </row>
    <row r="7365">
      <c r="C7365" s="1"/>
    </row>
    <row r="7366">
      <c r="C7366" s="1"/>
    </row>
    <row r="7367">
      <c r="C7367" s="1"/>
    </row>
    <row r="7368">
      <c r="C7368" s="1"/>
    </row>
    <row r="7369">
      <c r="C7369" s="1"/>
    </row>
    <row r="7370">
      <c r="C7370" s="1"/>
    </row>
    <row r="7371">
      <c r="C7371" s="1"/>
    </row>
    <row r="7372">
      <c r="C7372" s="1"/>
    </row>
    <row r="7373">
      <c r="C7373" s="1"/>
    </row>
    <row r="7374">
      <c r="C7374" s="1"/>
    </row>
    <row r="7375">
      <c r="C7375" s="1"/>
    </row>
    <row r="7376">
      <c r="C7376" s="1"/>
    </row>
    <row r="7377">
      <c r="C7377" s="1"/>
    </row>
    <row r="7378">
      <c r="C7378" s="1"/>
    </row>
    <row r="7379">
      <c r="C7379" s="1"/>
    </row>
    <row r="7380">
      <c r="C7380" s="1"/>
    </row>
    <row r="7381">
      <c r="C7381" s="1"/>
    </row>
    <row r="7382">
      <c r="C7382" s="1"/>
    </row>
    <row r="7383">
      <c r="C7383" s="1"/>
    </row>
    <row r="7384">
      <c r="C7384" s="1"/>
    </row>
    <row r="7385">
      <c r="C7385" s="1"/>
    </row>
    <row r="7386">
      <c r="C7386" s="1"/>
    </row>
    <row r="7387">
      <c r="C7387" s="1"/>
    </row>
    <row r="7388">
      <c r="C7388" s="1"/>
    </row>
    <row r="7389">
      <c r="C7389" s="1"/>
    </row>
    <row r="7390">
      <c r="C7390" s="1"/>
    </row>
    <row r="7391">
      <c r="C7391" s="1"/>
    </row>
    <row r="7392">
      <c r="C7392" s="1"/>
    </row>
    <row r="7393">
      <c r="C7393" s="1"/>
    </row>
    <row r="7394">
      <c r="C7394" s="1"/>
    </row>
    <row r="7395">
      <c r="C7395" s="1"/>
    </row>
    <row r="7396">
      <c r="C7396" s="1"/>
    </row>
    <row r="7397">
      <c r="C7397" s="1"/>
    </row>
    <row r="7398">
      <c r="C7398" s="1"/>
    </row>
    <row r="7399">
      <c r="C7399" s="1"/>
    </row>
    <row r="7400">
      <c r="C7400" s="1"/>
    </row>
    <row r="7401">
      <c r="C7401" s="1"/>
    </row>
    <row r="7402">
      <c r="C7402" s="1"/>
    </row>
    <row r="7403">
      <c r="C7403" s="1"/>
    </row>
    <row r="7404">
      <c r="C7404" s="1"/>
    </row>
    <row r="7405">
      <c r="C7405" s="1"/>
    </row>
    <row r="7406">
      <c r="C7406" s="1"/>
    </row>
    <row r="7407">
      <c r="C7407" s="1"/>
    </row>
    <row r="7408">
      <c r="C7408" s="1"/>
    </row>
    <row r="7409">
      <c r="C7409" s="1"/>
    </row>
    <row r="7410">
      <c r="C7410" s="1"/>
    </row>
    <row r="7411">
      <c r="C7411" s="1"/>
    </row>
    <row r="7412">
      <c r="C7412" s="1"/>
    </row>
    <row r="7413">
      <c r="C7413" s="1"/>
    </row>
    <row r="7414">
      <c r="C7414" s="1"/>
    </row>
    <row r="7415">
      <c r="C7415" s="1"/>
    </row>
    <row r="7416">
      <c r="C7416" s="1"/>
    </row>
    <row r="7417">
      <c r="C7417" s="1"/>
    </row>
    <row r="7418">
      <c r="C7418" s="1"/>
    </row>
    <row r="7419">
      <c r="C7419" s="1"/>
    </row>
    <row r="7420">
      <c r="C7420" s="1"/>
    </row>
    <row r="7421">
      <c r="C7421" s="1"/>
    </row>
    <row r="7422">
      <c r="C7422" s="1"/>
    </row>
    <row r="7423">
      <c r="C7423" s="1"/>
    </row>
    <row r="7424">
      <c r="C7424" s="1"/>
    </row>
    <row r="7425">
      <c r="C7425" s="1"/>
    </row>
    <row r="7426">
      <c r="C7426" s="1"/>
    </row>
    <row r="7427">
      <c r="C7427" s="1"/>
    </row>
    <row r="7428">
      <c r="C7428" s="1"/>
    </row>
    <row r="7429">
      <c r="C7429" s="1"/>
    </row>
    <row r="7430">
      <c r="C7430" s="1"/>
    </row>
    <row r="7431">
      <c r="C7431" s="1"/>
    </row>
    <row r="7432">
      <c r="C7432" s="1"/>
    </row>
    <row r="7433">
      <c r="C7433" s="1"/>
    </row>
    <row r="7434">
      <c r="C7434" s="1"/>
    </row>
    <row r="7435">
      <c r="C7435" s="1"/>
    </row>
    <row r="7436">
      <c r="C7436" s="1"/>
    </row>
    <row r="7437">
      <c r="C7437" s="1"/>
    </row>
    <row r="7438">
      <c r="C7438" s="1"/>
    </row>
    <row r="7439">
      <c r="C7439" s="1"/>
    </row>
    <row r="7440">
      <c r="C7440" s="1"/>
    </row>
    <row r="7441">
      <c r="C7441" s="1"/>
    </row>
    <row r="7442">
      <c r="C7442" s="1"/>
    </row>
    <row r="7443">
      <c r="C7443" s="1"/>
    </row>
    <row r="7444">
      <c r="C7444" s="1"/>
    </row>
    <row r="7445">
      <c r="C7445" s="1"/>
    </row>
    <row r="7446">
      <c r="C7446" s="1"/>
    </row>
    <row r="7447">
      <c r="C7447" s="1"/>
    </row>
    <row r="7448">
      <c r="C7448" s="1"/>
    </row>
    <row r="7449">
      <c r="C7449" s="1"/>
    </row>
    <row r="7450">
      <c r="C7450" s="1"/>
    </row>
    <row r="7451">
      <c r="C7451" s="1"/>
    </row>
    <row r="7452">
      <c r="C7452" s="1"/>
    </row>
    <row r="7453">
      <c r="C7453" s="1"/>
    </row>
    <row r="7454">
      <c r="C7454" s="1"/>
    </row>
    <row r="7455">
      <c r="C7455" s="1"/>
    </row>
    <row r="7456">
      <c r="C7456" s="1"/>
    </row>
    <row r="7457">
      <c r="C7457" s="1"/>
    </row>
    <row r="7458">
      <c r="C7458" s="1"/>
    </row>
    <row r="7459">
      <c r="C7459" s="1"/>
    </row>
    <row r="7460">
      <c r="C7460" s="1"/>
    </row>
    <row r="7461">
      <c r="C7461" s="1"/>
    </row>
    <row r="7462">
      <c r="C7462" s="1"/>
    </row>
    <row r="7463">
      <c r="C7463" s="1"/>
    </row>
    <row r="7464">
      <c r="C7464" s="1"/>
    </row>
    <row r="7465">
      <c r="C7465" s="1"/>
    </row>
    <row r="7466">
      <c r="C7466" s="1"/>
    </row>
    <row r="7467">
      <c r="C7467" s="1"/>
    </row>
    <row r="7468">
      <c r="C7468" s="1"/>
    </row>
    <row r="7469">
      <c r="C7469" s="1"/>
    </row>
    <row r="7470">
      <c r="C7470" s="1"/>
    </row>
    <row r="7471">
      <c r="C7471" s="1"/>
    </row>
    <row r="7472">
      <c r="C7472" s="1"/>
    </row>
    <row r="7473">
      <c r="C7473" s="1"/>
    </row>
    <row r="7474">
      <c r="C7474" s="1"/>
    </row>
    <row r="7475">
      <c r="C7475" s="1"/>
    </row>
    <row r="7476">
      <c r="C7476" s="1"/>
    </row>
    <row r="7477">
      <c r="C7477" s="1"/>
    </row>
    <row r="7478">
      <c r="C7478" s="1"/>
    </row>
    <row r="7479">
      <c r="C7479" s="1"/>
    </row>
    <row r="7480">
      <c r="C7480" s="1"/>
    </row>
    <row r="7481">
      <c r="C7481" s="1"/>
    </row>
    <row r="7482">
      <c r="C7482" s="1"/>
    </row>
    <row r="7483">
      <c r="C7483" s="1"/>
    </row>
    <row r="7484">
      <c r="C7484" s="1"/>
    </row>
    <row r="7485">
      <c r="C7485" s="1"/>
    </row>
    <row r="7486">
      <c r="C7486" s="1"/>
    </row>
    <row r="7487">
      <c r="C7487" s="1"/>
    </row>
    <row r="7488">
      <c r="C7488" s="1"/>
    </row>
    <row r="7489">
      <c r="C7489" s="1"/>
    </row>
    <row r="7490">
      <c r="C7490" s="1"/>
    </row>
    <row r="7491">
      <c r="C7491" s="1"/>
    </row>
    <row r="7492">
      <c r="C7492" s="1"/>
    </row>
    <row r="7493">
      <c r="C7493" s="1"/>
    </row>
    <row r="7494">
      <c r="C7494" s="1"/>
    </row>
    <row r="7495">
      <c r="C7495" s="1"/>
    </row>
    <row r="7496">
      <c r="C7496" s="1"/>
    </row>
    <row r="7497">
      <c r="C7497" s="1"/>
    </row>
    <row r="7498">
      <c r="C7498" s="1"/>
    </row>
    <row r="7499">
      <c r="C7499" s="1"/>
    </row>
    <row r="7500">
      <c r="C7500" s="1"/>
    </row>
    <row r="7501">
      <c r="C7501" s="1"/>
    </row>
    <row r="7502">
      <c r="C7502" s="1"/>
    </row>
    <row r="7503">
      <c r="C7503" s="1"/>
    </row>
    <row r="7504">
      <c r="C7504" s="1"/>
    </row>
    <row r="7505">
      <c r="C7505" s="1"/>
    </row>
    <row r="7506">
      <c r="C7506" s="1"/>
    </row>
    <row r="7507">
      <c r="C7507" s="1"/>
    </row>
    <row r="7508">
      <c r="C7508" s="1"/>
    </row>
    <row r="7509">
      <c r="C7509" s="1"/>
    </row>
    <row r="7510">
      <c r="C7510" s="1"/>
    </row>
    <row r="7511">
      <c r="C7511" s="1"/>
    </row>
    <row r="7512">
      <c r="C7512" s="1"/>
    </row>
    <row r="7513">
      <c r="C7513" s="1"/>
    </row>
    <row r="7514">
      <c r="C7514" s="1"/>
    </row>
    <row r="7515">
      <c r="C7515" s="1"/>
    </row>
    <row r="7516">
      <c r="C7516" s="1"/>
    </row>
    <row r="7517">
      <c r="C7517" s="1"/>
    </row>
    <row r="7518">
      <c r="C7518" s="1"/>
    </row>
    <row r="7519">
      <c r="C7519" s="1"/>
    </row>
    <row r="7520">
      <c r="C7520" s="1"/>
    </row>
    <row r="7521">
      <c r="C7521" s="1"/>
    </row>
    <row r="7522">
      <c r="C7522" s="1"/>
    </row>
    <row r="7523">
      <c r="C7523" s="1"/>
    </row>
    <row r="7524">
      <c r="C7524" s="1"/>
    </row>
    <row r="7525">
      <c r="C7525" s="1"/>
    </row>
    <row r="7526">
      <c r="C7526" s="1"/>
    </row>
    <row r="7527">
      <c r="C7527" s="1"/>
    </row>
    <row r="7528">
      <c r="C7528" s="1"/>
    </row>
    <row r="7529">
      <c r="C7529" s="1"/>
    </row>
    <row r="7530">
      <c r="C7530" s="1"/>
    </row>
    <row r="7531">
      <c r="C7531" s="1"/>
    </row>
    <row r="7532">
      <c r="C7532" s="1"/>
    </row>
    <row r="7533">
      <c r="C7533" s="1"/>
    </row>
    <row r="7534">
      <c r="C7534" s="1"/>
    </row>
    <row r="7535">
      <c r="C7535" s="1"/>
    </row>
    <row r="7536">
      <c r="C7536" s="1"/>
    </row>
    <row r="7537">
      <c r="C7537" s="1"/>
    </row>
    <row r="7538">
      <c r="C7538" s="1"/>
    </row>
    <row r="7539">
      <c r="C7539" s="1"/>
    </row>
    <row r="7540">
      <c r="C7540" s="1"/>
    </row>
    <row r="7541">
      <c r="C7541" s="1"/>
    </row>
    <row r="7542">
      <c r="C7542" s="1"/>
    </row>
    <row r="7543">
      <c r="C7543" s="1"/>
    </row>
    <row r="7544">
      <c r="C7544" s="1"/>
    </row>
    <row r="7545">
      <c r="C7545" s="1"/>
    </row>
    <row r="7546">
      <c r="C7546" s="1"/>
    </row>
    <row r="7547">
      <c r="C7547" s="1"/>
    </row>
    <row r="7548">
      <c r="C7548" s="1"/>
    </row>
    <row r="7549">
      <c r="C7549" s="1"/>
    </row>
    <row r="7550">
      <c r="C7550" s="1"/>
    </row>
    <row r="7551">
      <c r="C7551" s="1"/>
    </row>
    <row r="7552">
      <c r="C7552" s="1"/>
    </row>
    <row r="7553">
      <c r="C7553" s="1"/>
    </row>
    <row r="7554">
      <c r="C7554" s="1"/>
    </row>
    <row r="7555">
      <c r="C7555" s="1"/>
    </row>
    <row r="7556">
      <c r="C7556" s="1"/>
    </row>
    <row r="7557">
      <c r="C7557" s="1"/>
    </row>
    <row r="7558">
      <c r="C7558" s="1"/>
    </row>
    <row r="7559">
      <c r="C7559" s="1"/>
    </row>
    <row r="7560">
      <c r="C7560" s="1"/>
    </row>
    <row r="7561">
      <c r="C7561" s="1"/>
    </row>
    <row r="7562">
      <c r="C7562" s="1"/>
    </row>
    <row r="7563">
      <c r="C7563" s="1"/>
    </row>
    <row r="7564">
      <c r="C7564" s="1"/>
    </row>
    <row r="7565">
      <c r="C7565" s="1"/>
    </row>
    <row r="7566">
      <c r="C7566" s="1"/>
    </row>
    <row r="7567">
      <c r="C7567" s="1"/>
    </row>
    <row r="7568">
      <c r="C7568" s="1"/>
    </row>
    <row r="7569">
      <c r="C7569" s="1"/>
    </row>
    <row r="7570">
      <c r="C7570" s="1"/>
    </row>
    <row r="7571">
      <c r="C7571" s="1"/>
    </row>
    <row r="7572">
      <c r="C7572" s="1"/>
    </row>
    <row r="7573">
      <c r="C7573" s="1"/>
    </row>
    <row r="7574">
      <c r="C7574" s="1"/>
    </row>
    <row r="7575">
      <c r="C7575" s="1"/>
    </row>
    <row r="7576">
      <c r="C7576" s="1"/>
    </row>
    <row r="7577">
      <c r="C7577" s="1"/>
    </row>
    <row r="7578">
      <c r="C7578" s="1"/>
    </row>
    <row r="7579">
      <c r="C7579" s="1"/>
    </row>
    <row r="7580">
      <c r="C7580" s="1"/>
    </row>
    <row r="7581">
      <c r="C7581" s="1"/>
    </row>
    <row r="7582">
      <c r="C7582" s="1"/>
    </row>
    <row r="7583">
      <c r="C7583" s="1"/>
    </row>
    <row r="7584">
      <c r="C7584" s="1"/>
    </row>
    <row r="7585">
      <c r="C7585" s="1"/>
    </row>
    <row r="7586">
      <c r="C7586" s="1"/>
    </row>
    <row r="7587">
      <c r="C7587" s="1"/>
    </row>
    <row r="7588">
      <c r="C7588" s="1"/>
    </row>
    <row r="7589">
      <c r="C7589" s="1"/>
    </row>
    <row r="7590">
      <c r="C7590" s="1"/>
    </row>
    <row r="7591">
      <c r="C7591" s="1"/>
    </row>
    <row r="7592">
      <c r="C7592" s="1"/>
    </row>
    <row r="7593">
      <c r="C7593" s="1"/>
    </row>
    <row r="7594">
      <c r="C7594" s="1"/>
    </row>
    <row r="7595">
      <c r="C7595" s="1"/>
    </row>
    <row r="7596">
      <c r="C7596" s="1"/>
    </row>
    <row r="7597">
      <c r="C7597" s="1"/>
    </row>
    <row r="7598">
      <c r="C7598" s="1"/>
    </row>
    <row r="7599">
      <c r="C7599" s="1"/>
    </row>
    <row r="7600">
      <c r="C7600" s="1"/>
    </row>
    <row r="7601">
      <c r="C7601" s="1"/>
    </row>
    <row r="7602">
      <c r="C7602" s="1"/>
    </row>
    <row r="7603">
      <c r="C7603" s="1"/>
    </row>
    <row r="7604">
      <c r="C7604" s="1"/>
    </row>
    <row r="7605">
      <c r="C7605" s="1"/>
    </row>
    <row r="7606">
      <c r="C7606" s="1"/>
    </row>
    <row r="7607">
      <c r="C7607" s="1"/>
    </row>
    <row r="7608">
      <c r="C7608" s="1"/>
    </row>
    <row r="7609">
      <c r="C7609" s="1"/>
    </row>
    <row r="7610">
      <c r="C7610" s="1"/>
    </row>
    <row r="7611">
      <c r="C7611" s="1"/>
    </row>
    <row r="7612">
      <c r="C7612" s="1"/>
    </row>
    <row r="7613">
      <c r="C7613" s="1"/>
    </row>
    <row r="7614">
      <c r="C7614" s="1"/>
    </row>
    <row r="7615">
      <c r="C7615" s="1"/>
    </row>
    <row r="7616">
      <c r="C7616" s="1"/>
    </row>
    <row r="7617">
      <c r="C7617" s="1"/>
    </row>
    <row r="7618">
      <c r="C7618" s="1"/>
    </row>
    <row r="7619">
      <c r="C7619" s="1"/>
    </row>
    <row r="7620">
      <c r="C7620" s="1"/>
    </row>
    <row r="7621">
      <c r="C7621" s="1"/>
    </row>
    <row r="7622">
      <c r="C7622" s="1"/>
    </row>
    <row r="7623">
      <c r="C7623" s="1"/>
    </row>
    <row r="7624">
      <c r="C7624" s="1"/>
    </row>
    <row r="7625">
      <c r="C7625" s="1"/>
    </row>
    <row r="7626">
      <c r="C7626" s="1"/>
    </row>
    <row r="7627">
      <c r="C7627" s="1"/>
    </row>
    <row r="7628">
      <c r="C7628" s="1"/>
    </row>
    <row r="7629">
      <c r="C7629" s="1"/>
    </row>
    <row r="7630">
      <c r="C7630" s="1"/>
    </row>
    <row r="7631">
      <c r="C7631" s="1"/>
    </row>
    <row r="7632">
      <c r="C7632" s="1"/>
    </row>
    <row r="7633">
      <c r="C7633" s="1"/>
    </row>
    <row r="7634">
      <c r="C7634" s="1"/>
    </row>
    <row r="7635">
      <c r="C7635" s="1"/>
    </row>
    <row r="7636">
      <c r="C7636" s="1"/>
    </row>
    <row r="7637">
      <c r="C7637" s="1"/>
    </row>
    <row r="7638">
      <c r="C7638" s="1"/>
    </row>
    <row r="7639">
      <c r="C7639" s="1"/>
    </row>
    <row r="7640">
      <c r="C7640" s="1"/>
    </row>
    <row r="7641">
      <c r="C7641" s="1"/>
    </row>
    <row r="7642">
      <c r="C7642" s="1"/>
    </row>
    <row r="7643">
      <c r="C7643" s="1"/>
    </row>
    <row r="7644">
      <c r="C7644" s="1"/>
    </row>
    <row r="7645">
      <c r="C7645" s="1"/>
    </row>
    <row r="7646">
      <c r="C7646" s="1"/>
    </row>
    <row r="7647">
      <c r="C7647" s="1"/>
    </row>
    <row r="7648">
      <c r="C7648" s="1"/>
    </row>
    <row r="7649">
      <c r="C7649" s="1"/>
    </row>
    <row r="7650">
      <c r="C7650" s="1"/>
    </row>
    <row r="7651">
      <c r="C7651" s="1"/>
    </row>
    <row r="7652">
      <c r="C7652" s="1"/>
    </row>
    <row r="7653">
      <c r="C7653" s="1"/>
    </row>
    <row r="7654">
      <c r="C7654" s="1"/>
    </row>
    <row r="7655">
      <c r="C7655" s="1"/>
    </row>
    <row r="7656">
      <c r="C7656" s="1"/>
    </row>
    <row r="7657">
      <c r="C7657" s="1"/>
    </row>
    <row r="7658">
      <c r="C7658" s="1"/>
    </row>
    <row r="7659">
      <c r="C7659" s="1"/>
    </row>
    <row r="7660">
      <c r="C7660" s="1"/>
    </row>
    <row r="7661">
      <c r="C7661" s="1"/>
    </row>
    <row r="7662">
      <c r="C7662" s="1"/>
    </row>
    <row r="7663">
      <c r="C7663" s="1"/>
    </row>
    <row r="7664">
      <c r="C7664" s="1"/>
    </row>
    <row r="7665">
      <c r="C7665" s="1"/>
    </row>
    <row r="7666">
      <c r="C7666" s="1"/>
    </row>
    <row r="7667">
      <c r="C7667" s="1"/>
    </row>
    <row r="7668">
      <c r="C7668" s="1"/>
    </row>
    <row r="7669">
      <c r="C7669" s="1"/>
    </row>
    <row r="7670">
      <c r="C7670" s="1"/>
    </row>
    <row r="7671">
      <c r="C7671" s="1"/>
    </row>
    <row r="7672">
      <c r="C7672" s="1"/>
    </row>
    <row r="7673">
      <c r="C7673" s="1"/>
    </row>
    <row r="7674">
      <c r="C7674" s="1"/>
    </row>
    <row r="7675">
      <c r="C7675" s="1"/>
    </row>
    <row r="7676">
      <c r="C7676" s="1"/>
    </row>
    <row r="7677">
      <c r="C7677" s="1"/>
    </row>
    <row r="7678">
      <c r="C7678" s="1"/>
    </row>
    <row r="7679">
      <c r="C7679" s="1"/>
    </row>
    <row r="7680">
      <c r="C7680" s="1"/>
    </row>
    <row r="7681">
      <c r="C7681" s="1"/>
    </row>
    <row r="7682">
      <c r="C7682" s="1"/>
    </row>
    <row r="7683">
      <c r="C7683" s="1"/>
    </row>
    <row r="7684">
      <c r="C7684" s="1"/>
    </row>
    <row r="7685">
      <c r="C7685" s="1"/>
    </row>
    <row r="7686">
      <c r="C7686" s="1"/>
    </row>
    <row r="7687">
      <c r="C7687" s="1"/>
    </row>
    <row r="7688">
      <c r="C7688" s="1"/>
    </row>
    <row r="7689">
      <c r="C7689" s="1"/>
    </row>
    <row r="7690">
      <c r="C7690" s="1"/>
    </row>
    <row r="7691">
      <c r="C7691" s="1"/>
    </row>
    <row r="7692">
      <c r="C7692" s="1"/>
    </row>
    <row r="7693">
      <c r="C7693" s="1"/>
    </row>
    <row r="7694">
      <c r="C7694" s="1"/>
    </row>
    <row r="7695">
      <c r="C7695" s="1"/>
    </row>
    <row r="7696">
      <c r="C7696" s="1"/>
    </row>
    <row r="7697">
      <c r="C7697" s="1"/>
    </row>
    <row r="7698">
      <c r="C7698" s="1"/>
    </row>
    <row r="7699">
      <c r="C7699" s="1"/>
    </row>
    <row r="7700">
      <c r="C7700" s="1"/>
    </row>
    <row r="7701">
      <c r="C7701" s="1"/>
    </row>
    <row r="7702">
      <c r="C7702" s="1"/>
    </row>
    <row r="7703">
      <c r="C7703" s="1"/>
    </row>
    <row r="7704">
      <c r="C7704" s="1"/>
    </row>
    <row r="7705">
      <c r="C7705" s="1"/>
    </row>
    <row r="7706">
      <c r="C7706" s="1"/>
    </row>
    <row r="7707">
      <c r="C7707" s="1"/>
    </row>
    <row r="7708">
      <c r="C7708" s="1"/>
    </row>
    <row r="7709">
      <c r="C7709" s="1"/>
    </row>
    <row r="7710">
      <c r="C7710" s="1"/>
    </row>
    <row r="7711">
      <c r="C7711" s="1"/>
    </row>
    <row r="7712">
      <c r="C7712" s="1"/>
    </row>
    <row r="7713">
      <c r="C7713" s="1"/>
    </row>
    <row r="7714">
      <c r="C7714" s="1"/>
    </row>
    <row r="7715">
      <c r="C7715" s="1"/>
    </row>
    <row r="7716">
      <c r="C7716" s="1"/>
    </row>
    <row r="7717">
      <c r="C7717" s="1"/>
    </row>
    <row r="7718">
      <c r="C7718" s="1"/>
    </row>
    <row r="7719">
      <c r="C7719" s="1"/>
    </row>
    <row r="7720">
      <c r="C7720" s="1"/>
    </row>
    <row r="7721">
      <c r="C7721" s="1"/>
    </row>
    <row r="7722">
      <c r="C7722" s="1"/>
    </row>
    <row r="7723">
      <c r="C7723" s="1"/>
    </row>
    <row r="7724">
      <c r="C7724" s="1"/>
    </row>
    <row r="7725">
      <c r="C7725" s="1"/>
    </row>
    <row r="7726">
      <c r="C7726" s="1"/>
    </row>
    <row r="7727">
      <c r="C7727" s="1"/>
    </row>
    <row r="7728">
      <c r="C7728" s="1"/>
    </row>
    <row r="7729">
      <c r="C7729" s="1"/>
    </row>
    <row r="7730">
      <c r="C7730" s="1"/>
    </row>
    <row r="7731">
      <c r="C7731" s="1"/>
    </row>
    <row r="7732">
      <c r="C7732" s="1"/>
    </row>
    <row r="7733">
      <c r="C7733" s="1"/>
    </row>
    <row r="7734">
      <c r="C7734" s="1"/>
    </row>
    <row r="7735">
      <c r="C7735" s="1"/>
    </row>
    <row r="7736">
      <c r="C7736" s="1"/>
    </row>
    <row r="7737">
      <c r="C7737" s="1"/>
    </row>
    <row r="7738">
      <c r="C7738" s="1"/>
    </row>
    <row r="7739">
      <c r="C7739" s="1"/>
    </row>
    <row r="7740">
      <c r="C7740" s="1"/>
    </row>
    <row r="7741">
      <c r="C7741" s="1"/>
    </row>
    <row r="7742">
      <c r="C7742" s="1"/>
    </row>
    <row r="7743">
      <c r="C7743" s="1"/>
    </row>
    <row r="7744">
      <c r="C7744" s="1"/>
    </row>
    <row r="7745">
      <c r="C7745" s="1"/>
    </row>
    <row r="7746">
      <c r="C7746" s="1"/>
    </row>
    <row r="7747">
      <c r="C7747" s="1"/>
    </row>
    <row r="7748">
      <c r="C7748" s="1"/>
    </row>
    <row r="7749">
      <c r="C7749" s="1"/>
    </row>
    <row r="7750">
      <c r="C7750" s="1"/>
    </row>
    <row r="7751">
      <c r="C7751" s="1"/>
    </row>
    <row r="7752">
      <c r="C7752" s="1"/>
    </row>
    <row r="7753">
      <c r="C7753" s="1"/>
    </row>
    <row r="7754">
      <c r="C7754" s="1"/>
    </row>
    <row r="7755">
      <c r="C7755" s="1"/>
    </row>
    <row r="7756">
      <c r="C7756" s="1"/>
    </row>
    <row r="7757">
      <c r="C7757" s="1"/>
    </row>
    <row r="7758">
      <c r="C7758" s="1"/>
    </row>
    <row r="7759">
      <c r="C7759" s="1"/>
    </row>
    <row r="7760">
      <c r="C7760" s="1"/>
    </row>
    <row r="7761">
      <c r="C7761" s="1"/>
    </row>
    <row r="7762">
      <c r="C7762" s="1"/>
    </row>
    <row r="7763">
      <c r="C7763" s="1"/>
    </row>
    <row r="7764">
      <c r="C7764" s="1"/>
    </row>
    <row r="7765">
      <c r="C7765" s="1"/>
    </row>
    <row r="7766">
      <c r="C7766" s="1"/>
    </row>
    <row r="7767">
      <c r="C7767" s="1"/>
    </row>
    <row r="7768">
      <c r="C7768" s="1"/>
    </row>
    <row r="7769">
      <c r="C7769" s="1"/>
    </row>
    <row r="7770">
      <c r="C7770" s="1"/>
    </row>
    <row r="7771">
      <c r="C7771" s="1"/>
    </row>
    <row r="7772">
      <c r="C7772" s="1"/>
    </row>
    <row r="7773">
      <c r="C7773" s="1"/>
    </row>
    <row r="7774">
      <c r="C7774" s="1"/>
    </row>
    <row r="7775">
      <c r="C7775" s="1"/>
    </row>
    <row r="7776">
      <c r="C7776" s="1"/>
    </row>
    <row r="7777">
      <c r="C7777" s="1"/>
    </row>
    <row r="7778">
      <c r="C7778" s="1"/>
    </row>
    <row r="7779">
      <c r="C7779" s="1"/>
    </row>
    <row r="7780">
      <c r="C7780" s="1"/>
    </row>
    <row r="7781">
      <c r="C7781" s="1"/>
    </row>
    <row r="7782">
      <c r="C7782" s="1"/>
    </row>
    <row r="7783">
      <c r="C7783" s="1"/>
    </row>
    <row r="7784">
      <c r="C7784" s="1"/>
    </row>
    <row r="7785">
      <c r="C7785" s="1"/>
    </row>
    <row r="7786">
      <c r="C7786" s="1"/>
    </row>
    <row r="7787">
      <c r="C7787" s="1"/>
    </row>
    <row r="7788">
      <c r="C7788" s="1"/>
    </row>
    <row r="7789">
      <c r="C7789" s="1"/>
    </row>
    <row r="7790">
      <c r="C7790" s="1"/>
    </row>
    <row r="7791">
      <c r="C7791" s="1"/>
    </row>
    <row r="7792">
      <c r="C7792" s="1"/>
    </row>
    <row r="7793">
      <c r="C7793" s="1"/>
    </row>
    <row r="7794">
      <c r="C7794" s="1"/>
    </row>
    <row r="7795">
      <c r="C7795" s="1"/>
    </row>
    <row r="7796">
      <c r="C7796" s="1"/>
    </row>
    <row r="7797">
      <c r="C7797" s="1"/>
    </row>
    <row r="7798">
      <c r="C7798" s="1"/>
    </row>
    <row r="7799">
      <c r="C7799" s="1"/>
    </row>
    <row r="7800">
      <c r="C7800" s="1"/>
    </row>
    <row r="7801">
      <c r="C7801" s="1"/>
    </row>
    <row r="7802">
      <c r="C7802" s="1"/>
    </row>
    <row r="7803">
      <c r="C7803" s="1"/>
    </row>
    <row r="7804">
      <c r="C7804" s="1"/>
    </row>
    <row r="7805">
      <c r="C7805" s="1"/>
    </row>
    <row r="7806">
      <c r="C7806" s="1"/>
    </row>
    <row r="7807">
      <c r="C7807" s="1"/>
    </row>
    <row r="7808">
      <c r="C7808" s="1"/>
    </row>
    <row r="7809">
      <c r="C7809" s="1"/>
    </row>
    <row r="7810">
      <c r="C7810" s="1"/>
    </row>
    <row r="7811">
      <c r="C7811" s="1"/>
    </row>
    <row r="7812">
      <c r="C7812" s="1"/>
    </row>
    <row r="7813">
      <c r="C7813" s="1"/>
    </row>
    <row r="7814">
      <c r="C7814" s="1"/>
    </row>
    <row r="7815">
      <c r="C7815" s="1"/>
    </row>
    <row r="7816">
      <c r="C7816" s="1"/>
    </row>
    <row r="7817">
      <c r="C7817" s="1"/>
    </row>
    <row r="7818">
      <c r="C7818" s="1"/>
    </row>
    <row r="7819">
      <c r="C7819" s="1"/>
    </row>
    <row r="7820">
      <c r="C7820" s="1"/>
    </row>
    <row r="7821">
      <c r="C7821" s="1"/>
    </row>
    <row r="7822">
      <c r="C7822" s="1"/>
    </row>
    <row r="7823">
      <c r="C7823" s="1"/>
    </row>
    <row r="7824">
      <c r="C7824" s="1"/>
    </row>
    <row r="7825">
      <c r="C7825" s="1"/>
    </row>
    <row r="7826">
      <c r="C7826" s="1"/>
    </row>
    <row r="7827">
      <c r="C7827" s="1"/>
    </row>
    <row r="7828">
      <c r="C7828" s="1"/>
    </row>
    <row r="7829">
      <c r="C7829" s="1"/>
    </row>
    <row r="7830">
      <c r="C7830" s="1"/>
    </row>
    <row r="7831">
      <c r="C7831" s="1"/>
    </row>
    <row r="7832">
      <c r="C7832" s="1"/>
    </row>
    <row r="7833">
      <c r="C7833" s="1"/>
    </row>
    <row r="7834">
      <c r="C7834" s="1"/>
    </row>
    <row r="7835">
      <c r="C7835" s="1"/>
    </row>
    <row r="7836">
      <c r="C7836" s="1"/>
    </row>
    <row r="7837">
      <c r="C7837" s="1"/>
    </row>
    <row r="7838">
      <c r="C7838" s="1"/>
    </row>
    <row r="7839">
      <c r="C7839" s="1"/>
    </row>
    <row r="7840">
      <c r="C7840" s="1"/>
    </row>
    <row r="7841">
      <c r="C7841" s="1"/>
    </row>
    <row r="7842">
      <c r="C7842" s="1"/>
    </row>
    <row r="7843">
      <c r="C7843" s="1"/>
    </row>
    <row r="7844">
      <c r="C7844" s="1"/>
    </row>
    <row r="7845">
      <c r="C7845" s="1"/>
    </row>
    <row r="7846">
      <c r="C7846" s="1"/>
    </row>
    <row r="7847">
      <c r="C7847" s="1"/>
    </row>
    <row r="7848">
      <c r="C7848" s="1"/>
    </row>
    <row r="7849">
      <c r="C7849" s="1"/>
    </row>
    <row r="7850">
      <c r="C7850" s="1"/>
    </row>
    <row r="7851">
      <c r="C7851" s="1"/>
    </row>
    <row r="7852">
      <c r="C7852" s="1"/>
    </row>
    <row r="7853">
      <c r="C7853" s="1"/>
    </row>
    <row r="7854">
      <c r="C7854" s="1"/>
    </row>
    <row r="7855">
      <c r="C7855" s="1"/>
    </row>
    <row r="7856">
      <c r="C7856" s="1"/>
    </row>
    <row r="7857">
      <c r="C7857" s="1"/>
    </row>
    <row r="7858">
      <c r="C7858" s="1"/>
    </row>
    <row r="7859">
      <c r="C7859" s="1"/>
    </row>
    <row r="7860">
      <c r="C7860" s="1"/>
    </row>
    <row r="7861">
      <c r="C7861" s="1"/>
    </row>
    <row r="7862">
      <c r="C7862" s="1"/>
    </row>
    <row r="7863">
      <c r="C7863" s="1"/>
    </row>
    <row r="7864">
      <c r="C7864" s="1"/>
    </row>
    <row r="7865">
      <c r="C7865" s="1"/>
    </row>
    <row r="7866">
      <c r="C7866" s="1"/>
    </row>
    <row r="7867">
      <c r="C7867" s="1"/>
    </row>
    <row r="7868">
      <c r="C7868" s="1"/>
    </row>
    <row r="7869">
      <c r="C7869" s="1"/>
    </row>
    <row r="7870">
      <c r="C7870" s="1"/>
    </row>
    <row r="7871">
      <c r="C7871" s="1"/>
    </row>
    <row r="7872">
      <c r="C7872" s="1"/>
    </row>
    <row r="7873">
      <c r="C7873" s="1"/>
    </row>
    <row r="7874">
      <c r="C7874" s="1"/>
    </row>
    <row r="7875">
      <c r="C7875" s="1"/>
    </row>
    <row r="7876">
      <c r="C7876" s="1"/>
    </row>
    <row r="7877">
      <c r="C7877" s="1"/>
    </row>
    <row r="7878">
      <c r="C7878" s="1"/>
    </row>
    <row r="7879">
      <c r="C7879" s="1"/>
    </row>
    <row r="7880">
      <c r="C7880" s="1"/>
    </row>
    <row r="7881">
      <c r="C7881" s="1"/>
    </row>
    <row r="7882">
      <c r="C7882" s="1"/>
    </row>
    <row r="7883">
      <c r="C7883" s="1"/>
    </row>
    <row r="7884">
      <c r="C7884" s="1"/>
    </row>
    <row r="7885">
      <c r="C7885" s="1"/>
    </row>
    <row r="7886">
      <c r="C7886" s="1"/>
    </row>
    <row r="7887">
      <c r="C7887" s="1"/>
    </row>
    <row r="7888">
      <c r="C7888" s="1"/>
    </row>
    <row r="7889">
      <c r="C7889" s="1"/>
    </row>
    <row r="7890">
      <c r="C7890" s="1"/>
    </row>
    <row r="7891">
      <c r="C7891" s="1"/>
    </row>
    <row r="7892">
      <c r="C7892" s="1"/>
    </row>
    <row r="7893">
      <c r="C7893" s="1"/>
    </row>
    <row r="7894">
      <c r="C7894" s="1"/>
    </row>
    <row r="7895">
      <c r="C7895" s="1"/>
    </row>
    <row r="7896">
      <c r="C7896" s="1"/>
    </row>
    <row r="7897">
      <c r="C7897" s="1"/>
    </row>
    <row r="7898">
      <c r="C7898" s="1"/>
    </row>
    <row r="7899">
      <c r="C7899" s="1"/>
    </row>
    <row r="7900">
      <c r="C7900" s="1"/>
    </row>
    <row r="7901">
      <c r="C7901" s="1"/>
    </row>
    <row r="7902">
      <c r="C7902" s="1"/>
    </row>
    <row r="7903">
      <c r="C7903" s="1"/>
    </row>
    <row r="7904">
      <c r="C7904" s="1"/>
    </row>
    <row r="7905">
      <c r="C7905" s="1"/>
    </row>
    <row r="7906">
      <c r="C7906" s="1"/>
    </row>
    <row r="7907">
      <c r="C7907" s="1"/>
    </row>
    <row r="7908">
      <c r="C7908" s="1"/>
    </row>
    <row r="7909">
      <c r="C7909" s="1"/>
    </row>
    <row r="7910">
      <c r="C7910" s="1"/>
    </row>
    <row r="7911">
      <c r="C7911" s="1"/>
    </row>
    <row r="7912">
      <c r="C7912" s="1"/>
    </row>
    <row r="7913">
      <c r="C7913" s="1"/>
    </row>
    <row r="7914">
      <c r="C7914" s="1"/>
    </row>
    <row r="7915">
      <c r="C7915" s="1"/>
    </row>
    <row r="7916">
      <c r="C7916" s="1"/>
    </row>
    <row r="7917">
      <c r="C7917" s="1"/>
    </row>
    <row r="7918">
      <c r="C7918" s="1"/>
    </row>
    <row r="7919">
      <c r="C7919" s="1"/>
    </row>
    <row r="7920">
      <c r="C7920" s="1"/>
    </row>
    <row r="7921">
      <c r="C7921" s="1"/>
    </row>
    <row r="7922">
      <c r="C7922" s="1"/>
    </row>
    <row r="7923">
      <c r="C7923" s="1"/>
    </row>
    <row r="7924">
      <c r="C7924" s="1"/>
    </row>
    <row r="7925">
      <c r="C7925" s="1"/>
    </row>
    <row r="7926">
      <c r="C7926" s="1"/>
    </row>
    <row r="7927">
      <c r="C7927" s="1"/>
    </row>
    <row r="7928">
      <c r="C7928" s="1"/>
    </row>
    <row r="7929">
      <c r="C7929" s="1"/>
    </row>
    <row r="7930">
      <c r="C7930" s="1"/>
    </row>
    <row r="7931">
      <c r="C7931" s="1"/>
    </row>
    <row r="7932">
      <c r="C7932" s="1"/>
    </row>
    <row r="7933">
      <c r="C7933" s="1"/>
    </row>
    <row r="7934">
      <c r="C7934" s="1"/>
    </row>
    <row r="7935">
      <c r="C7935" s="1"/>
    </row>
    <row r="7936">
      <c r="C7936" s="1"/>
    </row>
    <row r="7937">
      <c r="C7937" s="1"/>
    </row>
    <row r="7938">
      <c r="C7938" s="1"/>
    </row>
    <row r="7939">
      <c r="C7939" s="1"/>
    </row>
    <row r="7940">
      <c r="C7940" s="1"/>
    </row>
    <row r="7941">
      <c r="C7941" s="1"/>
    </row>
    <row r="7942">
      <c r="C7942" s="1"/>
    </row>
    <row r="7943">
      <c r="C7943" s="1"/>
    </row>
    <row r="7944">
      <c r="C7944" s="1"/>
    </row>
    <row r="7945">
      <c r="C7945" s="1"/>
    </row>
    <row r="7946">
      <c r="C7946" s="1"/>
    </row>
    <row r="7947">
      <c r="C7947" s="1"/>
    </row>
    <row r="7948">
      <c r="C7948" s="1"/>
    </row>
    <row r="7949">
      <c r="C7949" s="1"/>
    </row>
    <row r="7950">
      <c r="C7950" s="1"/>
    </row>
    <row r="7951">
      <c r="C7951" s="1"/>
    </row>
    <row r="7952">
      <c r="C7952" s="1"/>
    </row>
    <row r="7953">
      <c r="C7953" s="1"/>
    </row>
    <row r="7954">
      <c r="C7954" s="1"/>
    </row>
    <row r="7955">
      <c r="C7955" s="1"/>
    </row>
    <row r="7956">
      <c r="C7956" s="1"/>
    </row>
    <row r="7957">
      <c r="C7957" s="1"/>
    </row>
    <row r="7958">
      <c r="C7958" s="1"/>
    </row>
    <row r="7959">
      <c r="C7959" s="1"/>
    </row>
    <row r="7960">
      <c r="C7960" s="1"/>
    </row>
    <row r="7961">
      <c r="C7961" s="1"/>
    </row>
    <row r="7962">
      <c r="C7962" s="1"/>
    </row>
    <row r="7963">
      <c r="C7963" s="1"/>
    </row>
    <row r="7964">
      <c r="C7964" s="1"/>
    </row>
    <row r="7965">
      <c r="C7965" s="1"/>
    </row>
    <row r="7966">
      <c r="C7966" s="1"/>
    </row>
    <row r="7967">
      <c r="C7967" s="1"/>
    </row>
    <row r="7968">
      <c r="C7968" s="1"/>
    </row>
    <row r="7969">
      <c r="C7969" s="1"/>
    </row>
    <row r="7970">
      <c r="C7970" s="1"/>
    </row>
    <row r="7971">
      <c r="C7971" s="1"/>
    </row>
    <row r="7972">
      <c r="C7972" s="1"/>
    </row>
    <row r="7973">
      <c r="C7973" s="1"/>
    </row>
    <row r="7974">
      <c r="C7974" s="1"/>
    </row>
    <row r="7975">
      <c r="C7975" s="1"/>
    </row>
    <row r="7976">
      <c r="C7976" s="1"/>
    </row>
    <row r="7977">
      <c r="C7977" s="1"/>
    </row>
    <row r="7978">
      <c r="C7978" s="1"/>
    </row>
    <row r="7979">
      <c r="C7979" s="1"/>
    </row>
    <row r="7980">
      <c r="C7980" s="1"/>
    </row>
    <row r="7981">
      <c r="C7981" s="1"/>
    </row>
    <row r="7982">
      <c r="C7982" s="1"/>
    </row>
    <row r="7983">
      <c r="C7983" s="1"/>
    </row>
    <row r="7984">
      <c r="C7984" s="1"/>
    </row>
    <row r="7985">
      <c r="C7985" s="1"/>
    </row>
    <row r="7986">
      <c r="C7986" s="1"/>
    </row>
    <row r="7987">
      <c r="C7987" s="1"/>
    </row>
    <row r="7988">
      <c r="C7988" s="1"/>
    </row>
    <row r="7989">
      <c r="C7989" s="1"/>
    </row>
    <row r="7990">
      <c r="C7990" s="1"/>
    </row>
    <row r="7991">
      <c r="C7991" s="1"/>
    </row>
    <row r="7992">
      <c r="C7992" s="1"/>
    </row>
    <row r="7993">
      <c r="C7993" s="1"/>
    </row>
    <row r="7994">
      <c r="C7994" s="1"/>
    </row>
    <row r="7995">
      <c r="C7995" s="1"/>
    </row>
    <row r="7996">
      <c r="C7996" s="1"/>
    </row>
    <row r="7997">
      <c r="C7997" s="1"/>
    </row>
    <row r="7998">
      <c r="C7998" s="1"/>
    </row>
    <row r="7999">
      <c r="C7999" s="1"/>
    </row>
    <row r="8000">
      <c r="C8000" s="1"/>
    </row>
    <row r="8001">
      <c r="C8001" s="1"/>
    </row>
    <row r="8002">
      <c r="C8002" s="1"/>
    </row>
    <row r="8003">
      <c r="C8003" s="1"/>
    </row>
    <row r="8004">
      <c r="C8004" s="1"/>
    </row>
    <row r="8005">
      <c r="C8005" s="1"/>
    </row>
    <row r="8006">
      <c r="C8006" s="1"/>
    </row>
    <row r="8007">
      <c r="C8007" s="1"/>
    </row>
    <row r="8008">
      <c r="C8008" s="1"/>
    </row>
    <row r="8009">
      <c r="C8009" s="1"/>
    </row>
    <row r="8010">
      <c r="C8010" s="1"/>
    </row>
    <row r="8011">
      <c r="C8011" s="1"/>
    </row>
    <row r="8012">
      <c r="C8012" s="1"/>
    </row>
    <row r="8013">
      <c r="C8013" s="1"/>
    </row>
    <row r="8014">
      <c r="C8014" s="1"/>
    </row>
    <row r="8015">
      <c r="C8015" s="1"/>
    </row>
    <row r="8016">
      <c r="C8016" s="1"/>
    </row>
    <row r="8017">
      <c r="C8017" s="1"/>
    </row>
    <row r="8018">
      <c r="C8018" s="1"/>
    </row>
    <row r="8019">
      <c r="C8019" s="1"/>
    </row>
    <row r="8020">
      <c r="C8020" s="1"/>
    </row>
    <row r="8021">
      <c r="C8021" s="1"/>
    </row>
    <row r="8022">
      <c r="C8022" s="1"/>
    </row>
    <row r="8023">
      <c r="C8023" s="1"/>
    </row>
    <row r="8024">
      <c r="C8024" s="1"/>
    </row>
    <row r="8025">
      <c r="C8025" s="1"/>
    </row>
    <row r="8026">
      <c r="C8026" s="1"/>
    </row>
    <row r="8027">
      <c r="C8027" s="1"/>
    </row>
    <row r="8028">
      <c r="C8028" s="1"/>
    </row>
    <row r="8029">
      <c r="C8029" s="1"/>
    </row>
    <row r="8030">
      <c r="C8030" s="1"/>
    </row>
    <row r="8031">
      <c r="C8031" s="1"/>
    </row>
    <row r="8032">
      <c r="C8032" s="1"/>
    </row>
    <row r="8033">
      <c r="C8033" s="1"/>
    </row>
    <row r="8034">
      <c r="C8034" s="1"/>
    </row>
    <row r="8035">
      <c r="C8035" s="1"/>
    </row>
    <row r="8036">
      <c r="C8036" s="1"/>
    </row>
    <row r="8037">
      <c r="C8037" s="1"/>
    </row>
    <row r="8038">
      <c r="C8038" s="1"/>
    </row>
    <row r="8039">
      <c r="C8039" s="1"/>
    </row>
    <row r="8040">
      <c r="C8040" s="1"/>
    </row>
    <row r="8041">
      <c r="C8041" s="1"/>
    </row>
    <row r="8042">
      <c r="C8042" s="1"/>
    </row>
    <row r="8043">
      <c r="C8043" s="1"/>
    </row>
    <row r="8044">
      <c r="C8044" s="1"/>
    </row>
    <row r="8045">
      <c r="C8045" s="1"/>
    </row>
    <row r="8046">
      <c r="C8046" s="1"/>
    </row>
    <row r="8047">
      <c r="C8047" s="1"/>
    </row>
    <row r="8048">
      <c r="C8048" s="1"/>
    </row>
    <row r="8049">
      <c r="C8049" s="1"/>
    </row>
    <row r="8050">
      <c r="C8050" s="1"/>
    </row>
    <row r="8051">
      <c r="C8051" s="1"/>
    </row>
    <row r="8052">
      <c r="C8052" s="1"/>
    </row>
    <row r="8053">
      <c r="C8053" s="1"/>
    </row>
    <row r="8054">
      <c r="C8054" s="1"/>
    </row>
    <row r="8055">
      <c r="C8055" s="1"/>
    </row>
    <row r="8056">
      <c r="C8056" s="1"/>
    </row>
    <row r="8057">
      <c r="C8057" s="1"/>
    </row>
    <row r="8058">
      <c r="C8058" s="1"/>
    </row>
    <row r="8059">
      <c r="C8059" s="1"/>
    </row>
    <row r="8060">
      <c r="C8060" s="1"/>
    </row>
    <row r="8061">
      <c r="C8061" s="1"/>
    </row>
    <row r="8062">
      <c r="C8062" s="1"/>
    </row>
    <row r="8063">
      <c r="C8063" s="1"/>
    </row>
    <row r="8064">
      <c r="C8064" s="1"/>
    </row>
    <row r="8065">
      <c r="C8065" s="1"/>
    </row>
    <row r="8066">
      <c r="C8066" s="1"/>
    </row>
    <row r="8067">
      <c r="C8067" s="1"/>
    </row>
    <row r="8068">
      <c r="C8068" s="1"/>
    </row>
    <row r="8069">
      <c r="C8069" s="1"/>
    </row>
    <row r="8070">
      <c r="C8070" s="1"/>
    </row>
    <row r="8071">
      <c r="C8071" s="1"/>
    </row>
    <row r="8072">
      <c r="C8072" s="1"/>
    </row>
    <row r="8073">
      <c r="C8073" s="1"/>
    </row>
    <row r="8074">
      <c r="C8074" s="1"/>
    </row>
    <row r="8075">
      <c r="C8075" s="1"/>
    </row>
    <row r="8076">
      <c r="C8076" s="1"/>
    </row>
    <row r="8077">
      <c r="C8077" s="1"/>
    </row>
    <row r="8078">
      <c r="C8078" s="1"/>
    </row>
    <row r="8079">
      <c r="C8079" s="1"/>
    </row>
    <row r="8080">
      <c r="C8080" s="1"/>
    </row>
    <row r="8081">
      <c r="C8081" s="1"/>
    </row>
    <row r="8082">
      <c r="C8082" s="1"/>
    </row>
    <row r="8083">
      <c r="C8083" s="1"/>
    </row>
    <row r="8084">
      <c r="C8084" s="1"/>
    </row>
    <row r="8085">
      <c r="C8085" s="1"/>
    </row>
    <row r="8086">
      <c r="C8086" s="1"/>
    </row>
    <row r="8087">
      <c r="C8087" s="1"/>
    </row>
    <row r="8088">
      <c r="C8088" s="1"/>
    </row>
    <row r="8089">
      <c r="C8089" s="1"/>
    </row>
    <row r="8090">
      <c r="C8090" s="1"/>
    </row>
    <row r="8091">
      <c r="C8091" s="1"/>
    </row>
    <row r="8092">
      <c r="C8092" s="1"/>
    </row>
    <row r="8093">
      <c r="C8093" s="1"/>
    </row>
    <row r="8094">
      <c r="C8094" s="1"/>
    </row>
    <row r="8095">
      <c r="C8095" s="1"/>
    </row>
    <row r="8096">
      <c r="C8096" s="1"/>
    </row>
    <row r="8097">
      <c r="C8097" s="1"/>
    </row>
    <row r="8098">
      <c r="C8098" s="1"/>
    </row>
    <row r="8099">
      <c r="C8099" s="1"/>
    </row>
    <row r="8100">
      <c r="C8100" s="1"/>
    </row>
    <row r="8101">
      <c r="C8101" s="1"/>
    </row>
    <row r="8102">
      <c r="C8102" s="1"/>
    </row>
    <row r="8103">
      <c r="C8103" s="1"/>
    </row>
    <row r="8104">
      <c r="C8104" s="1"/>
    </row>
    <row r="8105">
      <c r="C8105" s="1"/>
    </row>
    <row r="8106">
      <c r="C8106" s="1"/>
    </row>
    <row r="8107">
      <c r="C8107" s="1"/>
    </row>
    <row r="8108">
      <c r="C8108" s="1"/>
    </row>
    <row r="8109">
      <c r="C8109" s="1"/>
    </row>
    <row r="8110">
      <c r="C8110" s="1"/>
    </row>
    <row r="8111">
      <c r="C8111" s="1"/>
    </row>
    <row r="8112">
      <c r="C8112" s="1"/>
    </row>
    <row r="8113">
      <c r="C8113" s="1"/>
    </row>
    <row r="8114">
      <c r="C8114" s="1"/>
    </row>
    <row r="8115">
      <c r="C8115" s="1"/>
    </row>
    <row r="8116">
      <c r="C8116" s="1"/>
    </row>
    <row r="8117">
      <c r="C8117" s="1"/>
    </row>
    <row r="8118">
      <c r="C8118" s="1"/>
    </row>
    <row r="8119">
      <c r="C8119" s="1"/>
    </row>
    <row r="8120">
      <c r="C8120" s="1"/>
    </row>
    <row r="8121">
      <c r="C8121" s="1"/>
    </row>
    <row r="8122">
      <c r="C8122" s="1"/>
    </row>
    <row r="8123">
      <c r="C8123" s="1"/>
    </row>
    <row r="8124">
      <c r="C8124" s="1"/>
    </row>
    <row r="8125">
      <c r="C8125" s="1"/>
    </row>
    <row r="8126">
      <c r="C8126" s="1"/>
    </row>
    <row r="8127">
      <c r="C8127" s="1"/>
    </row>
    <row r="8128">
      <c r="C8128" s="1"/>
    </row>
    <row r="8129">
      <c r="C8129" s="1"/>
    </row>
    <row r="8130">
      <c r="C8130" s="1"/>
    </row>
    <row r="8131">
      <c r="C8131" s="1"/>
    </row>
    <row r="8132">
      <c r="C8132" s="1"/>
    </row>
    <row r="8133">
      <c r="C8133" s="1"/>
    </row>
    <row r="8134">
      <c r="C8134" s="1"/>
    </row>
    <row r="8135">
      <c r="C8135" s="1"/>
    </row>
    <row r="8136">
      <c r="C8136" s="1"/>
    </row>
    <row r="8137">
      <c r="C8137" s="1"/>
    </row>
    <row r="8138">
      <c r="C8138" s="1"/>
    </row>
    <row r="8139">
      <c r="C8139" s="1"/>
    </row>
    <row r="8140">
      <c r="C8140" s="1"/>
    </row>
    <row r="8141">
      <c r="C8141" s="1"/>
    </row>
    <row r="8142">
      <c r="C8142" s="1"/>
    </row>
    <row r="8143">
      <c r="C8143" s="1"/>
    </row>
    <row r="8144">
      <c r="C8144" s="1"/>
    </row>
    <row r="8145">
      <c r="C8145" s="1"/>
    </row>
    <row r="8146">
      <c r="C8146" s="1"/>
    </row>
    <row r="8147">
      <c r="C8147" s="1"/>
    </row>
    <row r="8148">
      <c r="C8148" s="1"/>
    </row>
    <row r="8149">
      <c r="C8149" s="1"/>
    </row>
    <row r="8150">
      <c r="C8150" s="1"/>
    </row>
    <row r="8151">
      <c r="C8151" s="1"/>
    </row>
    <row r="8152">
      <c r="C8152" s="1"/>
    </row>
    <row r="8153">
      <c r="C8153" s="1"/>
    </row>
    <row r="8154">
      <c r="C8154" s="1"/>
    </row>
    <row r="8155">
      <c r="C8155" s="1"/>
    </row>
    <row r="8156">
      <c r="C8156" s="1"/>
    </row>
    <row r="8157">
      <c r="C8157" s="1"/>
    </row>
    <row r="8158">
      <c r="C8158" s="1"/>
    </row>
    <row r="8159">
      <c r="C8159" s="1"/>
    </row>
    <row r="8160">
      <c r="C8160" s="1"/>
    </row>
    <row r="8161">
      <c r="C8161" s="1"/>
    </row>
    <row r="8162">
      <c r="C8162" s="1"/>
    </row>
    <row r="8163">
      <c r="C8163" s="1"/>
    </row>
    <row r="8164">
      <c r="C8164" s="1"/>
    </row>
    <row r="8165">
      <c r="C8165" s="1"/>
    </row>
    <row r="8166">
      <c r="C8166" s="1"/>
    </row>
    <row r="8167">
      <c r="C8167" s="1"/>
    </row>
    <row r="8168">
      <c r="C8168" s="1"/>
    </row>
    <row r="8169">
      <c r="C8169" s="1"/>
    </row>
    <row r="8170">
      <c r="C8170" s="1"/>
    </row>
    <row r="8171">
      <c r="C8171" s="1"/>
    </row>
    <row r="8172">
      <c r="C8172" s="1"/>
    </row>
    <row r="8173">
      <c r="C8173" s="1"/>
    </row>
    <row r="8174">
      <c r="C8174" s="1"/>
    </row>
    <row r="8175">
      <c r="C8175" s="1"/>
    </row>
    <row r="8176">
      <c r="C8176" s="1"/>
    </row>
    <row r="8177">
      <c r="C8177" s="1"/>
    </row>
    <row r="8178">
      <c r="C8178" s="1"/>
    </row>
    <row r="8179">
      <c r="C8179" s="1"/>
    </row>
    <row r="8180">
      <c r="C8180" s="1"/>
    </row>
    <row r="8181">
      <c r="C8181" s="1"/>
    </row>
    <row r="8182">
      <c r="C8182" s="1"/>
    </row>
    <row r="8183">
      <c r="C8183" s="1"/>
    </row>
    <row r="8184">
      <c r="C8184" s="1"/>
    </row>
    <row r="8185">
      <c r="C8185" s="1"/>
    </row>
    <row r="8186">
      <c r="C8186" s="1"/>
    </row>
    <row r="8187">
      <c r="C8187" s="1"/>
    </row>
    <row r="8188">
      <c r="C8188" s="1"/>
    </row>
    <row r="8189">
      <c r="C8189" s="1"/>
    </row>
    <row r="8190">
      <c r="C8190" s="1"/>
    </row>
    <row r="8191">
      <c r="C8191" s="1"/>
    </row>
    <row r="8192">
      <c r="C8192" s="1"/>
    </row>
    <row r="8193">
      <c r="C8193" s="1"/>
    </row>
    <row r="8194">
      <c r="C8194" s="1"/>
    </row>
    <row r="8195">
      <c r="C8195" s="1"/>
    </row>
    <row r="8196">
      <c r="C8196" s="1"/>
    </row>
    <row r="8197">
      <c r="C8197" s="1"/>
    </row>
    <row r="8198">
      <c r="C8198" s="1"/>
    </row>
    <row r="8199">
      <c r="C8199" s="1"/>
    </row>
    <row r="8200">
      <c r="C8200" s="1"/>
    </row>
    <row r="8201">
      <c r="C8201" s="1"/>
    </row>
    <row r="8202">
      <c r="C8202" s="1"/>
    </row>
    <row r="8203">
      <c r="C8203" s="1"/>
    </row>
    <row r="8204">
      <c r="C8204" s="1"/>
    </row>
    <row r="8205">
      <c r="C8205" s="1"/>
    </row>
    <row r="8206">
      <c r="C8206" s="1"/>
    </row>
    <row r="8207">
      <c r="C8207" s="1"/>
    </row>
    <row r="8208">
      <c r="C8208" s="1"/>
    </row>
    <row r="8209">
      <c r="C8209" s="1"/>
    </row>
    <row r="8210">
      <c r="C8210" s="1"/>
    </row>
    <row r="8211">
      <c r="C8211" s="1"/>
    </row>
    <row r="8212">
      <c r="C8212" s="1"/>
    </row>
    <row r="8213">
      <c r="C8213" s="1"/>
    </row>
    <row r="8214">
      <c r="C8214" s="1"/>
    </row>
    <row r="8215">
      <c r="C8215" s="1"/>
    </row>
    <row r="8216">
      <c r="C8216" s="1"/>
    </row>
    <row r="8217">
      <c r="C8217" s="1"/>
    </row>
    <row r="8218">
      <c r="C8218" s="1"/>
    </row>
    <row r="8219">
      <c r="C8219" s="1"/>
    </row>
    <row r="8220">
      <c r="C8220" s="1"/>
    </row>
    <row r="8221">
      <c r="C8221" s="1"/>
    </row>
    <row r="8222">
      <c r="C8222" s="1"/>
    </row>
    <row r="8223">
      <c r="C8223" s="1"/>
    </row>
    <row r="8224">
      <c r="C8224" s="1"/>
    </row>
    <row r="8225">
      <c r="C8225" s="1"/>
    </row>
    <row r="8226">
      <c r="C8226" s="1"/>
    </row>
    <row r="8227">
      <c r="C8227" s="1"/>
    </row>
    <row r="8228">
      <c r="C8228" s="1"/>
    </row>
    <row r="8229">
      <c r="C8229" s="1"/>
    </row>
    <row r="8230">
      <c r="C8230" s="1"/>
    </row>
    <row r="8231">
      <c r="C8231" s="1"/>
    </row>
    <row r="8232">
      <c r="C8232" s="1"/>
    </row>
    <row r="8233">
      <c r="C8233" s="1"/>
    </row>
    <row r="8234">
      <c r="C8234" s="1"/>
    </row>
    <row r="8235">
      <c r="C8235" s="1"/>
    </row>
    <row r="8236">
      <c r="C8236" s="1"/>
    </row>
    <row r="8237">
      <c r="C8237" s="1"/>
    </row>
    <row r="8238">
      <c r="C8238" s="1"/>
    </row>
    <row r="8239">
      <c r="C8239" s="1"/>
    </row>
    <row r="8240">
      <c r="C8240" s="1"/>
    </row>
    <row r="8241">
      <c r="C8241" s="1"/>
    </row>
    <row r="8242">
      <c r="C8242" s="1"/>
    </row>
    <row r="8243">
      <c r="C8243" s="1"/>
    </row>
    <row r="8244">
      <c r="C8244" s="1"/>
    </row>
    <row r="8245">
      <c r="C8245" s="1"/>
    </row>
    <row r="8246">
      <c r="C8246" s="1"/>
    </row>
    <row r="8247">
      <c r="C8247" s="1"/>
    </row>
    <row r="8248">
      <c r="C8248" s="1"/>
    </row>
    <row r="8249">
      <c r="C8249" s="1"/>
    </row>
    <row r="8250">
      <c r="C8250" s="1"/>
    </row>
    <row r="8251">
      <c r="C8251" s="1"/>
    </row>
    <row r="8252">
      <c r="C8252" s="1"/>
    </row>
    <row r="8253">
      <c r="C8253" s="1"/>
    </row>
    <row r="8254">
      <c r="C8254" s="1"/>
    </row>
    <row r="8255">
      <c r="C8255" s="1"/>
    </row>
    <row r="8256">
      <c r="C8256" s="1"/>
    </row>
    <row r="8257">
      <c r="C8257" s="1"/>
    </row>
    <row r="8258">
      <c r="C8258" s="1"/>
    </row>
    <row r="8259">
      <c r="C8259" s="1"/>
    </row>
    <row r="8260">
      <c r="C8260" s="1"/>
    </row>
    <row r="8261">
      <c r="C8261" s="1"/>
    </row>
    <row r="8262">
      <c r="C8262" s="1"/>
    </row>
    <row r="8263">
      <c r="C8263" s="1"/>
    </row>
    <row r="8264">
      <c r="C8264" s="1"/>
    </row>
    <row r="8265">
      <c r="C8265" s="1"/>
    </row>
    <row r="8266">
      <c r="C8266" s="1"/>
    </row>
    <row r="8267">
      <c r="C8267" s="1"/>
    </row>
    <row r="8268">
      <c r="C8268" s="1"/>
    </row>
    <row r="8269">
      <c r="C8269" s="1"/>
    </row>
    <row r="8270">
      <c r="C8270" s="1"/>
    </row>
    <row r="8271">
      <c r="C8271" s="1"/>
    </row>
    <row r="8272">
      <c r="C8272" s="1"/>
    </row>
    <row r="8273">
      <c r="C8273" s="1"/>
    </row>
    <row r="8274">
      <c r="C8274" s="1"/>
    </row>
    <row r="8275">
      <c r="C8275" s="1"/>
    </row>
    <row r="8276">
      <c r="C8276" s="1"/>
    </row>
    <row r="8277">
      <c r="C8277" s="1"/>
    </row>
    <row r="8278">
      <c r="C8278" s="1"/>
    </row>
    <row r="8279">
      <c r="C8279" s="1"/>
    </row>
    <row r="8280">
      <c r="C8280" s="1"/>
    </row>
    <row r="8281">
      <c r="C8281" s="1"/>
    </row>
    <row r="8282">
      <c r="C8282" s="1"/>
    </row>
    <row r="8283">
      <c r="C8283" s="1"/>
    </row>
    <row r="8284">
      <c r="C8284" s="1"/>
    </row>
    <row r="8285">
      <c r="C8285" s="1"/>
    </row>
    <row r="8286">
      <c r="C8286" s="1"/>
    </row>
    <row r="8287">
      <c r="C8287" s="1"/>
    </row>
    <row r="8288">
      <c r="C8288" s="1"/>
    </row>
    <row r="8289">
      <c r="C8289" s="1"/>
    </row>
    <row r="8290">
      <c r="C8290" s="1"/>
    </row>
    <row r="8291">
      <c r="C8291" s="1"/>
    </row>
    <row r="8292">
      <c r="C8292" s="1"/>
    </row>
    <row r="8293">
      <c r="C8293" s="1"/>
    </row>
    <row r="8294">
      <c r="C8294" s="1"/>
    </row>
    <row r="8295">
      <c r="C8295" s="1"/>
    </row>
    <row r="8296">
      <c r="C8296" s="1"/>
    </row>
    <row r="8297">
      <c r="C8297" s="1"/>
    </row>
    <row r="8298">
      <c r="C8298" s="1"/>
    </row>
    <row r="8299">
      <c r="C8299" s="1"/>
    </row>
    <row r="8300">
      <c r="C8300" s="1"/>
    </row>
    <row r="8301">
      <c r="C8301" s="1"/>
    </row>
    <row r="8302">
      <c r="C8302" s="1"/>
    </row>
    <row r="8303">
      <c r="C8303" s="1"/>
    </row>
    <row r="8304">
      <c r="C8304" s="1"/>
    </row>
    <row r="8305">
      <c r="C8305" s="1"/>
    </row>
    <row r="8306">
      <c r="C8306" s="1"/>
    </row>
    <row r="8307">
      <c r="C8307" s="1"/>
    </row>
    <row r="8308">
      <c r="C8308" s="1"/>
    </row>
    <row r="8309">
      <c r="C8309" s="1"/>
    </row>
    <row r="8310">
      <c r="C8310" s="1"/>
    </row>
    <row r="8311">
      <c r="C8311" s="1"/>
    </row>
    <row r="8312">
      <c r="C8312" s="1"/>
    </row>
    <row r="8313">
      <c r="C8313" s="1"/>
    </row>
    <row r="8314">
      <c r="C8314" s="1"/>
    </row>
    <row r="8315">
      <c r="C8315" s="1"/>
    </row>
    <row r="8316">
      <c r="C8316" s="1"/>
    </row>
    <row r="8317">
      <c r="C8317" s="1"/>
    </row>
    <row r="8318">
      <c r="C8318" s="1"/>
    </row>
    <row r="8319">
      <c r="C8319" s="1"/>
    </row>
    <row r="8320">
      <c r="C8320" s="1"/>
    </row>
    <row r="8321">
      <c r="C8321" s="1"/>
    </row>
    <row r="8322">
      <c r="C8322" s="1"/>
    </row>
    <row r="8323">
      <c r="C8323" s="1"/>
    </row>
    <row r="8324">
      <c r="C8324" s="1"/>
    </row>
    <row r="8325">
      <c r="C8325" s="1"/>
    </row>
    <row r="8326">
      <c r="C8326" s="1"/>
    </row>
    <row r="8327">
      <c r="C8327" s="1"/>
    </row>
    <row r="8328">
      <c r="C8328" s="1"/>
    </row>
    <row r="8329">
      <c r="C8329" s="1"/>
    </row>
    <row r="8330">
      <c r="C8330" s="1"/>
    </row>
    <row r="8331">
      <c r="C8331" s="1"/>
    </row>
    <row r="8332">
      <c r="C8332" s="1"/>
    </row>
    <row r="8333">
      <c r="C8333" s="1"/>
    </row>
    <row r="8334">
      <c r="C8334" s="1"/>
    </row>
    <row r="8335">
      <c r="C8335" s="1"/>
    </row>
    <row r="8336">
      <c r="C8336" s="1"/>
    </row>
    <row r="8337">
      <c r="C8337" s="1"/>
    </row>
    <row r="8338">
      <c r="C8338" s="1"/>
    </row>
    <row r="8339">
      <c r="C8339" s="1"/>
    </row>
    <row r="8340">
      <c r="C8340" s="1"/>
    </row>
    <row r="8341">
      <c r="C8341" s="1"/>
    </row>
    <row r="8342">
      <c r="C8342" s="1"/>
    </row>
    <row r="8343">
      <c r="C8343" s="1"/>
    </row>
    <row r="8344">
      <c r="C8344" s="1"/>
    </row>
    <row r="8345">
      <c r="C8345" s="1"/>
    </row>
    <row r="8346">
      <c r="C8346" s="1"/>
    </row>
    <row r="8347">
      <c r="C8347" s="1"/>
    </row>
    <row r="8348">
      <c r="C8348" s="1"/>
    </row>
    <row r="8349">
      <c r="C8349" s="1"/>
    </row>
    <row r="8350">
      <c r="C8350" s="1"/>
    </row>
    <row r="8351">
      <c r="C8351" s="1"/>
    </row>
    <row r="8352">
      <c r="C8352" s="1"/>
    </row>
    <row r="8353">
      <c r="C8353" s="1"/>
    </row>
    <row r="8354">
      <c r="C8354" s="1"/>
    </row>
    <row r="8355">
      <c r="C8355" s="1"/>
    </row>
    <row r="8356">
      <c r="C8356" s="1"/>
    </row>
    <row r="8357">
      <c r="C8357" s="1"/>
    </row>
    <row r="8358">
      <c r="C8358" s="1"/>
    </row>
    <row r="8359">
      <c r="C8359" s="1"/>
    </row>
    <row r="8360">
      <c r="C8360" s="1"/>
    </row>
    <row r="8361">
      <c r="C8361" s="1"/>
    </row>
    <row r="8362">
      <c r="C8362" s="1"/>
    </row>
    <row r="8363">
      <c r="C8363" s="1"/>
    </row>
    <row r="8364">
      <c r="C8364" s="1"/>
    </row>
    <row r="8365">
      <c r="C8365" s="1"/>
    </row>
    <row r="8366">
      <c r="C8366" s="1"/>
    </row>
    <row r="8367">
      <c r="C8367" s="1"/>
    </row>
    <row r="8368">
      <c r="C8368" s="1"/>
    </row>
    <row r="8369">
      <c r="C8369" s="1"/>
    </row>
    <row r="8370">
      <c r="C8370" s="1"/>
    </row>
    <row r="8371">
      <c r="C8371" s="1"/>
    </row>
    <row r="8372">
      <c r="C8372" s="1"/>
    </row>
    <row r="8373">
      <c r="C8373" s="1"/>
    </row>
    <row r="8374">
      <c r="C8374" s="1"/>
    </row>
    <row r="8375">
      <c r="C8375" s="1"/>
    </row>
    <row r="8376">
      <c r="C8376" s="1"/>
    </row>
    <row r="8377">
      <c r="C8377" s="1"/>
    </row>
    <row r="8378">
      <c r="C8378" s="1"/>
    </row>
    <row r="8379">
      <c r="C8379" s="1"/>
    </row>
    <row r="8380">
      <c r="C8380" s="1"/>
    </row>
    <row r="8381">
      <c r="C8381" s="1"/>
    </row>
    <row r="8382">
      <c r="C8382" s="1"/>
    </row>
    <row r="8383">
      <c r="C8383" s="1"/>
    </row>
    <row r="8384">
      <c r="C8384" s="1"/>
    </row>
    <row r="8385">
      <c r="C8385" s="1"/>
    </row>
    <row r="8386">
      <c r="C8386" s="1"/>
    </row>
    <row r="8387">
      <c r="C8387" s="1"/>
    </row>
    <row r="8388">
      <c r="C8388" s="1"/>
    </row>
    <row r="8389">
      <c r="C8389" s="1"/>
    </row>
    <row r="8390">
      <c r="C8390" s="1"/>
    </row>
    <row r="8391">
      <c r="C8391" s="1"/>
    </row>
    <row r="8392">
      <c r="C8392" s="1"/>
    </row>
    <row r="8393">
      <c r="C8393" s="1"/>
    </row>
    <row r="8394">
      <c r="C8394" s="1"/>
    </row>
    <row r="8395">
      <c r="C8395" s="1"/>
    </row>
    <row r="8396">
      <c r="C8396" s="1"/>
    </row>
    <row r="8397">
      <c r="C8397" s="1"/>
    </row>
    <row r="8398">
      <c r="C8398" s="1"/>
    </row>
    <row r="8399">
      <c r="C8399" s="1"/>
    </row>
    <row r="8400">
      <c r="C8400" s="1"/>
    </row>
    <row r="8401">
      <c r="C8401" s="1"/>
    </row>
    <row r="8402">
      <c r="C8402" s="1"/>
    </row>
    <row r="8403">
      <c r="C8403" s="1"/>
    </row>
    <row r="8404">
      <c r="C8404" s="1"/>
    </row>
    <row r="8405">
      <c r="C8405" s="1"/>
    </row>
    <row r="8406">
      <c r="C8406" s="1"/>
    </row>
    <row r="8407">
      <c r="C8407" s="1"/>
    </row>
    <row r="8408">
      <c r="C8408" s="1"/>
    </row>
    <row r="8409">
      <c r="C8409" s="1"/>
    </row>
    <row r="8410">
      <c r="C8410" s="1"/>
    </row>
    <row r="8411">
      <c r="C8411" s="1"/>
    </row>
    <row r="8412">
      <c r="C8412" s="1"/>
    </row>
    <row r="8413">
      <c r="C8413" s="1"/>
    </row>
    <row r="8414">
      <c r="C8414" s="1"/>
    </row>
    <row r="8415">
      <c r="C8415" s="1"/>
    </row>
    <row r="8416">
      <c r="C8416" s="1"/>
    </row>
    <row r="8417">
      <c r="C8417" s="1"/>
    </row>
    <row r="8418">
      <c r="C8418" s="1"/>
    </row>
    <row r="8419">
      <c r="C8419" s="1"/>
    </row>
    <row r="8420">
      <c r="C8420" s="1"/>
    </row>
    <row r="8421">
      <c r="C8421" s="1"/>
    </row>
    <row r="8422">
      <c r="C8422" s="1"/>
    </row>
    <row r="8423">
      <c r="C8423" s="1"/>
    </row>
    <row r="8424">
      <c r="C8424" s="1"/>
    </row>
    <row r="8425">
      <c r="C8425" s="1"/>
    </row>
    <row r="8426">
      <c r="C8426" s="1"/>
    </row>
    <row r="8427">
      <c r="C8427" s="1"/>
    </row>
    <row r="8428">
      <c r="C8428" s="1"/>
    </row>
    <row r="8429">
      <c r="C8429" s="1"/>
    </row>
    <row r="8430">
      <c r="C8430" s="1"/>
    </row>
    <row r="8431">
      <c r="C8431" s="1"/>
    </row>
    <row r="8432">
      <c r="C8432" s="1"/>
    </row>
    <row r="8433">
      <c r="C8433" s="1"/>
    </row>
    <row r="8434">
      <c r="C8434" s="1"/>
    </row>
    <row r="8435">
      <c r="C8435" s="1"/>
    </row>
    <row r="8436">
      <c r="C8436" s="1"/>
    </row>
    <row r="8437">
      <c r="C8437" s="1"/>
    </row>
    <row r="8438">
      <c r="C8438" s="1"/>
    </row>
    <row r="8439">
      <c r="C8439" s="1"/>
    </row>
    <row r="8440">
      <c r="C8440" s="1"/>
    </row>
    <row r="8441">
      <c r="C8441" s="1"/>
    </row>
    <row r="8442">
      <c r="C8442" s="1"/>
    </row>
    <row r="8443">
      <c r="C8443" s="1"/>
    </row>
    <row r="8444">
      <c r="C8444" s="1"/>
    </row>
    <row r="8445">
      <c r="C8445" s="1"/>
    </row>
    <row r="8446">
      <c r="C8446" s="1"/>
    </row>
    <row r="8447">
      <c r="C8447" s="1"/>
    </row>
    <row r="8448">
      <c r="C8448" s="1"/>
    </row>
    <row r="8449">
      <c r="C8449" s="1"/>
    </row>
    <row r="8450">
      <c r="C8450" s="1"/>
    </row>
    <row r="8451">
      <c r="C8451" s="1"/>
    </row>
    <row r="8452">
      <c r="C8452" s="1"/>
    </row>
    <row r="8453">
      <c r="C8453" s="1"/>
    </row>
    <row r="8454">
      <c r="C8454" s="1"/>
    </row>
    <row r="8455">
      <c r="C8455" s="1"/>
    </row>
    <row r="8456">
      <c r="C8456" s="1"/>
    </row>
    <row r="8457">
      <c r="C8457" s="1"/>
    </row>
    <row r="8458">
      <c r="C8458" s="1"/>
    </row>
    <row r="8459">
      <c r="C8459" s="1"/>
    </row>
    <row r="8460">
      <c r="C8460" s="1"/>
    </row>
    <row r="8461">
      <c r="C8461" s="1"/>
    </row>
    <row r="8462">
      <c r="C8462" s="1"/>
    </row>
    <row r="8463">
      <c r="C8463" s="1"/>
    </row>
    <row r="8464">
      <c r="C8464" s="1"/>
    </row>
    <row r="8465">
      <c r="C8465" s="1"/>
    </row>
    <row r="8466">
      <c r="C8466" s="1"/>
    </row>
    <row r="8467">
      <c r="C8467" s="1"/>
    </row>
    <row r="8468">
      <c r="C8468" s="1"/>
    </row>
    <row r="8469">
      <c r="C8469" s="1"/>
    </row>
    <row r="8470">
      <c r="C8470" s="1"/>
    </row>
    <row r="8471">
      <c r="C8471" s="1"/>
    </row>
    <row r="8472">
      <c r="C8472" s="1"/>
    </row>
    <row r="8473">
      <c r="C8473" s="1"/>
    </row>
    <row r="8474">
      <c r="C8474" s="1"/>
    </row>
    <row r="8475">
      <c r="C8475" s="1"/>
    </row>
    <row r="8476">
      <c r="C8476" s="1"/>
    </row>
    <row r="8477">
      <c r="C8477" s="1"/>
    </row>
    <row r="8478">
      <c r="C8478" s="1"/>
    </row>
    <row r="8479">
      <c r="C8479" s="1"/>
    </row>
    <row r="8480">
      <c r="C8480" s="1"/>
    </row>
    <row r="8481">
      <c r="C8481" s="1"/>
    </row>
    <row r="8482">
      <c r="C8482" s="1"/>
    </row>
    <row r="8483">
      <c r="C8483" s="1"/>
    </row>
    <row r="8484">
      <c r="C8484" s="1"/>
    </row>
    <row r="8485">
      <c r="C8485" s="1"/>
    </row>
    <row r="8486">
      <c r="C8486" s="1"/>
    </row>
    <row r="8487">
      <c r="C8487" s="1"/>
    </row>
    <row r="8488">
      <c r="C8488" s="1"/>
    </row>
    <row r="8489">
      <c r="C8489" s="1"/>
    </row>
    <row r="8490">
      <c r="C8490" s="1"/>
    </row>
    <row r="8491">
      <c r="C8491" s="1"/>
    </row>
    <row r="8492">
      <c r="C8492" s="1"/>
    </row>
    <row r="8493">
      <c r="C8493" s="1"/>
    </row>
    <row r="8494">
      <c r="C8494" s="1"/>
    </row>
    <row r="8495">
      <c r="C8495" s="1"/>
    </row>
    <row r="8496">
      <c r="C8496" s="1"/>
    </row>
    <row r="8497">
      <c r="C8497" s="1"/>
    </row>
    <row r="8498">
      <c r="C8498" s="1"/>
    </row>
    <row r="8499">
      <c r="C8499" s="1"/>
    </row>
    <row r="8500">
      <c r="C8500" s="1"/>
    </row>
    <row r="8501">
      <c r="C8501" s="1"/>
    </row>
    <row r="8502">
      <c r="C8502" s="1"/>
    </row>
    <row r="8503">
      <c r="C8503" s="1"/>
    </row>
    <row r="8504">
      <c r="C8504" s="1"/>
    </row>
    <row r="8505">
      <c r="C8505" s="1"/>
    </row>
    <row r="8506">
      <c r="C8506" s="1"/>
    </row>
    <row r="8507">
      <c r="C8507" s="1"/>
    </row>
    <row r="8508">
      <c r="C8508" s="1"/>
    </row>
    <row r="8509">
      <c r="C8509" s="1"/>
    </row>
    <row r="8510">
      <c r="C8510" s="1"/>
    </row>
    <row r="8511">
      <c r="C8511" s="1"/>
    </row>
    <row r="8512">
      <c r="C8512" s="1"/>
    </row>
    <row r="8513">
      <c r="C8513" s="1"/>
    </row>
    <row r="8514">
      <c r="C8514" s="1"/>
    </row>
    <row r="8515">
      <c r="C8515" s="1"/>
    </row>
    <row r="8516">
      <c r="C8516" s="1"/>
    </row>
    <row r="8517">
      <c r="C8517" s="1"/>
    </row>
    <row r="8518">
      <c r="C8518" s="1"/>
    </row>
    <row r="8519">
      <c r="C8519" s="1"/>
    </row>
    <row r="8520">
      <c r="C8520" s="1"/>
    </row>
    <row r="8521">
      <c r="C8521" s="1"/>
    </row>
    <row r="8522">
      <c r="C8522" s="1"/>
    </row>
    <row r="8523">
      <c r="C8523" s="1"/>
    </row>
    <row r="8524">
      <c r="C8524" s="1"/>
    </row>
    <row r="8525">
      <c r="C8525" s="1"/>
    </row>
    <row r="8526">
      <c r="C8526" s="1"/>
    </row>
    <row r="8527">
      <c r="C8527" s="1"/>
    </row>
    <row r="8528">
      <c r="C8528" s="1"/>
    </row>
    <row r="8529">
      <c r="C8529" s="1"/>
    </row>
    <row r="8530">
      <c r="C8530" s="1"/>
    </row>
    <row r="8531">
      <c r="C8531" s="1"/>
    </row>
    <row r="8532">
      <c r="C8532" s="1"/>
    </row>
    <row r="8533">
      <c r="C8533" s="1"/>
    </row>
    <row r="8534">
      <c r="C8534" s="1"/>
    </row>
    <row r="8535">
      <c r="C8535" s="1"/>
    </row>
    <row r="8536">
      <c r="C8536" s="1"/>
    </row>
    <row r="8537">
      <c r="C8537" s="1"/>
    </row>
    <row r="8538">
      <c r="C8538" s="1"/>
    </row>
    <row r="8539">
      <c r="C8539" s="1"/>
    </row>
    <row r="8540">
      <c r="C8540" s="1"/>
    </row>
    <row r="8541">
      <c r="C8541" s="1"/>
    </row>
    <row r="8542">
      <c r="C8542" s="1"/>
    </row>
    <row r="8543">
      <c r="C8543" s="1"/>
    </row>
    <row r="8544">
      <c r="C8544" s="1"/>
    </row>
    <row r="8545">
      <c r="C8545" s="1"/>
    </row>
    <row r="8546">
      <c r="C8546" s="1"/>
    </row>
    <row r="8547">
      <c r="C8547" s="1"/>
    </row>
    <row r="8548">
      <c r="C8548" s="1"/>
    </row>
    <row r="8549">
      <c r="C8549" s="1"/>
    </row>
    <row r="8550">
      <c r="C8550" s="1"/>
    </row>
    <row r="8551">
      <c r="C8551" s="1"/>
    </row>
    <row r="8552">
      <c r="C8552" s="1"/>
    </row>
    <row r="8553">
      <c r="C8553" s="1"/>
    </row>
    <row r="8554">
      <c r="C8554" s="1"/>
    </row>
    <row r="8555">
      <c r="C8555" s="1"/>
    </row>
    <row r="8556">
      <c r="C8556" s="1"/>
    </row>
    <row r="8557">
      <c r="C8557" s="1"/>
    </row>
    <row r="8558">
      <c r="C8558" s="1"/>
    </row>
    <row r="8559">
      <c r="C8559" s="1"/>
    </row>
    <row r="8560">
      <c r="C8560" s="1"/>
    </row>
    <row r="8561">
      <c r="C8561" s="1"/>
    </row>
    <row r="8562">
      <c r="C8562" s="1"/>
    </row>
    <row r="8563">
      <c r="C8563" s="1"/>
    </row>
    <row r="8564">
      <c r="C8564" s="1"/>
    </row>
    <row r="8565">
      <c r="C8565" s="1"/>
    </row>
    <row r="8566">
      <c r="C8566" s="1"/>
    </row>
    <row r="8567">
      <c r="C8567" s="1"/>
    </row>
    <row r="8568">
      <c r="C8568" s="1"/>
    </row>
    <row r="8569">
      <c r="C8569" s="1"/>
    </row>
    <row r="8570">
      <c r="C8570" s="1"/>
    </row>
    <row r="8571">
      <c r="C8571" s="1"/>
    </row>
    <row r="8572">
      <c r="C8572" s="1"/>
    </row>
    <row r="8573">
      <c r="C8573" s="1"/>
    </row>
    <row r="8574">
      <c r="C8574" s="1"/>
    </row>
    <row r="8575">
      <c r="C8575" s="1"/>
    </row>
    <row r="8576">
      <c r="C8576" s="1"/>
    </row>
    <row r="8577">
      <c r="C8577" s="1"/>
    </row>
    <row r="8578">
      <c r="C8578" s="1"/>
    </row>
    <row r="8579">
      <c r="C8579" s="1"/>
    </row>
    <row r="8580">
      <c r="C8580" s="1"/>
    </row>
    <row r="8581">
      <c r="C8581" s="1"/>
    </row>
    <row r="8582">
      <c r="C8582" s="1"/>
    </row>
    <row r="8583">
      <c r="C8583" s="1"/>
    </row>
    <row r="8584">
      <c r="C8584" s="1"/>
    </row>
    <row r="8585">
      <c r="C8585" s="1"/>
    </row>
    <row r="8586">
      <c r="C8586" s="1"/>
    </row>
    <row r="8587">
      <c r="C8587" s="1"/>
    </row>
    <row r="8588">
      <c r="C8588" s="1"/>
    </row>
    <row r="8589">
      <c r="C8589" s="1"/>
    </row>
    <row r="8590">
      <c r="C8590" s="1"/>
    </row>
    <row r="8591">
      <c r="C8591" s="1"/>
    </row>
    <row r="8592">
      <c r="C8592" s="1"/>
    </row>
    <row r="8593">
      <c r="C8593" s="1"/>
    </row>
    <row r="8594">
      <c r="C8594" s="1"/>
    </row>
    <row r="8595">
      <c r="C8595" s="1"/>
    </row>
    <row r="8596">
      <c r="C8596" s="1"/>
    </row>
    <row r="8597">
      <c r="C8597" s="1"/>
    </row>
    <row r="8598">
      <c r="C8598" s="1"/>
    </row>
    <row r="8599">
      <c r="C8599" s="1"/>
    </row>
    <row r="8600">
      <c r="C8600" s="1"/>
    </row>
    <row r="8601">
      <c r="C8601" s="1"/>
    </row>
    <row r="8602">
      <c r="C8602" s="1"/>
    </row>
    <row r="8603">
      <c r="C8603" s="1"/>
    </row>
    <row r="8604">
      <c r="C8604" s="1"/>
    </row>
    <row r="8605">
      <c r="C8605" s="1"/>
    </row>
    <row r="8606">
      <c r="C8606" s="1"/>
    </row>
    <row r="8607">
      <c r="C8607" s="1"/>
    </row>
    <row r="8608">
      <c r="C8608" s="1"/>
    </row>
    <row r="8609">
      <c r="C8609" s="1"/>
    </row>
    <row r="8610">
      <c r="C8610" s="1"/>
    </row>
    <row r="8611">
      <c r="C8611" s="1"/>
    </row>
    <row r="8612">
      <c r="C8612" s="1"/>
    </row>
    <row r="8613">
      <c r="C8613" s="1"/>
    </row>
    <row r="8614">
      <c r="C8614" s="1"/>
    </row>
    <row r="8615">
      <c r="C8615" s="1"/>
    </row>
    <row r="8616">
      <c r="C8616" s="1"/>
    </row>
    <row r="8617">
      <c r="C8617" s="1"/>
    </row>
    <row r="8618">
      <c r="C8618" s="1"/>
    </row>
    <row r="8619">
      <c r="C8619" s="1"/>
    </row>
    <row r="8620">
      <c r="C8620" s="1"/>
    </row>
    <row r="8621">
      <c r="C8621" s="1"/>
    </row>
    <row r="8622">
      <c r="C8622" s="1"/>
    </row>
    <row r="8623">
      <c r="C8623" s="1"/>
    </row>
    <row r="8624">
      <c r="C8624" s="1"/>
    </row>
    <row r="8625">
      <c r="C8625" s="1"/>
    </row>
    <row r="8626">
      <c r="C8626" s="1"/>
    </row>
    <row r="8627">
      <c r="C8627" s="1"/>
    </row>
    <row r="8628">
      <c r="C8628" s="1"/>
    </row>
    <row r="8629">
      <c r="C8629" s="1"/>
    </row>
    <row r="8630">
      <c r="C8630" s="1"/>
    </row>
    <row r="8631">
      <c r="C8631" s="1"/>
    </row>
    <row r="8632">
      <c r="C8632" s="1"/>
    </row>
    <row r="8633">
      <c r="C8633" s="1"/>
    </row>
    <row r="8634">
      <c r="C8634" s="1"/>
    </row>
    <row r="8635">
      <c r="C8635" s="1"/>
    </row>
    <row r="8636">
      <c r="C8636" s="1"/>
    </row>
    <row r="8637">
      <c r="C8637" s="1"/>
    </row>
    <row r="8638">
      <c r="C8638" s="1"/>
    </row>
    <row r="8639">
      <c r="C8639" s="1"/>
    </row>
    <row r="8640">
      <c r="C8640" s="1"/>
    </row>
    <row r="8641">
      <c r="C8641" s="1"/>
    </row>
    <row r="8642">
      <c r="C8642" s="1"/>
    </row>
    <row r="8643">
      <c r="C8643" s="1"/>
    </row>
    <row r="8644">
      <c r="C8644" s="1"/>
    </row>
    <row r="8645">
      <c r="C8645" s="1"/>
    </row>
    <row r="8646">
      <c r="C8646" s="1"/>
    </row>
    <row r="8647">
      <c r="C8647" s="1"/>
    </row>
    <row r="8648">
      <c r="C8648" s="1"/>
    </row>
    <row r="8649">
      <c r="C8649" s="1"/>
    </row>
    <row r="8650">
      <c r="C8650" s="1"/>
    </row>
    <row r="8651">
      <c r="C8651" s="1"/>
    </row>
    <row r="8652">
      <c r="C8652" s="1"/>
    </row>
    <row r="8653">
      <c r="C8653" s="1"/>
    </row>
    <row r="8654">
      <c r="C8654" s="1"/>
    </row>
    <row r="8655">
      <c r="C8655" s="1"/>
    </row>
    <row r="8656">
      <c r="C8656" s="1"/>
    </row>
    <row r="8657">
      <c r="C8657" s="1"/>
    </row>
    <row r="8658">
      <c r="C8658" s="1"/>
    </row>
    <row r="8659">
      <c r="C8659" s="1"/>
    </row>
    <row r="8660">
      <c r="C8660" s="1"/>
    </row>
    <row r="8661">
      <c r="C8661" s="1"/>
    </row>
    <row r="8662">
      <c r="C8662" s="1"/>
    </row>
    <row r="8663">
      <c r="C8663" s="1"/>
    </row>
    <row r="8664">
      <c r="C8664" s="1"/>
    </row>
    <row r="8665">
      <c r="C8665" s="1"/>
    </row>
    <row r="8666">
      <c r="C8666" s="1"/>
    </row>
    <row r="8667">
      <c r="C8667" s="1"/>
    </row>
    <row r="8668">
      <c r="C8668" s="1"/>
    </row>
    <row r="8669">
      <c r="C8669" s="1"/>
    </row>
    <row r="8670">
      <c r="C8670" s="1"/>
    </row>
    <row r="8671">
      <c r="C8671" s="1"/>
    </row>
    <row r="8672">
      <c r="C8672" s="1"/>
    </row>
    <row r="8673">
      <c r="C8673" s="1"/>
    </row>
    <row r="8674">
      <c r="C8674" s="1"/>
    </row>
    <row r="8675">
      <c r="C8675" s="1"/>
    </row>
    <row r="8676">
      <c r="C8676" s="1"/>
    </row>
    <row r="8677">
      <c r="C8677" s="1"/>
    </row>
    <row r="8678">
      <c r="C8678" s="1"/>
    </row>
    <row r="8679">
      <c r="C8679" s="1"/>
    </row>
    <row r="8680">
      <c r="C8680" s="1"/>
    </row>
    <row r="8681">
      <c r="C8681" s="1"/>
    </row>
    <row r="8682">
      <c r="C8682" s="1"/>
    </row>
    <row r="8683">
      <c r="C8683" s="1"/>
    </row>
    <row r="8684">
      <c r="C8684" s="1"/>
    </row>
    <row r="8685">
      <c r="C8685" s="1"/>
    </row>
    <row r="8686">
      <c r="C8686" s="1"/>
    </row>
    <row r="8687">
      <c r="C8687" s="1"/>
    </row>
    <row r="8688">
      <c r="C8688" s="1"/>
    </row>
    <row r="8689">
      <c r="C8689" s="1"/>
    </row>
    <row r="8690">
      <c r="C8690" s="1"/>
    </row>
    <row r="8691">
      <c r="C8691" s="1"/>
    </row>
    <row r="8692">
      <c r="C8692" s="1"/>
    </row>
    <row r="8693">
      <c r="C8693" s="1"/>
    </row>
    <row r="8694">
      <c r="C8694" s="1"/>
    </row>
    <row r="8695">
      <c r="C8695" s="1"/>
    </row>
    <row r="8696">
      <c r="C8696" s="1"/>
    </row>
    <row r="8697">
      <c r="C8697" s="1"/>
    </row>
    <row r="8698">
      <c r="C8698" s="1"/>
    </row>
    <row r="8699">
      <c r="C8699" s="1"/>
    </row>
    <row r="8700">
      <c r="C8700" s="1"/>
    </row>
    <row r="8701">
      <c r="C8701" s="1"/>
    </row>
    <row r="8702">
      <c r="C8702" s="1"/>
    </row>
    <row r="8703">
      <c r="C8703" s="1"/>
    </row>
    <row r="8704">
      <c r="C8704" s="1"/>
    </row>
    <row r="8705">
      <c r="C8705" s="1"/>
    </row>
    <row r="8706">
      <c r="C8706" s="1"/>
    </row>
    <row r="8707">
      <c r="C8707" s="1"/>
    </row>
    <row r="8708">
      <c r="C8708" s="1"/>
    </row>
    <row r="8709">
      <c r="C8709" s="1"/>
    </row>
    <row r="8710">
      <c r="C8710" s="1"/>
    </row>
    <row r="8711">
      <c r="C8711" s="1"/>
    </row>
    <row r="8712">
      <c r="C8712" s="1"/>
    </row>
    <row r="8713">
      <c r="C8713" s="1"/>
    </row>
    <row r="8714">
      <c r="C8714" s="1"/>
    </row>
    <row r="8715">
      <c r="C8715" s="1"/>
    </row>
    <row r="8716">
      <c r="C8716" s="1"/>
    </row>
    <row r="8717">
      <c r="C8717" s="1"/>
    </row>
    <row r="8718">
      <c r="C8718" s="1"/>
    </row>
    <row r="8719">
      <c r="C8719" s="1"/>
    </row>
    <row r="8720">
      <c r="C8720" s="1"/>
    </row>
    <row r="8721">
      <c r="C8721" s="1"/>
    </row>
    <row r="8722">
      <c r="C8722" s="1"/>
    </row>
    <row r="8723">
      <c r="C8723" s="1"/>
    </row>
    <row r="8724">
      <c r="C8724" s="1"/>
    </row>
    <row r="8725">
      <c r="C8725" s="1"/>
    </row>
    <row r="8726">
      <c r="C8726" s="1"/>
    </row>
    <row r="8727">
      <c r="C8727" s="1"/>
    </row>
    <row r="8728">
      <c r="C8728" s="1"/>
    </row>
    <row r="8729">
      <c r="C8729" s="1"/>
    </row>
    <row r="8730">
      <c r="C8730" s="1"/>
    </row>
    <row r="8731">
      <c r="C8731" s="1"/>
    </row>
    <row r="8732">
      <c r="C8732" s="1"/>
    </row>
    <row r="8733">
      <c r="C8733" s="1"/>
    </row>
    <row r="8734">
      <c r="C8734" s="1"/>
    </row>
    <row r="8735">
      <c r="C8735" s="1"/>
    </row>
    <row r="8736">
      <c r="C8736" s="1"/>
    </row>
    <row r="8737">
      <c r="C8737" s="1"/>
    </row>
    <row r="8738">
      <c r="C8738" s="1"/>
    </row>
    <row r="8739">
      <c r="C8739" s="1"/>
    </row>
    <row r="8740">
      <c r="C8740" s="1"/>
    </row>
    <row r="8741">
      <c r="C8741" s="1"/>
    </row>
    <row r="8742">
      <c r="C8742" s="1"/>
    </row>
    <row r="8743">
      <c r="C8743" s="1"/>
    </row>
    <row r="8744">
      <c r="C8744" s="1"/>
    </row>
    <row r="8745">
      <c r="C8745" s="1"/>
    </row>
    <row r="8746">
      <c r="C8746" s="1"/>
    </row>
    <row r="8747">
      <c r="C8747" s="1"/>
    </row>
    <row r="8748">
      <c r="C8748" s="1"/>
    </row>
    <row r="8749">
      <c r="C8749" s="1"/>
    </row>
    <row r="8750">
      <c r="C8750" s="1"/>
    </row>
    <row r="8751">
      <c r="C8751" s="1"/>
    </row>
    <row r="8752">
      <c r="C8752" s="1"/>
    </row>
    <row r="8753">
      <c r="C8753" s="1"/>
    </row>
    <row r="8754">
      <c r="C8754" s="1"/>
    </row>
    <row r="8755">
      <c r="C8755" s="1"/>
    </row>
    <row r="8756">
      <c r="C8756" s="1"/>
    </row>
    <row r="8757">
      <c r="C8757" s="1"/>
    </row>
    <row r="8758">
      <c r="C8758" s="1"/>
    </row>
    <row r="8759">
      <c r="C8759" s="1"/>
    </row>
    <row r="8760">
      <c r="C8760" s="1"/>
    </row>
    <row r="8761">
      <c r="C8761" s="1"/>
    </row>
    <row r="8762">
      <c r="C8762" s="1"/>
    </row>
    <row r="8763">
      <c r="C8763" s="1"/>
    </row>
    <row r="8764">
      <c r="C8764" s="1"/>
    </row>
    <row r="8765">
      <c r="C8765" s="1"/>
    </row>
    <row r="8766">
      <c r="C8766" s="1"/>
    </row>
    <row r="8767">
      <c r="C8767" s="1"/>
    </row>
    <row r="8768">
      <c r="C8768" s="1"/>
    </row>
    <row r="8769">
      <c r="C8769" s="1"/>
    </row>
    <row r="8770">
      <c r="C8770" s="1"/>
    </row>
    <row r="8771">
      <c r="C8771" s="1"/>
    </row>
    <row r="8772">
      <c r="C8772" s="1"/>
    </row>
    <row r="8773">
      <c r="C8773" s="1"/>
    </row>
    <row r="8774">
      <c r="C8774" s="1"/>
    </row>
    <row r="8775">
      <c r="C8775" s="1"/>
    </row>
    <row r="8776">
      <c r="C8776" s="1"/>
    </row>
    <row r="8777">
      <c r="C8777" s="1"/>
    </row>
    <row r="8778">
      <c r="C8778" s="1"/>
    </row>
    <row r="8779">
      <c r="C8779" s="1"/>
    </row>
    <row r="8780">
      <c r="C8780" s="1"/>
    </row>
    <row r="8781">
      <c r="C8781" s="1"/>
    </row>
    <row r="8782">
      <c r="C8782" s="1"/>
    </row>
    <row r="8783">
      <c r="C8783" s="1"/>
    </row>
    <row r="8784">
      <c r="C8784" s="1"/>
    </row>
    <row r="8785">
      <c r="C8785" s="1"/>
    </row>
    <row r="8786">
      <c r="C8786" s="1"/>
    </row>
    <row r="8787">
      <c r="C8787" s="1"/>
    </row>
    <row r="8788">
      <c r="C8788" s="1"/>
    </row>
    <row r="8789">
      <c r="C8789" s="1"/>
    </row>
    <row r="8790">
      <c r="C8790" s="1"/>
    </row>
    <row r="8791">
      <c r="C8791" s="1"/>
    </row>
    <row r="8792">
      <c r="C8792" s="1"/>
    </row>
    <row r="8793">
      <c r="C8793" s="1"/>
    </row>
    <row r="8794">
      <c r="C8794" s="1"/>
    </row>
    <row r="8795">
      <c r="C8795" s="1"/>
    </row>
    <row r="8796">
      <c r="C8796" s="1"/>
    </row>
    <row r="8797">
      <c r="C8797" s="1"/>
    </row>
    <row r="8798">
      <c r="C8798" s="1"/>
    </row>
    <row r="8799">
      <c r="C8799" s="1"/>
    </row>
    <row r="8800">
      <c r="C8800" s="1"/>
    </row>
    <row r="8801">
      <c r="C8801" s="1"/>
    </row>
    <row r="8802">
      <c r="C8802" s="1"/>
    </row>
    <row r="8803">
      <c r="C8803" s="1"/>
    </row>
    <row r="8804">
      <c r="C8804" s="1"/>
    </row>
    <row r="8805">
      <c r="C8805" s="1"/>
    </row>
    <row r="8806">
      <c r="C8806" s="1"/>
    </row>
    <row r="8807">
      <c r="C8807" s="1"/>
    </row>
    <row r="8808">
      <c r="C8808" s="1"/>
    </row>
    <row r="8809">
      <c r="C8809" s="1"/>
    </row>
    <row r="8810">
      <c r="C8810" s="1"/>
    </row>
    <row r="8811">
      <c r="C8811" s="1"/>
    </row>
    <row r="8812">
      <c r="C8812" s="1"/>
    </row>
    <row r="8813">
      <c r="C8813" s="1"/>
    </row>
    <row r="8814">
      <c r="C8814" s="1"/>
    </row>
    <row r="8815">
      <c r="C8815" s="1"/>
    </row>
    <row r="8816">
      <c r="C8816" s="1"/>
    </row>
    <row r="8817">
      <c r="C8817" s="1"/>
    </row>
    <row r="8818">
      <c r="C8818" s="1"/>
    </row>
    <row r="8819">
      <c r="C8819" s="1"/>
    </row>
    <row r="8820">
      <c r="C8820" s="1"/>
    </row>
    <row r="8821">
      <c r="C8821" s="1"/>
    </row>
    <row r="8822">
      <c r="C8822" s="1"/>
    </row>
    <row r="8823">
      <c r="C8823" s="1"/>
    </row>
    <row r="8824">
      <c r="C8824" s="1"/>
    </row>
    <row r="8825">
      <c r="C8825" s="1"/>
    </row>
    <row r="8826">
      <c r="C8826" s="1"/>
    </row>
    <row r="8827">
      <c r="C8827" s="1"/>
    </row>
    <row r="8828">
      <c r="C8828" s="1"/>
    </row>
    <row r="8829">
      <c r="C8829" s="1"/>
    </row>
    <row r="8830">
      <c r="C8830" s="1"/>
    </row>
    <row r="8831">
      <c r="C8831" s="1"/>
    </row>
    <row r="8832">
      <c r="C8832" s="1"/>
    </row>
    <row r="8833">
      <c r="C8833" s="1"/>
    </row>
    <row r="8834">
      <c r="C8834" s="1"/>
    </row>
    <row r="8835">
      <c r="C8835" s="1"/>
    </row>
    <row r="8836">
      <c r="C8836" s="1"/>
    </row>
    <row r="8837">
      <c r="C8837" s="1"/>
    </row>
    <row r="8838">
      <c r="C8838" s="1"/>
    </row>
    <row r="8839">
      <c r="C8839" s="1"/>
    </row>
    <row r="8840">
      <c r="C8840" s="1"/>
    </row>
    <row r="8841">
      <c r="C8841" s="1"/>
    </row>
    <row r="8842">
      <c r="C8842" s="1"/>
    </row>
    <row r="8843">
      <c r="C8843" s="1"/>
    </row>
    <row r="8844">
      <c r="C8844" s="1"/>
    </row>
    <row r="8845">
      <c r="C8845" s="1"/>
    </row>
    <row r="8846">
      <c r="C8846" s="1"/>
    </row>
    <row r="8847">
      <c r="C8847" s="1"/>
    </row>
    <row r="8848">
      <c r="C8848" s="1"/>
    </row>
    <row r="8849">
      <c r="C8849" s="1"/>
    </row>
    <row r="8850">
      <c r="C8850" s="1"/>
    </row>
    <row r="8851">
      <c r="C8851" s="1"/>
    </row>
    <row r="8852">
      <c r="C8852" s="1"/>
    </row>
    <row r="8853">
      <c r="C8853" s="1"/>
    </row>
    <row r="8854">
      <c r="C8854" s="1"/>
    </row>
    <row r="8855">
      <c r="C8855" s="1"/>
    </row>
    <row r="8856">
      <c r="C8856" s="1"/>
    </row>
    <row r="8857">
      <c r="C8857" s="1"/>
    </row>
    <row r="8858">
      <c r="C8858" s="1"/>
    </row>
    <row r="8859">
      <c r="C8859" s="1"/>
    </row>
    <row r="8860">
      <c r="C8860" s="1"/>
    </row>
    <row r="8861">
      <c r="C8861" s="1"/>
    </row>
    <row r="8862">
      <c r="C8862" s="1"/>
    </row>
    <row r="8863">
      <c r="C8863" s="1"/>
    </row>
    <row r="8864">
      <c r="C8864" s="1"/>
    </row>
    <row r="8865">
      <c r="C8865" s="1"/>
    </row>
    <row r="8866">
      <c r="C8866" s="1"/>
    </row>
    <row r="8867">
      <c r="C8867" s="1"/>
    </row>
    <row r="8868">
      <c r="C8868" s="1"/>
    </row>
    <row r="8869">
      <c r="C8869" s="1"/>
    </row>
    <row r="8870">
      <c r="C8870" s="1"/>
    </row>
    <row r="8871">
      <c r="C8871" s="1"/>
    </row>
    <row r="8872">
      <c r="C8872" s="1"/>
    </row>
    <row r="8873">
      <c r="C8873" s="1"/>
    </row>
    <row r="8874">
      <c r="C8874" s="1"/>
    </row>
    <row r="8875">
      <c r="C8875" s="1"/>
    </row>
    <row r="8876">
      <c r="C8876" s="1"/>
    </row>
    <row r="8877">
      <c r="C8877" s="1"/>
    </row>
    <row r="8878">
      <c r="C8878" s="1"/>
    </row>
    <row r="8879">
      <c r="C8879" s="1"/>
    </row>
    <row r="8880">
      <c r="C8880" s="1"/>
    </row>
    <row r="8881">
      <c r="C8881" s="1"/>
    </row>
    <row r="8882">
      <c r="C8882" s="1"/>
    </row>
    <row r="8883">
      <c r="C8883" s="1"/>
    </row>
    <row r="8884">
      <c r="C8884" s="1"/>
    </row>
    <row r="8885">
      <c r="C8885" s="1"/>
    </row>
    <row r="8886">
      <c r="C8886" s="1"/>
    </row>
    <row r="8887">
      <c r="C8887" s="1"/>
    </row>
    <row r="8888">
      <c r="C8888" s="1"/>
    </row>
    <row r="8889">
      <c r="C8889" s="1"/>
    </row>
    <row r="8890">
      <c r="C8890" s="1"/>
    </row>
    <row r="8891">
      <c r="C8891" s="1"/>
    </row>
    <row r="8892">
      <c r="C8892" s="1"/>
    </row>
    <row r="8893">
      <c r="C8893" s="1"/>
    </row>
    <row r="8894">
      <c r="C8894" s="1"/>
    </row>
    <row r="8895">
      <c r="C8895" s="1"/>
    </row>
    <row r="8896">
      <c r="C8896" s="1"/>
    </row>
    <row r="8897">
      <c r="C8897" s="1"/>
    </row>
    <row r="8898">
      <c r="C8898" s="1"/>
    </row>
    <row r="8899">
      <c r="C8899" s="1"/>
    </row>
    <row r="8900">
      <c r="C8900" s="1"/>
    </row>
    <row r="8901">
      <c r="C8901" s="1"/>
    </row>
    <row r="8902">
      <c r="C8902" s="1"/>
    </row>
    <row r="8903">
      <c r="C8903" s="1"/>
    </row>
    <row r="8904">
      <c r="C8904" s="1"/>
    </row>
    <row r="8905">
      <c r="C8905" s="1"/>
    </row>
    <row r="8906">
      <c r="C8906" s="1"/>
    </row>
    <row r="8907">
      <c r="C8907" s="1"/>
    </row>
    <row r="8908">
      <c r="C8908" s="1"/>
    </row>
    <row r="8909">
      <c r="C8909" s="1"/>
    </row>
    <row r="8910">
      <c r="C8910" s="1"/>
    </row>
    <row r="8911">
      <c r="C8911" s="1"/>
    </row>
    <row r="8912">
      <c r="C8912" s="1"/>
    </row>
    <row r="8913">
      <c r="C8913" s="1"/>
    </row>
    <row r="8914">
      <c r="C8914" s="1"/>
    </row>
    <row r="8915">
      <c r="C8915" s="1"/>
    </row>
    <row r="8916">
      <c r="C8916" s="1"/>
    </row>
    <row r="8917">
      <c r="C8917" s="1"/>
    </row>
    <row r="8918">
      <c r="C8918" s="1"/>
    </row>
    <row r="8919">
      <c r="C8919" s="1"/>
    </row>
    <row r="8920">
      <c r="C8920" s="1"/>
    </row>
    <row r="8921">
      <c r="C8921" s="1"/>
    </row>
    <row r="8922">
      <c r="C8922" s="1"/>
    </row>
    <row r="8923">
      <c r="C8923" s="1"/>
    </row>
    <row r="8924">
      <c r="C8924" s="1"/>
    </row>
    <row r="8925">
      <c r="C8925" s="1"/>
    </row>
    <row r="8926">
      <c r="C8926" s="1"/>
    </row>
    <row r="8927">
      <c r="C8927" s="1"/>
    </row>
    <row r="8928">
      <c r="C8928" s="1"/>
    </row>
    <row r="8929">
      <c r="C8929" s="1"/>
    </row>
    <row r="8930">
      <c r="C8930" s="1"/>
    </row>
    <row r="8931">
      <c r="C8931" s="1"/>
    </row>
    <row r="8932">
      <c r="C8932" s="1"/>
    </row>
    <row r="8933">
      <c r="C8933" s="1"/>
    </row>
    <row r="8934">
      <c r="C8934" s="1"/>
    </row>
    <row r="8935">
      <c r="C8935" s="1"/>
    </row>
    <row r="8936">
      <c r="C8936" s="1"/>
    </row>
    <row r="8937">
      <c r="C8937" s="1"/>
    </row>
    <row r="8938">
      <c r="C8938" s="1"/>
    </row>
    <row r="8939">
      <c r="C8939" s="1"/>
    </row>
    <row r="8940">
      <c r="C8940" s="1"/>
    </row>
    <row r="8941">
      <c r="C8941" s="1"/>
    </row>
    <row r="8942">
      <c r="C8942" s="1"/>
    </row>
    <row r="8943">
      <c r="C8943" s="1"/>
    </row>
    <row r="8944">
      <c r="C8944" s="1"/>
    </row>
    <row r="8945">
      <c r="C8945" s="1"/>
    </row>
    <row r="8946">
      <c r="C8946" s="1"/>
    </row>
    <row r="8947">
      <c r="C8947" s="1"/>
    </row>
    <row r="8948">
      <c r="C8948" s="1"/>
    </row>
    <row r="8949">
      <c r="C8949" s="1"/>
    </row>
    <row r="8950">
      <c r="C8950" s="1"/>
    </row>
    <row r="8951">
      <c r="C8951" s="1"/>
    </row>
    <row r="8952">
      <c r="C8952" s="1"/>
    </row>
    <row r="8953">
      <c r="C8953" s="1"/>
    </row>
    <row r="8954">
      <c r="C8954" s="1"/>
    </row>
    <row r="8955">
      <c r="C8955" s="1"/>
    </row>
    <row r="8956">
      <c r="C8956" s="1"/>
    </row>
    <row r="8957">
      <c r="C8957" s="1"/>
    </row>
    <row r="8958">
      <c r="C8958" s="1"/>
    </row>
    <row r="8959">
      <c r="C8959" s="1"/>
    </row>
    <row r="8960">
      <c r="C8960" s="1"/>
    </row>
    <row r="8961">
      <c r="C8961" s="1"/>
    </row>
    <row r="8962">
      <c r="C8962" s="1"/>
    </row>
    <row r="8963">
      <c r="C8963" s="1"/>
    </row>
    <row r="8964">
      <c r="C8964" s="1"/>
    </row>
    <row r="8965">
      <c r="C8965" s="1"/>
    </row>
    <row r="8966">
      <c r="C8966" s="1"/>
    </row>
    <row r="8967">
      <c r="C8967" s="1"/>
    </row>
    <row r="8968">
      <c r="C8968" s="1"/>
    </row>
    <row r="8969">
      <c r="C8969" s="1"/>
    </row>
    <row r="8970">
      <c r="C8970" s="1"/>
    </row>
    <row r="8971">
      <c r="C8971" s="1"/>
    </row>
    <row r="8972">
      <c r="C8972" s="1"/>
    </row>
    <row r="8973">
      <c r="C8973" s="1"/>
    </row>
    <row r="8974">
      <c r="C8974" s="1"/>
    </row>
    <row r="8975">
      <c r="C8975" s="1"/>
    </row>
    <row r="8976">
      <c r="C8976" s="1"/>
    </row>
    <row r="8977">
      <c r="C8977" s="1"/>
    </row>
    <row r="8978">
      <c r="C8978" s="1"/>
    </row>
    <row r="8979">
      <c r="C8979" s="1"/>
    </row>
    <row r="8980">
      <c r="C8980" s="1"/>
    </row>
    <row r="8981">
      <c r="C8981" s="1"/>
    </row>
    <row r="8982">
      <c r="C8982" s="1"/>
    </row>
    <row r="8983">
      <c r="C8983" s="1"/>
    </row>
    <row r="8984">
      <c r="C8984" s="1"/>
    </row>
    <row r="8985">
      <c r="C8985" s="1"/>
    </row>
    <row r="8986">
      <c r="C8986" s="1"/>
    </row>
    <row r="8987">
      <c r="C8987" s="1"/>
    </row>
    <row r="8988">
      <c r="C8988" s="1"/>
    </row>
    <row r="8989">
      <c r="C8989" s="1"/>
    </row>
    <row r="8990">
      <c r="C8990" s="1"/>
    </row>
    <row r="8991">
      <c r="C8991" s="1"/>
    </row>
    <row r="8992">
      <c r="C8992" s="1"/>
    </row>
    <row r="8993">
      <c r="C8993" s="1"/>
    </row>
    <row r="8994">
      <c r="C8994" s="1"/>
    </row>
    <row r="8995">
      <c r="C8995" s="1"/>
    </row>
    <row r="8996">
      <c r="C8996" s="1"/>
    </row>
    <row r="8997">
      <c r="C8997" s="1"/>
    </row>
    <row r="8998">
      <c r="C8998" s="1"/>
    </row>
    <row r="8999">
      <c r="C8999" s="1"/>
    </row>
    <row r="9000">
      <c r="C9000" s="1"/>
    </row>
    <row r="9001">
      <c r="C9001" s="1"/>
    </row>
    <row r="9002">
      <c r="C9002" s="1"/>
    </row>
    <row r="9003">
      <c r="C9003" s="1"/>
    </row>
    <row r="9004">
      <c r="C9004" s="1"/>
    </row>
    <row r="9005">
      <c r="C9005" s="1"/>
    </row>
    <row r="9006">
      <c r="C9006" s="1"/>
    </row>
    <row r="9007">
      <c r="C9007" s="1"/>
    </row>
    <row r="9008">
      <c r="C9008" s="1"/>
    </row>
    <row r="9009">
      <c r="C9009" s="1"/>
    </row>
    <row r="9010">
      <c r="C9010" s="1"/>
    </row>
    <row r="9011">
      <c r="C9011" s="1"/>
    </row>
    <row r="9012">
      <c r="C9012" s="1"/>
    </row>
    <row r="9013">
      <c r="C9013" s="1"/>
    </row>
    <row r="9014">
      <c r="C9014" s="1"/>
    </row>
    <row r="9015">
      <c r="C9015" s="1"/>
    </row>
    <row r="9016">
      <c r="C9016" s="1"/>
    </row>
    <row r="9017">
      <c r="C9017" s="1"/>
    </row>
    <row r="9018">
      <c r="C9018" s="1"/>
    </row>
    <row r="9019">
      <c r="C9019" s="1"/>
    </row>
    <row r="9020">
      <c r="C9020" s="1"/>
    </row>
    <row r="9021">
      <c r="C9021" s="1"/>
    </row>
    <row r="9022">
      <c r="C9022" s="1"/>
    </row>
    <row r="9023">
      <c r="C9023" s="1"/>
    </row>
    <row r="9024">
      <c r="C9024" s="1"/>
    </row>
    <row r="9025">
      <c r="C9025" s="1"/>
    </row>
    <row r="9026">
      <c r="C9026" s="1"/>
    </row>
    <row r="9027">
      <c r="C9027" s="1"/>
    </row>
    <row r="9028">
      <c r="C9028" s="1"/>
    </row>
    <row r="9029">
      <c r="C9029" s="1"/>
    </row>
    <row r="9030">
      <c r="C9030" s="1"/>
    </row>
    <row r="9031">
      <c r="C9031" s="1"/>
    </row>
    <row r="9032">
      <c r="C9032" s="1"/>
    </row>
    <row r="9033">
      <c r="C9033" s="1"/>
    </row>
    <row r="9034">
      <c r="C9034" s="1"/>
    </row>
    <row r="9035">
      <c r="C9035" s="1"/>
    </row>
    <row r="9036">
      <c r="C9036" s="1"/>
    </row>
    <row r="9037">
      <c r="C9037" s="1"/>
    </row>
    <row r="9038">
      <c r="C9038" s="1"/>
    </row>
    <row r="9039">
      <c r="C9039" s="1"/>
    </row>
    <row r="9040">
      <c r="C9040" s="1"/>
    </row>
    <row r="9041">
      <c r="C9041" s="1"/>
    </row>
    <row r="9042">
      <c r="C9042" s="1"/>
    </row>
    <row r="9043">
      <c r="C9043" s="1"/>
    </row>
    <row r="9044">
      <c r="C9044" s="1"/>
    </row>
    <row r="9045">
      <c r="C9045" s="1"/>
    </row>
    <row r="9046">
      <c r="C9046" s="1"/>
    </row>
    <row r="9047">
      <c r="C9047" s="1"/>
    </row>
    <row r="9048">
      <c r="C9048" s="1"/>
    </row>
    <row r="9049">
      <c r="C9049" s="1"/>
    </row>
    <row r="9050">
      <c r="C9050" s="1"/>
    </row>
    <row r="9051">
      <c r="C9051" s="1"/>
    </row>
    <row r="9052">
      <c r="C9052" s="1"/>
    </row>
    <row r="9053">
      <c r="C9053" s="1"/>
    </row>
    <row r="9054">
      <c r="C9054" s="1"/>
    </row>
    <row r="9055">
      <c r="C9055" s="1"/>
    </row>
    <row r="9056">
      <c r="C9056" s="1"/>
    </row>
    <row r="9057">
      <c r="C9057" s="1"/>
    </row>
    <row r="9058">
      <c r="C9058" s="1"/>
    </row>
    <row r="9059">
      <c r="C9059" s="1"/>
    </row>
    <row r="9060">
      <c r="C9060" s="1"/>
    </row>
    <row r="9061">
      <c r="C9061" s="1"/>
    </row>
    <row r="9062">
      <c r="C9062" s="1"/>
    </row>
    <row r="9063">
      <c r="C9063" s="1"/>
    </row>
    <row r="9064">
      <c r="C9064" s="1"/>
    </row>
    <row r="9065">
      <c r="C9065" s="1"/>
    </row>
    <row r="9066">
      <c r="C9066" s="1"/>
    </row>
    <row r="9067">
      <c r="C9067" s="1"/>
    </row>
    <row r="9068">
      <c r="C9068" s="1"/>
    </row>
    <row r="9069">
      <c r="C9069" s="1"/>
    </row>
    <row r="9070">
      <c r="C9070" s="1"/>
    </row>
    <row r="9071">
      <c r="C9071" s="1"/>
    </row>
    <row r="9072">
      <c r="C9072" s="1"/>
    </row>
    <row r="9073">
      <c r="C9073" s="1"/>
    </row>
    <row r="9074">
      <c r="C9074" s="1"/>
    </row>
    <row r="9075">
      <c r="C9075" s="1"/>
    </row>
    <row r="9076">
      <c r="C9076" s="1"/>
    </row>
    <row r="9077">
      <c r="C9077" s="1"/>
    </row>
    <row r="9078">
      <c r="C9078" s="1"/>
    </row>
    <row r="9079">
      <c r="C9079" s="1"/>
    </row>
    <row r="9080">
      <c r="C9080" s="1"/>
    </row>
    <row r="9081">
      <c r="C9081" s="1"/>
    </row>
    <row r="9082">
      <c r="C9082" s="1"/>
    </row>
    <row r="9083">
      <c r="C9083" s="1"/>
    </row>
    <row r="9084">
      <c r="C9084" s="1"/>
    </row>
    <row r="9085">
      <c r="C9085" s="1"/>
    </row>
    <row r="9086">
      <c r="C9086" s="1"/>
    </row>
    <row r="9087">
      <c r="C9087" s="1"/>
    </row>
    <row r="9088">
      <c r="C9088" s="1"/>
    </row>
    <row r="9089">
      <c r="C9089" s="1"/>
    </row>
    <row r="9090">
      <c r="C9090" s="1"/>
    </row>
    <row r="9091">
      <c r="C9091" s="1"/>
    </row>
    <row r="9092">
      <c r="C9092" s="1"/>
    </row>
    <row r="9093">
      <c r="C9093" s="1"/>
    </row>
    <row r="9094">
      <c r="C9094" s="1"/>
    </row>
    <row r="9095">
      <c r="C9095" s="1"/>
    </row>
    <row r="9096">
      <c r="C9096" s="1"/>
    </row>
    <row r="9097">
      <c r="C9097" s="1"/>
    </row>
    <row r="9098">
      <c r="C9098" s="1"/>
    </row>
    <row r="9099">
      <c r="C9099" s="1"/>
    </row>
    <row r="9100">
      <c r="C9100" s="1"/>
    </row>
    <row r="9101">
      <c r="C9101" s="1"/>
    </row>
    <row r="9102">
      <c r="C9102" s="1"/>
    </row>
    <row r="9103">
      <c r="C9103" s="1"/>
    </row>
    <row r="9104">
      <c r="C9104" s="1"/>
    </row>
    <row r="9105">
      <c r="C9105" s="1"/>
    </row>
    <row r="9106">
      <c r="C9106" s="1"/>
    </row>
    <row r="9107">
      <c r="C9107" s="1"/>
    </row>
    <row r="9108">
      <c r="C9108" s="1"/>
    </row>
    <row r="9109">
      <c r="C9109" s="1"/>
    </row>
    <row r="9110">
      <c r="C9110" s="1"/>
    </row>
    <row r="9111">
      <c r="C9111" s="1"/>
    </row>
    <row r="9112">
      <c r="C9112" s="1"/>
    </row>
    <row r="9113">
      <c r="C9113" s="1"/>
    </row>
    <row r="9114">
      <c r="C9114" s="1"/>
    </row>
    <row r="9115">
      <c r="C9115" s="1"/>
    </row>
    <row r="9116">
      <c r="C9116" s="1"/>
    </row>
    <row r="9117">
      <c r="C9117" s="1"/>
    </row>
    <row r="9118">
      <c r="C9118" s="1"/>
    </row>
    <row r="9119">
      <c r="C9119" s="1"/>
    </row>
    <row r="9120">
      <c r="C9120" s="1"/>
    </row>
    <row r="9121">
      <c r="C9121" s="1"/>
    </row>
    <row r="9122">
      <c r="C9122" s="1"/>
    </row>
    <row r="9123">
      <c r="C9123" s="1"/>
    </row>
    <row r="9124">
      <c r="C9124" s="1"/>
    </row>
    <row r="9125">
      <c r="C9125" s="1"/>
    </row>
    <row r="9126">
      <c r="C9126" s="1"/>
    </row>
    <row r="9127">
      <c r="C9127" s="1"/>
    </row>
    <row r="9128">
      <c r="C9128" s="1"/>
    </row>
    <row r="9129">
      <c r="C9129" s="1"/>
    </row>
    <row r="9130">
      <c r="C9130" s="1"/>
    </row>
    <row r="9131">
      <c r="C9131" s="1"/>
    </row>
    <row r="9132">
      <c r="C9132" s="1"/>
    </row>
    <row r="9133">
      <c r="C9133" s="1"/>
    </row>
    <row r="9134">
      <c r="C9134" s="1"/>
    </row>
    <row r="9135">
      <c r="C9135" s="1"/>
    </row>
    <row r="9136">
      <c r="C9136" s="1"/>
    </row>
    <row r="9137">
      <c r="C9137" s="1"/>
    </row>
    <row r="9138">
      <c r="C9138" s="1"/>
    </row>
    <row r="9139">
      <c r="C9139" s="1"/>
    </row>
    <row r="9140">
      <c r="C9140" s="1"/>
    </row>
    <row r="9141">
      <c r="C9141" s="1"/>
    </row>
    <row r="9142">
      <c r="C9142" s="1"/>
    </row>
    <row r="9143">
      <c r="C9143" s="1"/>
    </row>
    <row r="9144">
      <c r="C9144" s="1"/>
    </row>
    <row r="9145">
      <c r="C9145" s="1"/>
    </row>
    <row r="9146">
      <c r="C9146" s="1"/>
    </row>
    <row r="9147">
      <c r="C9147" s="1"/>
    </row>
    <row r="9148">
      <c r="C9148" s="1"/>
    </row>
    <row r="9149">
      <c r="C9149" s="1"/>
    </row>
    <row r="9150">
      <c r="C9150" s="1"/>
    </row>
    <row r="9151">
      <c r="C9151" s="1"/>
    </row>
    <row r="9152">
      <c r="C9152" s="1"/>
    </row>
    <row r="9153">
      <c r="C9153" s="1"/>
    </row>
    <row r="9154">
      <c r="C9154" s="1"/>
    </row>
    <row r="9155">
      <c r="C9155" s="1"/>
    </row>
    <row r="9156">
      <c r="C9156" s="1"/>
    </row>
    <row r="9157">
      <c r="C9157" s="1"/>
    </row>
    <row r="9158">
      <c r="C9158" s="1"/>
    </row>
    <row r="9159">
      <c r="C9159" s="1"/>
    </row>
    <row r="9160">
      <c r="C9160" s="1"/>
    </row>
    <row r="9161">
      <c r="C9161" s="1"/>
    </row>
    <row r="9162">
      <c r="C9162" s="1"/>
    </row>
    <row r="9163">
      <c r="C9163" s="1"/>
    </row>
    <row r="9164">
      <c r="C9164" s="1"/>
    </row>
    <row r="9165">
      <c r="C9165" s="1"/>
    </row>
    <row r="9166">
      <c r="C9166" s="1"/>
    </row>
    <row r="9167">
      <c r="C9167" s="1"/>
    </row>
    <row r="9168">
      <c r="C9168" s="1"/>
    </row>
    <row r="9169">
      <c r="C9169" s="1"/>
    </row>
    <row r="9170">
      <c r="C9170" s="1"/>
    </row>
    <row r="9171">
      <c r="C9171" s="1"/>
    </row>
    <row r="9172">
      <c r="C9172" s="1"/>
    </row>
    <row r="9173">
      <c r="C9173" s="1"/>
    </row>
    <row r="9174">
      <c r="C9174" s="1"/>
    </row>
    <row r="9175">
      <c r="C9175" s="1"/>
    </row>
    <row r="9176">
      <c r="C9176" s="1"/>
    </row>
    <row r="9177">
      <c r="C9177" s="1"/>
    </row>
    <row r="9178">
      <c r="C9178" s="1"/>
    </row>
    <row r="9179">
      <c r="C9179" s="1"/>
    </row>
    <row r="9180">
      <c r="C9180" s="1"/>
    </row>
    <row r="9181">
      <c r="C9181" s="1"/>
    </row>
    <row r="9182">
      <c r="C9182" s="1"/>
    </row>
    <row r="9183">
      <c r="C9183" s="1"/>
    </row>
    <row r="9184">
      <c r="C9184" s="1"/>
    </row>
    <row r="9185">
      <c r="C9185" s="1"/>
    </row>
    <row r="9186">
      <c r="C9186" s="1"/>
    </row>
    <row r="9187">
      <c r="C9187" s="1"/>
    </row>
    <row r="9188">
      <c r="C9188" s="1"/>
    </row>
    <row r="9189">
      <c r="C9189" s="1"/>
    </row>
    <row r="9190">
      <c r="C9190" s="1"/>
    </row>
    <row r="9191">
      <c r="C9191" s="1"/>
    </row>
    <row r="9192">
      <c r="C9192" s="1"/>
    </row>
    <row r="9193">
      <c r="C9193" s="1"/>
    </row>
    <row r="9194">
      <c r="C9194" s="1"/>
    </row>
    <row r="9195">
      <c r="C9195" s="1"/>
    </row>
    <row r="9196">
      <c r="C9196" s="1"/>
    </row>
    <row r="9197">
      <c r="C9197" s="1"/>
    </row>
    <row r="9198">
      <c r="C9198" s="1"/>
    </row>
    <row r="9199">
      <c r="C9199" s="1"/>
    </row>
    <row r="9200">
      <c r="C9200" s="1"/>
    </row>
    <row r="9201">
      <c r="C9201" s="1"/>
    </row>
    <row r="9202">
      <c r="C9202" s="1"/>
    </row>
    <row r="9203">
      <c r="C9203" s="1"/>
    </row>
    <row r="9204">
      <c r="C9204" s="1"/>
    </row>
    <row r="9205">
      <c r="C9205" s="1"/>
    </row>
    <row r="9206">
      <c r="C9206" s="1"/>
    </row>
    <row r="9207">
      <c r="C9207" s="1"/>
    </row>
    <row r="9208">
      <c r="C9208" s="1"/>
    </row>
    <row r="9209">
      <c r="C9209" s="1"/>
    </row>
    <row r="9210">
      <c r="C9210" s="1"/>
    </row>
    <row r="9211">
      <c r="C9211" s="1"/>
    </row>
    <row r="9212">
      <c r="C9212" s="1"/>
    </row>
    <row r="9213">
      <c r="C9213" s="1"/>
    </row>
    <row r="9214">
      <c r="C9214" s="1"/>
    </row>
    <row r="9215">
      <c r="C9215" s="1"/>
    </row>
    <row r="9216">
      <c r="C9216" s="1"/>
    </row>
    <row r="9217">
      <c r="C9217" s="1"/>
    </row>
    <row r="9218">
      <c r="C9218" s="1"/>
    </row>
    <row r="9219">
      <c r="C9219" s="1"/>
    </row>
    <row r="9220">
      <c r="C9220" s="1"/>
    </row>
    <row r="9221">
      <c r="C9221" s="1"/>
    </row>
    <row r="9222">
      <c r="C9222" s="1"/>
    </row>
    <row r="9223">
      <c r="C9223" s="1"/>
    </row>
    <row r="9224">
      <c r="C9224" s="1"/>
    </row>
    <row r="9225">
      <c r="C9225" s="1"/>
    </row>
    <row r="9226">
      <c r="C9226" s="1"/>
    </row>
    <row r="9227">
      <c r="C9227" s="1"/>
    </row>
    <row r="9228">
      <c r="C9228" s="1"/>
    </row>
    <row r="9229">
      <c r="C9229" s="1"/>
    </row>
    <row r="9230">
      <c r="C9230" s="1"/>
    </row>
    <row r="9231">
      <c r="C9231" s="1"/>
    </row>
    <row r="9232">
      <c r="C9232" s="1"/>
    </row>
    <row r="9233">
      <c r="C9233" s="1"/>
    </row>
    <row r="9234">
      <c r="C9234" s="1"/>
    </row>
    <row r="9235">
      <c r="C9235" s="1"/>
    </row>
    <row r="9236">
      <c r="C9236" s="1"/>
    </row>
    <row r="9237">
      <c r="C9237" s="1"/>
    </row>
    <row r="9238">
      <c r="C9238" s="1"/>
    </row>
    <row r="9239">
      <c r="C9239" s="1"/>
    </row>
    <row r="9240">
      <c r="C9240" s="1"/>
    </row>
    <row r="9241">
      <c r="C9241" s="1"/>
    </row>
    <row r="9242">
      <c r="C9242" s="1"/>
    </row>
    <row r="9243">
      <c r="C9243" s="1"/>
    </row>
    <row r="9244">
      <c r="C9244" s="1"/>
    </row>
    <row r="9245">
      <c r="C9245" s="1"/>
    </row>
    <row r="9246">
      <c r="C9246" s="1"/>
    </row>
    <row r="9247">
      <c r="C9247" s="1"/>
    </row>
    <row r="9248">
      <c r="C9248" s="1"/>
    </row>
    <row r="9249">
      <c r="C9249" s="1"/>
    </row>
    <row r="9250">
      <c r="C9250" s="1"/>
    </row>
    <row r="9251">
      <c r="C9251" s="1"/>
    </row>
    <row r="9252">
      <c r="C9252" s="1"/>
    </row>
    <row r="9253">
      <c r="C9253" s="1"/>
    </row>
    <row r="9254">
      <c r="C9254" s="1"/>
    </row>
    <row r="9255">
      <c r="C9255" s="1"/>
    </row>
    <row r="9256">
      <c r="C9256" s="1"/>
    </row>
    <row r="9257">
      <c r="C9257" s="1"/>
    </row>
    <row r="9258">
      <c r="C9258" s="1"/>
    </row>
    <row r="9259">
      <c r="C9259" s="1"/>
    </row>
    <row r="9260">
      <c r="C9260" s="1"/>
    </row>
    <row r="9261">
      <c r="C9261" s="1"/>
    </row>
    <row r="9262">
      <c r="C9262" s="1"/>
    </row>
    <row r="9263">
      <c r="C9263" s="1"/>
    </row>
    <row r="9264">
      <c r="C9264" s="1"/>
    </row>
    <row r="9265">
      <c r="C9265" s="1"/>
    </row>
    <row r="9266">
      <c r="C9266" s="1"/>
    </row>
    <row r="9267">
      <c r="C9267" s="1"/>
    </row>
    <row r="9268">
      <c r="C9268" s="1"/>
    </row>
    <row r="9269">
      <c r="C9269" s="1"/>
    </row>
    <row r="9270">
      <c r="C9270" s="1"/>
    </row>
    <row r="9271">
      <c r="C9271" s="1"/>
    </row>
    <row r="9272">
      <c r="C9272" s="1"/>
    </row>
    <row r="9273">
      <c r="C9273" s="1"/>
    </row>
    <row r="9274">
      <c r="C9274" s="1"/>
    </row>
    <row r="9275">
      <c r="C9275" s="1"/>
    </row>
    <row r="9276">
      <c r="C9276" s="1"/>
    </row>
    <row r="9277">
      <c r="C9277" s="1"/>
    </row>
    <row r="9278">
      <c r="C9278" s="1"/>
    </row>
    <row r="9279">
      <c r="C9279" s="1"/>
    </row>
    <row r="9280">
      <c r="C9280" s="1"/>
    </row>
    <row r="9281">
      <c r="C9281" s="1"/>
    </row>
    <row r="9282">
      <c r="C9282" s="1"/>
    </row>
    <row r="9283">
      <c r="C9283" s="1"/>
    </row>
    <row r="9284">
      <c r="C9284" s="1"/>
    </row>
    <row r="9285">
      <c r="C9285" s="1"/>
    </row>
    <row r="9286">
      <c r="C9286" s="1"/>
    </row>
    <row r="9287">
      <c r="C9287" s="1"/>
    </row>
    <row r="9288">
      <c r="C9288" s="1"/>
    </row>
    <row r="9289">
      <c r="C9289" s="1"/>
    </row>
    <row r="9290">
      <c r="C9290" s="1"/>
    </row>
    <row r="9291">
      <c r="C9291" s="1"/>
    </row>
    <row r="9292">
      <c r="C9292" s="1"/>
    </row>
    <row r="9293">
      <c r="C9293" s="1"/>
    </row>
    <row r="9294">
      <c r="C9294" s="1"/>
    </row>
    <row r="9295">
      <c r="C9295" s="1"/>
    </row>
    <row r="9296">
      <c r="C9296" s="1"/>
    </row>
    <row r="9297">
      <c r="C9297" s="1"/>
    </row>
    <row r="9298">
      <c r="C9298" s="1"/>
    </row>
    <row r="9299">
      <c r="C9299" s="1"/>
    </row>
    <row r="9300">
      <c r="C9300" s="1"/>
    </row>
    <row r="9301">
      <c r="C9301" s="1"/>
    </row>
    <row r="9302">
      <c r="C9302" s="1"/>
    </row>
    <row r="9303">
      <c r="C9303" s="1"/>
    </row>
    <row r="9304">
      <c r="C9304" s="1"/>
    </row>
    <row r="9305">
      <c r="C9305" s="1"/>
    </row>
    <row r="9306">
      <c r="C9306" s="1"/>
    </row>
    <row r="9307">
      <c r="C9307" s="1"/>
    </row>
    <row r="9308">
      <c r="C9308" s="1"/>
    </row>
    <row r="9309">
      <c r="C9309" s="1"/>
    </row>
    <row r="9310">
      <c r="C9310" s="1"/>
    </row>
    <row r="9311">
      <c r="C9311" s="1"/>
    </row>
    <row r="9312">
      <c r="C9312" s="1"/>
    </row>
    <row r="9313">
      <c r="C9313" s="1"/>
    </row>
    <row r="9314">
      <c r="C9314" s="1"/>
    </row>
    <row r="9315">
      <c r="C9315" s="1"/>
    </row>
    <row r="9316">
      <c r="C9316" s="1"/>
    </row>
    <row r="9317">
      <c r="C9317" s="1"/>
    </row>
    <row r="9318">
      <c r="C9318" s="1"/>
    </row>
    <row r="9319">
      <c r="C9319" s="1"/>
    </row>
    <row r="9320">
      <c r="C9320" s="1"/>
    </row>
    <row r="9321">
      <c r="C9321" s="1"/>
    </row>
    <row r="9322">
      <c r="C9322" s="1"/>
    </row>
    <row r="9323">
      <c r="C9323" s="1"/>
    </row>
    <row r="9324">
      <c r="C9324" s="1"/>
    </row>
    <row r="9325">
      <c r="C9325" s="1"/>
    </row>
    <row r="9326">
      <c r="C9326" s="1"/>
    </row>
    <row r="9327">
      <c r="C9327" s="1"/>
    </row>
    <row r="9328">
      <c r="C9328" s="1"/>
    </row>
    <row r="9329">
      <c r="C9329" s="1"/>
    </row>
    <row r="9330">
      <c r="C9330" s="1"/>
    </row>
    <row r="9331">
      <c r="C9331" s="1"/>
    </row>
    <row r="9332">
      <c r="C9332" s="1"/>
    </row>
    <row r="9333">
      <c r="C9333" s="1"/>
    </row>
    <row r="9334">
      <c r="C9334" s="1"/>
    </row>
    <row r="9335">
      <c r="C9335" s="1"/>
    </row>
    <row r="9336">
      <c r="C9336" s="1"/>
    </row>
    <row r="9337">
      <c r="C9337" s="1"/>
    </row>
    <row r="9338">
      <c r="C9338" s="1"/>
    </row>
    <row r="9339">
      <c r="C9339" s="1"/>
    </row>
    <row r="9340">
      <c r="C9340" s="1"/>
    </row>
    <row r="9341">
      <c r="C9341" s="1"/>
    </row>
    <row r="9342">
      <c r="C9342" s="1"/>
    </row>
    <row r="9343">
      <c r="C9343" s="1"/>
    </row>
    <row r="9344">
      <c r="C9344" s="1"/>
    </row>
    <row r="9345">
      <c r="C9345" s="1"/>
    </row>
    <row r="9346">
      <c r="C9346" s="1"/>
    </row>
    <row r="9347">
      <c r="C9347" s="1"/>
    </row>
    <row r="9348">
      <c r="C9348" s="1"/>
    </row>
    <row r="9349">
      <c r="C9349" s="1"/>
    </row>
    <row r="9350">
      <c r="C9350" s="1"/>
    </row>
    <row r="9351">
      <c r="C9351" s="1"/>
    </row>
    <row r="9352">
      <c r="C9352" s="1"/>
    </row>
    <row r="9353">
      <c r="C9353" s="1"/>
    </row>
    <row r="9354">
      <c r="C9354" s="1"/>
    </row>
    <row r="9355">
      <c r="C9355" s="1"/>
    </row>
    <row r="9356">
      <c r="C9356" s="1"/>
    </row>
    <row r="9357">
      <c r="C9357" s="1"/>
    </row>
    <row r="9358">
      <c r="C9358" s="1"/>
    </row>
    <row r="9359">
      <c r="C9359" s="1"/>
    </row>
    <row r="9360">
      <c r="C9360" s="1"/>
    </row>
    <row r="9361">
      <c r="C9361" s="1"/>
    </row>
    <row r="9362">
      <c r="C9362" s="1"/>
    </row>
    <row r="9363">
      <c r="C9363" s="1"/>
    </row>
    <row r="9364">
      <c r="C9364" s="1"/>
    </row>
    <row r="9365">
      <c r="C9365" s="1"/>
    </row>
    <row r="9366">
      <c r="C9366" s="1"/>
    </row>
    <row r="9367">
      <c r="C9367" s="1"/>
    </row>
    <row r="9368">
      <c r="C9368" s="1"/>
    </row>
    <row r="9369">
      <c r="C9369" s="1"/>
    </row>
    <row r="9370">
      <c r="C9370" s="1"/>
    </row>
    <row r="9371">
      <c r="C9371" s="1"/>
    </row>
    <row r="9372">
      <c r="C9372" s="1"/>
    </row>
    <row r="9373">
      <c r="C9373" s="1"/>
    </row>
    <row r="9374">
      <c r="C9374" s="1"/>
    </row>
    <row r="9375">
      <c r="C9375" s="1"/>
    </row>
    <row r="9376">
      <c r="C9376" s="1"/>
    </row>
    <row r="9377">
      <c r="C9377" s="1"/>
    </row>
    <row r="9378">
      <c r="C9378" s="1"/>
    </row>
    <row r="9379">
      <c r="C9379" s="1"/>
    </row>
    <row r="9380">
      <c r="C9380" s="1"/>
    </row>
    <row r="9381">
      <c r="C9381" s="1"/>
    </row>
    <row r="9382">
      <c r="C9382" s="1"/>
    </row>
    <row r="9383">
      <c r="C9383" s="1"/>
    </row>
    <row r="9384">
      <c r="C9384" s="1"/>
    </row>
    <row r="9385">
      <c r="C9385" s="1"/>
    </row>
    <row r="9386">
      <c r="C9386" s="1"/>
    </row>
    <row r="9387">
      <c r="C9387" s="1"/>
    </row>
    <row r="9388">
      <c r="C9388" s="1"/>
    </row>
    <row r="9389">
      <c r="C9389" s="1"/>
    </row>
    <row r="9390">
      <c r="C9390" s="1"/>
    </row>
    <row r="9391">
      <c r="C9391" s="1"/>
    </row>
    <row r="9392">
      <c r="C9392" s="1"/>
    </row>
    <row r="9393">
      <c r="C9393" s="1"/>
    </row>
    <row r="9394">
      <c r="C9394" s="1"/>
    </row>
    <row r="9395">
      <c r="C9395" s="1"/>
    </row>
    <row r="9396">
      <c r="C9396" s="1"/>
    </row>
    <row r="9397">
      <c r="C9397" s="1"/>
    </row>
    <row r="9398">
      <c r="C9398" s="1"/>
    </row>
    <row r="9399">
      <c r="C9399" s="1"/>
    </row>
    <row r="9400">
      <c r="C9400" s="1"/>
    </row>
    <row r="9401">
      <c r="C9401" s="1"/>
    </row>
    <row r="9402">
      <c r="C9402" s="1"/>
    </row>
    <row r="9403">
      <c r="C9403" s="1"/>
    </row>
    <row r="9404">
      <c r="C9404" s="1"/>
    </row>
    <row r="9405">
      <c r="C9405" s="1"/>
    </row>
    <row r="9406">
      <c r="C9406" s="1"/>
    </row>
    <row r="9407">
      <c r="C9407" s="1"/>
    </row>
    <row r="9408">
      <c r="C9408" s="1"/>
    </row>
    <row r="9409">
      <c r="C9409" s="1"/>
    </row>
    <row r="9410">
      <c r="C9410" s="1"/>
    </row>
    <row r="9411">
      <c r="C9411" s="1"/>
    </row>
    <row r="9412">
      <c r="C9412" s="1"/>
    </row>
    <row r="9413">
      <c r="C9413" s="1"/>
    </row>
    <row r="9414">
      <c r="C9414" s="1"/>
    </row>
    <row r="9415">
      <c r="C9415" s="1"/>
    </row>
    <row r="9416">
      <c r="C9416" s="1"/>
    </row>
    <row r="9417">
      <c r="C9417" s="1"/>
    </row>
    <row r="9418">
      <c r="C9418" s="1"/>
    </row>
    <row r="9419">
      <c r="C9419" s="1"/>
    </row>
    <row r="9420">
      <c r="C9420" s="1"/>
    </row>
    <row r="9421">
      <c r="C9421" s="1"/>
    </row>
    <row r="9422">
      <c r="C9422" s="1"/>
    </row>
    <row r="9423">
      <c r="C9423" s="1"/>
    </row>
    <row r="9424">
      <c r="C9424" s="1"/>
    </row>
    <row r="9425">
      <c r="C9425" s="1"/>
    </row>
    <row r="9426">
      <c r="C9426" s="1"/>
    </row>
    <row r="9427">
      <c r="C9427" s="1"/>
    </row>
    <row r="9428">
      <c r="C9428" s="1"/>
    </row>
    <row r="9429">
      <c r="C9429" s="1"/>
    </row>
    <row r="9430">
      <c r="C9430" s="1"/>
    </row>
    <row r="9431">
      <c r="C9431" s="1"/>
    </row>
    <row r="9432">
      <c r="C9432" s="1"/>
    </row>
    <row r="9433">
      <c r="C9433" s="1"/>
    </row>
    <row r="9434">
      <c r="C9434" s="1"/>
    </row>
    <row r="9435">
      <c r="C9435" s="1"/>
    </row>
    <row r="9436">
      <c r="C9436" s="1"/>
    </row>
    <row r="9437">
      <c r="C9437" s="1"/>
    </row>
    <row r="9438">
      <c r="C9438" s="1"/>
    </row>
    <row r="9439">
      <c r="C9439" s="1"/>
    </row>
    <row r="9440">
      <c r="C9440" s="1"/>
    </row>
    <row r="9441">
      <c r="C9441" s="1"/>
    </row>
    <row r="9442">
      <c r="C9442" s="1"/>
    </row>
    <row r="9443">
      <c r="C9443" s="1"/>
    </row>
    <row r="9444">
      <c r="C9444" s="1"/>
    </row>
    <row r="9445">
      <c r="C9445" s="1"/>
    </row>
    <row r="9446">
      <c r="C9446" s="1"/>
    </row>
    <row r="9447">
      <c r="C9447" s="1"/>
    </row>
    <row r="9448">
      <c r="C9448" s="1"/>
    </row>
    <row r="9449">
      <c r="C9449" s="1"/>
    </row>
    <row r="9450">
      <c r="C9450" s="1"/>
    </row>
    <row r="9451">
      <c r="C9451" s="1"/>
    </row>
    <row r="9452">
      <c r="C9452" s="1"/>
    </row>
    <row r="9453">
      <c r="C9453" s="1"/>
    </row>
    <row r="9454">
      <c r="C9454" s="1"/>
    </row>
    <row r="9455">
      <c r="C9455" s="1"/>
    </row>
    <row r="9456">
      <c r="C9456" s="1"/>
    </row>
    <row r="9457">
      <c r="C9457" s="1"/>
    </row>
    <row r="9458">
      <c r="C9458" s="1"/>
    </row>
    <row r="9459">
      <c r="C9459" s="1"/>
    </row>
    <row r="9460">
      <c r="C9460" s="1"/>
    </row>
    <row r="9461">
      <c r="C9461" s="1"/>
    </row>
    <row r="9462">
      <c r="C9462" s="1"/>
    </row>
    <row r="9463">
      <c r="C9463" s="1"/>
    </row>
    <row r="9464">
      <c r="C9464" s="1"/>
    </row>
    <row r="9465">
      <c r="C9465" s="1"/>
    </row>
    <row r="9466">
      <c r="C9466" s="1"/>
    </row>
    <row r="9467">
      <c r="C9467" s="1"/>
    </row>
    <row r="9468">
      <c r="C9468" s="1"/>
    </row>
    <row r="9469">
      <c r="C9469" s="1"/>
    </row>
    <row r="9470">
      <c r="C9470" s="1"/>
    </row>
    <row r="9471">
      <c r="C9471" s="1"/>
    </row>
    <row r="9472">
      <c r="C9472" s="1"/>
    </row>
    <row r="9473">
      <c r="C9473" s="1"/>
    </row>
    <row r="9474">
      <c r="C9474" s="1"/>
    </row>
    <row r="9475">
      <c r="C9475" s="1"/>
    </row>
    <row r="9476">
      <c r="C9476" s="1"/>
    </row>
    <row r="9477">
      <c r="C9477" s="1"/>
    </row>
    <row r="9478">
      <c r="C9478" s="1"/>
    </row>
    <row r="9479">
      <c r="C9479" s="1"/>
    </row>
    <row r="9480">
      <c r="C9480" s="1"/>
    </row>
    <row r="9481">
      <c r="C9481" s="1"/>
    </row>
    <row r="9482">
      <c r="C9482" s="1"/>
    </row>
    <row r="9483">
      <c r="C9483" s="1"/>
    </row>
    <row r="9484">
      <c r="C9484" s="1"/>
    </row>
    <row r="9485">
      <c r="C9485" s="1"/>
    </row>
    <row r="9486">
      <c r="C9486" s="1"/>
    </row>
    <row r="9487">
      <c r="C9487" s="1"/>
    </row>
    <row r="9488">
      <c r="C9488" s="1"/>
    </row>
    <row r="9489">
      <c r="C9489" s="1"/>
    </row>
    <row r="9490">
      <c r="C9490" s="1"/>
    </row>
    <row r="9491">
      <c r="C9491" s="1"/>
    </row>
    <row r="9492">
      <c r="C9492" s="1"/>
    </row>
    <row r="9493">
      <c r="C9493" s="1"/>
    </row>
    <row r="9494">
      <c r="C9494" s="1"/>
    </row>
    <row r="9495">
      <c r="C9495" s="1"/>
    </row>
    <row r="9496">
      <c r="C9496" s="1"/>
    </row>
    <row r="9497">
      <c r="C9497" s="1"/>
    </row>
    <row r="9498">
      <c r="C9498" s="1"/>
    </row>
    <row r="9499">
      <c r="C9499" s="1"/>
    </row>
    <row r="9500">
      <c r="C9500" s="1"/>
    </row>
    <row r="9501">
      <c r="C9501" s="1"/>
    </row>
    <row r="9502">
      <c r="C9502" s="1"/>
    </row>
    <row r="9503">
      <c r="C9503" s="1"/>
    </row>
    <row r="9504">
      <c r="C9504" s="1"/>
    </row>
    <row r="9505">
      <c r="C9505" s="1"/>
    </row>
    <row r="9506">
      <c r="C9506" s="1"/>
    </row>
    <row r="9507">
      <c r="C9507" s="1"/>
    </row>
    <row r="9508">
      <c r="C9508" s="1"/>
    </row>
    <row r="9509">
      <c r="C9509" s="1"/>
    </row>
    <row r="9510">
      <c r="C9510" s="1"/>
    </row>
    <row r="9511">
      <c r="C9511" s="1"/>
    </row>
    <row r="9512">
      <c r="C9512" s="1"/>
    </row>
    <row r="9513">
      <c r="C9513" s="1"/>
    </row>
    <row r="9514">
      <c r="C9514" s="1"/>
    </row>
    <row r="9515">
      <c r="C9515" s="1"/>
    </row>
    <row r="9516">
      <c r="C9516" s="1"/>
    </row>
    <row r="9517">
      <c r="C9517" s="1"/>
    </row>
    <row r="9518">
      <c r="C9518" s="1"/>
    </row>
    <row r="9519">
      <c r="C9519" s="1"/>
    </row>
    <row r="9520">
      <c r="C9520" s="1"/>
    </row>
    <row r="9521">
      <c r="C9521" s="1"/>
    </row>
    <row r="9522">
      <c r="C9522" s="1"/>
    </row>
    <row r="9523">
      <c r="C9523" s="1"/>
    </row>
    <row r="9524">
      <c r="C9524" s="1"/>
    </row>
    <row r="9525">
      <c r="C9525" s="1"/>
    </row>
    <row r="9526">
      <c r="C9526" s="1"/>
    </row>
    <row r="9527">
      <c r="C9527" s="1"/>
    </row>
    <row r="9528">
      <c r="C9528" s="1"/>
    </row>
    <row r="9529">
      <c r="C9529" s="1"/>
    </row>
    <row r="9530">
      <c r="C9530" s="1"/>
    </row>
    <row r="9531">
      <c r="C9531" s="1"/>
    </row>
    <row r="9532">
      <c r="C9532" s="1"/>
    </row>
    <row r="9533">
      <c r="C9533" s="1"/>
    </row>
    <row r="9534">
      <c r="C9534" s="1"/>
    </row>
    <row r="9535">
      <c r="C9535" s="1"/>
    </row>
    <row r="9536">
      <c r="C9536" s="1"/>
    </row>
    <row r="9537">
      <c r="C9537" s="1"/>
    </row>
    <row r="9538">
      <c r="C9538" s="1"/>
    </row>
    <row r="9539">
      <c r="C9539" s="1"/>
    </row>
    <row r="9540">
      <c r="C9540" s="1"/>
    </row>
    <row r="9541">
      <c r="C9541" s="1"/>
    </row>
    <row r="9542">
      <c r="C9542" s="1"/>
    </row>
    <row r="9543">
      <c r="C9543" s="1"/>
    </row>
    <row r="9544">
      <c r="C9544" s="1"/>
    </row>
    <row r="9545">
      <c r="C9545" s="1"/>
    </row>
    <row r="9546">
      <c r="C9546" s="1"/>
    </row>
    <row r="9547">
      <c r="C9547" s="1"/>
    </row>
    <row r="9548">
      <c r="C9548" s="1"/>
    </row>
    <row r="9549">
      <c r="C9549" s="1"/>
    </row>
    <row r="9550">
      <c r="C9550" s="1"/>
    </row>
    <row r="9551">
      <c r="C9551" s="1"/>
    </row>
    <row r="9552">
      <c r="C9552" s="1"/>
    </row>
    <row r="9553">
      <c r="C9553" s="1"/>
    </row>
    <row r="9554">
      <c r="C9554" s="1"/>
    </row>
    <row r="9555">
      <c r="C9555" s="1"/>
    </row>
    <row r="9556">
      <c r="C9556" s="1"/>
    </row>
    <row r="9557">
      <c r="C9557" s="1"/>
    </row>
    <row r="9558">
      <c r="C9558" s="1"/>
    </row>
    <row r="9559">
      <c r="C9559" s="1"/>
    </row>
    <row r="9560">
      <c r="C9560" s="1"/>
    </row>
    <row r="9561">
      <c r="C9561" s="1"/>
    </row>
    <row r="9562">
      <c r="C9562" s="1"/>
    </row>
    <row r="9563">
      <c r="C9563" s="1"/>
    </row>
    <row r="9564">
      <c r="C9564" s="1"/>
    </row>
    <row r="9565">
      <c r="C9565" s="1"/>
    </row>
    <row r="9566">
      <c r="C9566" s="1"/>
    </row>
    <row r="9567">
      <c r="C9567" s="1"/>
    </row>
    <row r="9568">
      <c r="C9568" s="1"/>
    </row>
    <row r="9569">
      <c r="C9569" s="1"/>
    </row>
    <row r="9570">
      <c r="C9570" s="1"/>
    </row>
    <row r="9571">
      <c r="C9571" s="1"/>
    </row>
    <row r="9572">
      <c r="C9572" s="1"/>
    </row>
    <row r="9573">
      <c r="C9573" s="1"/>
    </row>
    <row r="9574">
      <c r="C9574" s="1"/>
    </row>
    <row r="9575">
      <c r="C9575" s="1"/>
    </row>
    <row r="9576">
      <c r="C9576" s="1"/>
    </row>
    <row r="9577">
      <c r="C9577" s="1"/>
    </row>
    <row r="9578">
      <c r="C9578" s="1"/>
    </row>
    <row r="9579">
      <c r="C9579" s="1"/>
    </row>
    <row r="9580">
      <c r="C9580" s="1"/>
    </row>
    <row r="9581">
      <c r="C9581" s="1"/>
    </row>
    <row r="9582">
      <c r="C9582" s="1"/>
    </row>
    <row r="9583">
      <c r="C9583" s="1"/>
    </row>
    <row r="9584">
      <c r="C9584" s="1"/>
    </row>
    <row r="9585">
      <c r="C9585" s="1"/>
    </row>
    <row r="9586">
      <c r="C9586" s="1"/>
    </row>
    <row r="9587">
      <c r="C9587" s="1"/>
    </row>
    <row r="9588">
      <c r="C9588" s="1"/>
    </row>
    <row r="9589">
      <c r="C9589" s="1"/>
    </row>
    <row r="9590">
      <c r="C9590" s="1"/>
    </row>
    <row r="9591">
      <c r="C9591" s="1"/>
    </row>
    <row r="9592">
      <c r="C9592" s="1"/>
    </row>
    <row r="9593">
      <c r="C9593" s="1"/>
    </row>
    <row r="9594">
      <c r="C9594" s="1"/>
    </row>
    <row r="9595">
      <c r="C9595" s="1"/>
    </row>
    <row r="9596">
      <c r="C9596" s="1"/>
    </row>
    <row r="9597">
      <c r="C9597" s="1"/>
    </row>
    <row r="9598">
      <c r="C9598" s="1"/>
    </row>
    <row r="9599">
      <c r="C9599" s="1"/>
    </row>
    <row r="9600">
      <c r="C9600" s="1"/>
    </row>
    <row r="9601">
      <c r="C9601" s="1"/>
    </row>
    <row r="9602">
      <c r="C9602" s="1"/>
    </row>
    <row r="9603">
      <c r="C9603" s="1"/>
    </row>
    <row r="9604">
      <c r="C9604" s="1"/>
    </row>
    <row r="9605">
      <c r="C9605" s="1"/>
    </row>
    <row r="9606">
      <c r="C9606" s="1"/>
    </row>
    <row r="9607">
      <c r="C9607" s="1"/>
    </row>
    <row r="9608">
      <c r="C9608" s="1"/>
    </row>
    <row r="9609">
      <c r="C9609" s="1"/>
    </row>
    <row r="9610">
      <c r="C9610" s="1"/>
    </row>
    <row r="9611">
      <c r="C9611" s="1"/>
    </row>
    <row r="9612">
      <c r="C9612" s="1"/>
    </row>
    <row r="9613">
      <c r="C9613" s="1"/>
    </row>
    <row r="9614">
      <c r="C9614" s="1"/>
    </row>
    <row r="9615">
      <c r="C9615" s="1"/>
    </row>
    <row r="9616">
      <c r="C9616" s="1"/>
    </row>
    <row r="9617">
      <c r="C9617" s="1"/>
    </row>
    <row r="9618">
      <c r="C9618" s="1"/>
    </row>
    <row r="9619">
      <c r="C9619" s="1"/>
    </row>
    <row r="9620">
      <c r="C9620" s="1"/>
    </row>
    <row r="9621">
      <c r="C9621" s="1"/>
    </row>
    <row r="9622">
      <c r="C9622" s="1"/>
    </row>
    <row r="9623">
      <c r="C9623" s="1"/>
    </row>
    <row r="9624">
      <c r="C9624" s="1"/>
    </row>
    <row r="9625">
      <c r="C9625" s="1"/>
    </row>
    <row r="9626">
      <c r="C9626" s="1"/>
    </row>
    <row r="9627">
      <c r="C9627" s="1"/>
    </row>
    <row r="9628">
      <c r="C9628" s="1"/>
    </row>
    <row r="9629">
      <c r="C9629" s="1"/>
    </row>
    <row r="9630">
      <c r="C9630" s="1"/>
    </row>
    <row r="9631">
      <c r="C9631" s="1"/>
    </row>
    <row r="9632">
      <c r="C9632" s="1"/>
    </row>
    <row r="9633">
      <c r="C9633" s="1"/>
    </row>
    <row r="9634">
      <c r="C9634" s="1"/>
    </row>
    <row r="9635">
      <c r="C9635" s="1"/>
    </row>
    <row r="9636">
      <c r="C9636" s="1"/>
    </row>
    <row r="9637">
      <c r="C9637" s="1"/>
    </row>
    <row r="9638">
      <c r="C9638" s="1"/>
    </row>
    <row r="9639">
      <c r="C9639" s="1"/>
    </row>
    <row r="9640">
      <c r="C9640" s="1"/>
    </row>
    <row r="9641">
      <c r="C9641" s="1"/>
    </row>
    <row r="9642">
      <c r="C9642" s="1"/>
    </row>
    <row r="9643">
      <c r="C9643" s="1"/>
    </row>
    <row r="9644">
      <c r="C9644" s="1"/>
    </row>
    <row r="9645">
      <c r="C9645" s="1"/>
    </row>
    <row r="9646">
      <c r="C9646" s="1"/>
    </row>
    <row r="9647">
      <c r="C9647" s="1"/>
    </row>
    <row r="9648">
      <c r="C9648" s="1"/>
    </row>
    <row r="9649">
      <c r="C9649" s="1"/>
    </row>
    <row r="9650">
      <c r="C9650" s="1"/>
    </row>
    <row r="9651">
      <c r="C9651" s="1"/>
    </row>
    <row r="9652">
      <c r="C9652" s="1"/>
    </row>
    <row r="9653">
      <c r="C9653" s="1"/>
    </row>
    <row r="9654">
      <c r="C9654" s="1"/>
    </row>
    <row r="9655">
      <c r="C9655" s="1"/>
    </row>
    <row r="9656">
      <c r="C9656" s="1"/>
    </row>
    <row r="9657">
      <c r="C9657" s="1"/>
    </row>
    <row r="9658">
      <c r="C9658" s="1"/>
    </row>
    <row r="9659">
      <c r="C9659" s="1"/>
    </row>
    <row r="9660">
      <c r="C9660" s="1"/>
    </row>
    <row r="9661">
      <c r="C9661" s="1"/>
    </row>
    <row r="9662">
      <c r="C9662" s="1"/>
    </row>
    <row r="9663">
      <c r="C9663" s="1"/>
    </row>
    <row r="9664">
      <c r="C9664" s="1"/>
    </row>
    <row r="9665">
      <c r="C9665" s="1"/>
    </row>
    <row r="9666">
      <c r="C9666" s="1"/>
    </row>
    <row r="9667">
      <c r="C9667" s="1"/>
    </row>
    <row r="9668">
      <c r="C9668" s="1"/>
    </row>
    <row r="9669">
      <c r="C9669" s="1"/>
    </row>
    <row r="9670">
      <c r="C9670" s="1"/>
    </row>
    <row r="9671">
      <c r="C9671" s="1"/>
    </row>
    <row r="9672">
      <c r="C9672" s="1"/>
    </row>
    <row r="9673">
      <c r="C9673" s="1"/>
    </row>
    <row r="9674">
      <c r="C9674" s="1"/>
    </row>
    <row r="9675">
      <c r="C9675" s="1"/>
    </row>
    <row r="9676">
      <c r="C9676" s="1"/>
    </row>
    <row r="9677">
      <c r="C9677" s="1"/>
    </row>
    <row r="9678">
      <c r="C9678" s="1"/>
    </row>
    <row r="9679">
      <c r="C9679" s="1"/>
    </row>
    <row r="9680">
      <c r="C9680" s="1"/>
    </row>
    <row r="9681">
      <c r="C9681" s="1"/>
    </row>
    <row r="9682">
      <c r="C9682" s="1"/>
    </row>
    <row r="9683">
      <c r="C9683" s="1"/>
    </row>
    <row r="9684">
      <c r="C9684" s="1"/>
    </row>
    <row r="9685">
      <c r="C9685" s="1"/>
    </row>
    <row r="9686">
      <c r="C9686" s="1"/>
    </row>
    <row r="9687">
      <c r="C9687" s="1"/>
    </row>
    <row r="9688">
      <c r="C9688" s="1"/>
    </row>
    <row r="9689">
      <c r="C9689" s="1"/>
    </row>
    <row r="9690">
      <c r="C9690" s="1"/>
    </row>
    <row r="9691">
      <c r="C9691" s="1"/>
    </row>
    <row r="9692">
      <c r="C9692" s="1"/>
    </row>
    <row r="9693">
      <c r="C9693" s="1"/>
    </row>
    <row r="9694">
      <c r="C9694" s="1"/>
    </row>
    <row r="9695">
      <c r="C9695" s="1"/>
    </row>
    <row r="9696">
      <c r="C9696" s="1"/>
    </row>
    <row r="9697">
      <c r="C9697" s="1"/>
    </row>
    <row r="9698">
      <c r="C9698" s="1"/>
    </row>
    <row r="9699">
      <c r="C9699" s="1"/>
    </row>
    <row r="9700">
      <c r="C9700" s="1"/>
    </row>
    <row r="9701">
      <c r="C9701" s="1"/>
    </row>
    <row r="9702">
      <c r="C9702" s="1"/>
    </row>
    <row r="9703">
      <c r="C9703" s="1"/>
    </row>
    <row r="9704">
      <c r="C9704" s="1"/>
    </row>
    <row r="9705">
      <c r="C9705" s="1"/>
    </row>
    <row r="9706">
      <c r="C9706" s="1"/>
    </row>
    <row r="9707">
      <c r="C9707" s="1"/>
    </row>
    <row r="9708">
      <c r="C9708" s="1"/>
    </row>
    <row r="9709">
      <c r="C9709" s="1"/>
    </row>
    <row r="9710">
      <c r="C9710" s="1"/>
    </row>
    <row r="9711">
      <c r="C9711" s="1"/>
    </row>
    <row r="9712">
      <c r="C9712" s="1"/>
    </row>
    <row r="9713">
      <c r="C9713" s="1"/>
    </row>
    <row r="9714">
      <c r="C9714" s="1"/>
    </row>
    <row r="9715">
      <c r="C9715" s="1"/>
    </row>
    <row r="9716">
      <c r="C9716" s="1"/>
    </row>
    <row r="9717">
      <c r="C9717" s="1"/>
    </row>
    <row r="9718">
      <c r="C9718" s="1"/>
    </row>
    <row r="9719">
      <c r="C9719" s="1"/>
    </row>
    <row r="9720">
      <c r="C9720" s="1"/>
    </row>
    <row r="9721">
      <c r="C9721" s="1"/>
    </row>
    <row r="9722">
      <c r="C9722" s="1"/>
    </row>
    <row r="9723">
      <c r="C9723" s="1"/>
    </row>
    <row r="9724">
      <c r="C9724" s="1"/>
    </row>
    <row r="9725">
      <c r="C9725" s="1"/>
    </row>
    <row r="9726">
      <c r="C9726" s="1"/>
    </row>
    <row r="9727">
      <c r="C9727" s="1"/>
    </row>
    <row r="9728">
      <c r="C9728" s="1"/>
    </row>
    <row r="9729">
      <c r="C9729" s="1"/>
    </row>
    <row r="9730">
      <c r="C9730" s="1"/>
    </row>
    <row r="9731">
      <c r="C9731" s="1"/>
    </row>
    <row r="9732">
      <c r="C9732" s="1"/>
    </row>
    <row r="9733">
      <c r="C9733" s="1"/>
    </row>
    <row r="9734">
      <c r="C9734" s="1"/>
    </row>
    <row r="9735">
      <c r="C9735" s="1"/>
    </row>
    <row r="9736">
      <c r="C9736" s="1"/>
    </row>
    <row r="9737">
      <c r="C9737" s="1"/>
    </row>
    <row r="9738">
      <c r="C9738" s="1"/>
    </row>
    <row r="9739">
      <c r="C9739" s="1"/>
    </row>
    <row r="9740">
      <c r="C9740" s="1"/>
    </row>
    <row r="9741">
      <c r="C9741" s="1"/>
    </row>
    <row r="9742">
      <c r="C9742" s="1"/>
    </row>
    <row r="9743">
      <c r="C9743" s="1"/>
    </row>
    <row r="9744">
      <c r="C9744" s="1"/>
    </row>
    <row r="9745">
      <c r="C9745" s="1"/>
    </row>
    <row r="9746">
      <c r="C9746" s="1"/>
    </row>
    <row r="9747">
      <c r="C9747" s="1"/>
    </row>
    <row r="9748">
      <c r="C9748" s="1"/>
    </row>
    <row r="9749">
      <c r="C9749" s="1"/>
    </row>
    <row r="9750">
      <c r="C9750" s="1"/>
    </row>
    <row r="9751">
      <c r="C9751" s="1"/>
    </row>
    <row r="9752">
      <c r="C9752" s="1"/>
    </row>
    <row r="9753">
      <c r="C9753" s="1"/>
    </row>
    <row r="9754">
      <c r="C9754" s="1"/>
    </row>
    <row r="9755">
      <c r="C9755" s="1"/>
    </row>
    <row r="9756">
      <c r="C9756" s="1"/>
    </row>
    <row r="9757">
      <c r="C9757" s="1"/>
    </row>
    <row r="9758">
      <c r="C9758" s="1"/>
    </row>
    <row r="9759">
      <c r="C9759" s="1"/>
    </row>
    <row r="9760">
      <c r="C9760" s="1"/>
    </row>
    <row r="9761">
      <c r="C9761" s="1"/>
    </row>
    <row r="9762">
      <c r="C9762" s="1"/>
    </row>
    <row r="9763">
      <c r="C9763" s="1"/>
    </row>
    <row r="9764">
      <c r="C9764" s="1"/>
    </row>
    <row r="9765">
      <c r="C9765" s="1"/>
    </row>
    <row r="9766">
      <c r="C9766" s="1"/>
    </row>
    <row r="9767">
      <c r="C9767" s="1"/>
    </row>
    <row r="9768">
      <c r="C9768" s="1"/>
    </row>
    <row r="9769">
      <c r="C9769" s="1"/>
    </row>
    <row r="9770">
      <c r="C9770" s="1"/>
    </row>
    <row r="9771">
      <c r="C9771" s="1"/>
    </row>
    <row r="9772">
      <c r="C9772" s="1"/>
    </row>
    <row r="9773">
      <c r="C9773" s="1"/>
    </row>
    <row r="9774">
      <c r="C9774" s="1"/>
    </row>
    <row r="9775">
      <c r="C9775" s="1"/>
    </row>
    <row r="9776">
      <c r="C9776" s="1"/>
    </row>
    <row r="9777">
      <c r="C9777" s="1"/>
    </row>
    <row r="9778">
      <c r="C9778" s="1"/>
    </row>
    <row r="9779">
      <c r="C9779" s="1"/>
    </row>
    <row r="9780">
      <c r="C9780" s="1"/>
    </row>
    <row r="9781">
      <c r="C9781" s="1"/>
    </row>
    <row r="9782">
      <c r="C9782" s="1"/>
    </row>
    <row r="9783">
      <c r="C9783" s="1"/>
    </row>
    <row r="9784">
      <c r="C9784" s="1"/>
    </row>
    <row r="9785">
      <c r="C9785" s="1"/>
    </row>
    <row r="9786">
      <c r="C9786" s="1"/>
    </row>
    <row r="9787">
      <c r="C9787" s="1"/>
    </row>
    <row r="9788">
      <c r="C9788" s="1"/>
    </row>
    <row r="9789">
      <c r="C9789" s="1"/>
    </row>
    <row r="9790">
      <c r="C9790" s="1"/>
    </row>
    <row r="9791">
      <c r="C9791" s="1"/>
    </row>
    <row r="9792">
      <c r="C9792" s="1"/>
    </row>
    <row r="9793">
      <c r="C9793" s="1"/>
    </row>
    <row r="9794">
      <c r="C9794" s="1"/>
    </row>
    <row r="9795">
      <c r="C9795" s="1"/>
    </row>
    <row r="9796">
      <c r="C9796" s="1"/>
    </row>
    <row r="9797">
      <c r="C9797" s="1"/>
    </row>
    <row r="9798">
      <c r="C9798" s="1"/>
    </row>
    <row r="9799">
      <c r="C9799" s="1"/>
    </row>
    <row r="9800">
      <c r="C9800" s="1"/>
    </row>
    <row r="9801">
      <c r="C9801" s="1"/>
    </row>
    <row r="9802">
      <c r="C9802" s="1"/>
    </row>
    <row r="9803">
      <c r="C9803" s="1"/>
    </row>
    <row r="9804">
      <c r="C9804" s="1"/>
    </row>
    <row r="9805">
      <c r="C9805" s="1"/>
    </row>
    <row r="9806">
      <c r="C9806" s="1"/>
    </row>
    <row r="9807">
      <c r="C9807" s="1"/>
    </row>
    <row r="9808">
      <c r="C9808" s="1"/>
    </row>
    <row r="9809">
      <c r="C9809" s="1"/>
    </row>
    <row r="9810">
      <c r="C9810" s="1"/>
    </row>
    <row r="9811">
      <c r="C9811" s="1"/>
    </row>
    <row r="9812">
      <c r="C9812" s="1"/>
    </row>
    <row r="9813">
      <c r="C9813" s="1"/>
    </row>
    <row r="9814">
      <c r="C9814" s="1"/>
    </row>
    <row r="9815">
      <c r="C9815" s="1"/>
    </row>
    <row r="9816">
      <c r="C9816" s="1"/>
    </row>
    <row r="9817">
      <c r="C9817" s="1"/>
    </row>
    <row r="9818">
      <c r="C9818" s="1"/>
    </row>
    <row r="9819">
      <c r="C9819" s="1"/>
    </row>
    <row r="9820">
      <c r="C9820" s="1"/>
    </row>
    <row r="9821">
      <c r="C9821" s="1"/>
    </row>
    <row r="9822">
      <c r="C9822" s="1"/>
    </row>
    <row r="9823">
      <c r="C9823" s="1"/>
    </row>
    <row r="9824">
      <c r="C9824" s="1"/>
    </row>
    <row r="9825">
      <c r="C9825" s="1"/>
    </row>
    <row r="9826">
      <c r="C9826" s="1"/>
    </row>
    <row r="9827">
      <c r="C9827" s="1"/>
    </row>
    <row r="9828">
      <c r="C9828" s="1"/>
    </row>
    <row r="9829">
      <c r="C9829" s="1"/>
    </row>
    <row r="9830">
      <c r="C9830" s="1"/>
    </row>
    <row r="9831">
      <c r="C9831" s="1"/>
    </row>
    <row r="9832">
      <c r="C9832" s="1"/>
    </row>
    <row r="9833">
      <c r="C9833" s="1"/>
    </row>
    <row r="9834">
      <c r="C9834" s="1"/>
    </row>
    <row r="9835">
      <c r="C9835" s="1"/>
    </row>
    <row r="9836">
      <c r="C9836" s="1"/>
    </row>
    <row r="9837">
      <c r="C9837" s="1"/>
    </row>
    <row r="9838">
      <c r="C9838" s="1"/>
    </row>
    <row r="9839">
      <c r="C9839" s="1"/>
    </row>
    <row r="9840">
      <c r="C9840" s="1"/>
    </row>
    <row r="9841">
      <c r="C9841" s="1"/>
    </row>
    <row r="9842">
      <c r="C9842" s="1"/>
    </row>
    <row r="9843">
      <c r="C9843" s="1"/>
    </row>
    <row r="9844">
      <c r="C9844" s="1"/>
    </row>
    <row r="9845">
      <c r="C9845" s="1"/>
    </row>
    <row r="9846">
      <c r="C9846" s="1"/>
    </row>
    <row r="9847">
      <c r="C9847" s="1"/>
    </row>
    <row r="9848">
      <c r="C9848" s="1"/>
    </row>
    <row r="9849">
      <c r="C9849" s="1"/>
    </row>
    <row r="9850">
      <c r="C9850" s="1"/>
    </row>
    <row r="9851">
      <c r="C9851" s="1"/>
    </row>
    <row r="9852">
      <c r="C9852" s="1"/>
    </row>
    <row r="9853">
      <c r="C9853" s="1"/>
    </row>
    <row r="9854">
      <c r="C9854" s="1"/>
    </row>
    <row r="9855">
      <c r="C9855" s="1"/>
    </row>
    <row r="9856">
      <c r="C9856" s="1"/>
    </row>
    <row r="9857">
      <c r="C9857" s="1"/>
    </row>
    <row r="9858">
      <c r="C9858" s="1"/>
    </row>
    <row r="9859">
      <c r="C9859" s="1"/>
    </row>
    <row r="9860">
      <c r="C9860" s="1"/>
    </row>
    <row r="9861">
      <c r="C9861" s="1"/>
    </row>
    <row r="9862">
      <c r="C9862" s="1"/>
    </row>
    <row r="9863">
      <c r="C9863" s="1"/>
    </row>
    <row r="9864">
      <c r="C9864" s="1"/>
    </row>
    <row r="9865">
      <c r="C9865" s="1"/>
    </row>
    <row r="9866">
      <c r="C9866" s="1"/>
    </row>
    <row r="9867">
      <c r="C9867" s="1"/>
    </row>
    <row r="9868">
      <c r="C9868" s="1"/>
    </row>
    <row r="9869">
      <c r="C9869" s="1"/>
    </row>
    <row r="9870">
      <c r="C9870" s="1"/>
    </row>
    <row r="9871">
      <c r="C9871" s="1"/>
    </row>
    <row r="9872">
      <c r="C9872" s="1"/>
    </row>
    <row r="9873">
      <c r="C9873" s="1"/>
    </row>
    <row r="9874">
      <c r="C9874" s="1"/>
    </row>
    <row r="9875">
      <c r="C9875" s="1"/>
    </row>
    <row r="9876">
      <c r="C9876" s="1"/>
    </row>
    <row r="9877">
      <c r="C9877" s="1"/>
    </row>
    <row r="9878">
      <c r="C9878" s="1"/>
    </row>
    <row r="9879">
      <c r="C9879" s="1"/>
    </row>
    <row r="9880">
      <c r="C9880" s="1"/>
    </row>
    <row r="9881">
      <c r="C9881" s="1"/>
    </row>
    <row r="9882">
      <c r="C9882" s="1"/>
    </row>
    <row r="9883">
      <c r="C9883" s="1"/>
    </row>
    <row r="9884">
      <c r="C9884" s="1"/>
    </row>
    <row r="9885">
      <c r="C9885" s="1"/>
    </row>
    <row r="9886">
      <c r="C9886" s="1"/>
    </row>
    <row r="9887">
      <c r="C9887" s="1"/>
    </row>
    <row r="9888">
      <c r="C9888" s="1"/>
    </row>
    <row r="9889">
      <c r="C9889" s="1"/>
    </row>
    <row r="9890">
      <c r="C9890" s="1"/>
    </row>
    <row r="9891">
      <c r="C9891" s="1"/>
    </row>
    <row r="9892">
      <c r="C9892" s="1"/>
    </row>
    <row r="9893">
      <c r="C9893" s="1"/>
    </row>
    <row r="9894">
      <c r="C9894" s="1"/>
    </row>
    <row r="9895">
      <c r="C9895" s="1"/>
    </row>
    <row r="9896">
      <c r="C9896" s="1"/>
    </row>
    <row r="9897">
      <c r="C9897" s="1"/>
    </row>
    <row r="9898">
      <c r="C9898" s="1"/>
    </row>
    <row r="9899">
      <c r="C9899" s="1"/>
    </row>
    <row r="9900">
      <c r="C9900" s="1"/>
    </row>
    <row r="9901">
      <c r="C9901" s="1"/>
    </row>
    <row r="9902">
      <c r="C9902" s="1"/>
    </row>
    <row r="9903">
      <c r="C9903" s="1"/>
    </row>
    <row r="9904">
      <c r="C9904" s="1"/>
    </row>
    <row r="9905">
      <c r="C9905" s="1"/>
    </row>
    <row r="9906">
      <c r="C9906" s="1"/>
    </row>
    <row r="9907">
      <c r="C9907" s="1"/>
    </row>
    <row r="9908">
      <c r="C9908" s="1"/>
    </row>
    <row r="9909">
      <c r="C9909" s="1"/>
    </row>
    <row r="9910">
      <c r="C9910" s="1"/>
    </row>
    <row r="9911">
      <c r="C9911" s="1"/>
    </row>
    <row r="9912">
      <c r="C9912" s="1"/>
    </row>
    <row r="9913">
      <c r="C9913" s="1"/>
    </row>
    <row r="9914">
      <c r="C9914" s="1"/>
    </row>
    <row r="9915">
      <c r="C9915" s="1"/>
    </row>
    <row r="9916">
      <c r="C9916" s="1"/>
    </row>
    <row r="9917">
      <c r="C9917" s="1"/>
    </row>
    <row r="9918">
      <c r="C9918" s="1"/>
    </row>
    <row r="9919">
      <c r="C9919" s="1"/>
    </row>
    <row r="9920">
      <c r="C9920" s="1"/>
    </row>
    <row r="9921">
      <c r="C9921" s="1"/>
    </row>
    <row r="9922">
      <c r="C9922" s="1"/>
    </row>
    <row r="9923">
      <c r="C9923" s="1"/>
    </row>
    <row r="9924">
      <c r="C9924" s="1"/>
    </row>
    <row r="9925">
      <c r="C9925" s="1"/>
    </row>
    <row r="9926">
      <c r="C9926" s="1"/>
    </row>
    <row r="9927">
      <c r="C9927" s="1"/>
    </row>
    <row r="9928">
      <c r="C9928" s="1"/>
    </row>
    <row r="9929">
      <c r="C9929" s="1"/>
    </row>
    <row r="9930">
      <c r="C9930" s="1"/>
    </row>
    <row r="9931">
      <c r="C9931" s="1"/>
    </row>
    <row r="9932">
      <c r="C9932" s="1"/>
    </row>
    <row r="9933">
      <c r="C9933" s="1"/>
    </row>
    <row r="9934">
      <c r="C9934" s="1"/>
    </row>
    <row r="9935">
      <c r="C9935" s="1"/>
    </row>
    <row r="9936">
      <c r="C9936" s="1"/>
    </row>
    <row r="9937">
      <c r="C9937" s="1"/>
    </row>
    <row r="9938">
      <c r="C9938" s="1"/>
    </row>
    <row r="9939">
      <c r="C9939" s="1"/>
    </row>
    <row r="9940">
      <c r="C9940" s="1"/>
    </row>
    <row r="9941">
      <c r="C9941" s="1"/>
    </row>
    <row r="9942">
      <c r="C9942" s="1"/>
    </row>
    <row r="9943">
      <c r="C9943" s="1"/>
    </row>
    <row r="9944">
      <c r="C9944" s="1"/>
    </row>
    <row r="9945">
      <c r="C9945" s="1"/>
    </row>
    <row r="9946">
      <c r="C9946" s="1"/>
    </row>
    <row r="9947">
      <c r="C9947" s="1"/>
    </row>
    <row r="9948">
      <c r="C9948" s="1"/>
    </row>
    <row r="9949">
      <c r="C9949" s="1"/>
    </row>
    <row r="9950">
      <c r="C9950" s="1"/>
    </row>
    <row r="9951">
      <c r="C9951" s="1"/>
    </row>
    <row r="9952">
      <c r="C9952" s="1"/>
    </row>
    <row r="9953">
      <c r="C9953" s="1"/>
    </row>
    <row r="9954">
      <c r="C9954" s="1"/>
    </row>
    <row r="9955">
      <c r="C9955" s="1"/>
    </row>
    <row r="9956">
      <c r="C9956" s="1"/>
    </row>
    <row r="9957">
      <c r="C9957" s="1"/>
    </row>
    <row r="9958">
      <c r="C9958" s="1"/>
    </row>
    <row r="9959">
      <c r="C9959" s="1"/>
    </row>
    <row r="9960">
      <c r="C9960" s="1"/>
    </row>
    <row r="9961">
      <c r="C9961" s="1"/>
    </row>
    <row r="9962">
      <c r="C9962" s="1"/>
    </row>
    <row r="9963">
      <c r="C9963" s="1"/>
    </row>
    <row r="9964">
      <c r="C9964" s="1"/>
    </row>
    <row r="9965">
      <c r="C9965" s="1"/>
    </row>
    <row r="9966">
      <c r="C9966" s="1"/>
    </row>
    <row r="9967">
      <c r="C9967" s="1"/>
    </row>
    <row r="9968">
      <c r="C9968" s="1"/>
    </row>
    <row r="9969">
      <c r="C9969" s="1"/>
    </row>
    <row r="9970">
      <c r="C9970" s="1"/>
    </row>
    <row r="9971">
      <c r="C9971" s="1"/>
    </row>
    <row r="9972">
      <c r="C9972" s="1"/>
    </row>
    <row r="9973">
      <c r="C9973" s="1"/>
    </row>
    <row r="9974">
      <c r="C9974" s="1"/>
    </row>
    <row r="9975">
      <c r="C9975" s="1"/>
    </row>
    <row r="9976">
      <c r="C9976" s="1"/>
    </row>
    <row r="9977">
      <c r="C9977" s="1"/>
    </row>
    <row r="9978">
      <c r="C9978" s="1"/>
    </row>
    <row r="9979">
      <c r="C9979" s="1"/>
    </row>
    <row r="9980">
      <c r="C9980" s="1"/>
    </row>
    <row r="9981">
      <c r="C9981" s="1"/>
    </row>
    <row r="9982">
      <c r="C9982" s="1"/>
    </row>
    <row r="9983">
      <c r="C9983" s="1"/>
    </row>
    <row r="9984">
      <c r="C9984" s="1"/>
    </row>
    <row r="9985">
      <c r="C9985" s="1"/>
    </row>
    <row r="9986">
      <c r="C9986" s="1"/>
    </row>
    <row r="9987">
      <c r="C9987" s="1"/>
    </row>
    <row r="9988">
      <c r="C9988" s="1"/>
    </row>
    <row r="9989">
      <c r="C9989" s="1"/>
    </row>
    <row r="9990">
      <c r="C9990" s="1"/>
    </row>
    <row r="9991">
      <c r="C9991" s="1"/>
    </row>
    <row r="9992">
      <c r="C9992" s="1"/>
    </row>
    <row r="9993">
      <c r="C9993" s="1"/>
    </row>
    <row r="9994">
      <c r="C9994" s="1"/>
    </row>
    <row r="9995">
      <c r="C9995" s="1"/>
    </row>
    <row r="9996">
      <c r="C9996" s="1"/>
    </row>
    <row r="9997">
      <c r="C9997" s="1"/>
    </row>
    <row r="9998">
      <c r="C9998" s="1"/>
    </row>
    <row r="9999">
      <c r="C9999" s="1"/>
    </row>
    <row r="10000">
      <c r="C10000" s="1"/>
    </row>
    <row r="10001">
      <c r="C10001" s="1"/>
    </row>
    <row r="10002">
      <c r="C10002" s="1"/>
    </row>
    <row r="10003">
      <c r="C10003" s="1"/>
    </row>
    <row r="10004">
      <c r="C10004" s="1"/>
    </row>
    <row r="10005">
      <c r="C10005" s="1"/>
    </row>
    <row r="10006">
      <c r="C10006" s="1"/>
    </row>
    <row r="10007">
      <c r="C10007" s="1"/>
    </row>
    <row r="10008">
      <c r="C10008" s="1"/>
    </row>
    <row r="10009">
      <c r="C10009" s="1"/>
    </row>
    <row r="10010">
      <c r="C10010" s="1"/>
    </row>
    <row r="10011">
      <c r="C10011" s="1"/>
    </row>
    <row r="10012">
      <c r="C10012" s="1"/>
    </row>
    <row r="10013">
      <c r="C10013" s="1"/>
    </row>
    <row r="10014">
      <c r="C10014" s="1"/>
    </row>
    <row r="10015">
      <c r="C10015" s="1"/>
    </row>
    <row r="10016">
      <c r="C10016" s="1"/>
    </row>
    <row r="10017">
      <c r="C10017" s="1"/>
    </row>
    <row r="10018">
      <c r="C10018" s="1"/>
    </row>
    <row r="10019">
      <c r="C10019" s="1"/>
    </row>
    <row r="10020">
      <c r="C10020" s="1"/>
    </row>
    <row r="10021">
      <c r="C10021" s="1"/>
    </row>
    <row r="10022">
      <c r="C10022" s="1"/>
    </row>
    <row r="10023">
      <c r="C10023" s="1"/>
    </row>
    <row r="10024">
      <c r="C10024" s="1"/>
    </row>
    <row r="10025">
      <c r="C10025" s="1"/>
    </row>
    <row r="10026">
      <c r="C10026" s="1"/>
    </row>
    <row r="10027">
      <c r="C10027" s="1"/>
    </row>
    <row r="10028">
      <c r="C10028" s="1"/>
    </row>
    <row r="10029">
      <c r="C10029" s="1"/>
    </row>
    <row r="10030">
      <c r="C10030" s="1"/>
    </row>
    <row r="10031">
      <c r="C10031" s="1"/>
    </row>
    <row r="10032">
      <c r="C10032" s="1"/>
    </row>
    <row r="10033">
      <c r="C10033" s="1"/>
    </row>
    <row r="10034">
      <c r="C10034" s="1"/>
    </row>
    <row r="10035">
      <c r="C10035" s="1"/>
    </row>
    <row r="10036">
      <c r="C10036" s="1"/>
    </row>
    <row r="10037">
      <c r="C10037" s="1"/>
    </row>
    <row r="10038">
      <c r="C10038" s="1"/>
    </row>
    <row r="10039">
      <c r="C10039" s="1"/>
    </row>
    <row r="10040">
      <c r="C10040" s="1"/>
    </row>
    <row r="10041">
      <c r="C10041" s="1"/>
    </row>
    <row r="10042">
      <c r="C10042" s="1"/>
    </row>
    <row r="10043">
      <c r="C10043" s="1"/>
    </row>
    <row r="10044">
      <c r="C10044" s="1"/>
    </row>
    <row r="10045">
      <c r="C10045" s="1"/>
    </row>
    <row r="10046">
      <c r="C10046" s="1"/>
    </row>
    <row r="10047">
      <c r="C10047" s="1"/>
    </row>
    <row r="10048">
      <c r="C10048" s="1"/>
    </row>
    <row r="10049">
      <c r="C10049" s="1"/>
    </row>
    <row r="10050">
      <c r="C10050" s="1"/>
    </row>
    <row r="10051">
      <c r="C10051" s="1"/>
    </row>
    <row r="10052">
      <c r="C10052" s="1"/>
    </row>
    <row r="10053">
      <c r="C10053" s="1"/>
    </row>
    <row r="10054">
      <c r="C10054" s="1"/>
    </row>
    <row r="10055">
      <c r="C10055" s="1"/>
    </row>
    <row r="10056">
      <c r="C10056" s="1"/>
    </row>
    <row r="10057">
      <c r="C10057" s="1"/>
    </row>
    <row r="10058">
      <c r="C10058" s="1"/>
    </row>
    <row r="10059">
      <c r="C10059" s="1"/>
    </row>
    <row r="10060">
      <c r="C10060" s="1"/>
    </row>
    <row r="10061">
      <c r="C10061" s="1"/>
    </row>
    <row r="10062">
      <c r="C10062" s="1"/>
    </row>
    <row r="10063">
      <c r="C10063" s="1"/>
    </row>
    <row r="10064">
      <c r="C10064" s="1"/>
    </row>
    <row r="10065">
      <c r="C10065" s="1"/>
    </row>
    <row r="10066">
      <c r="C10066" s="1"/>
    </row>
    <row r="10067">
      <c r="C10067" s="1"/>
    </row>
    <row r="10068">
      <c r="C10068" s="1"/>
    </row>
    <row r="10069">
      <c r="C10069" s="1"/>
    </row>
    <row r="10070">
      <c r="C10070" s="1"/>
    </row>
    <row r="10071">
      <c r="C10071" s="1"/>
    </row>
    <row r="10072">
      <c r="C10072" s="1"/>
    </row>
    <row r="10073">
      <c r="C10073" s="1"/>
    </row>
    <row r="10074">
      <c r="C10074" s="1"/>
    </row>
    <row r="10075">
      <c r="C10075" s="1"/>
    </row>
    <row r="10076">
      <c r="C10076" s="1"/>
    </row>
    <row r="10077">
      <c r="C10077" s="1"/>
    </row>
    <row r="10078">
      <c r="C10078" s="1"/>
    </row>
    <row r="10079">
      <c r="C10079" s="1"/>
    </row>
    <row r="10080">
      <c r="C10080" s="1"/>
    </row>
    <row r="10081">
      <c r="C10081" s="1"/>
    </row>
    <row r="10082">
      <c r="C10082" s="1"/>
    </row>
    <row r="10083">
      <c r="C10083" s="1"/>
    </row>
    <row r="10084">
      <c r="C10084" s="1"/>
    </row>
    <row r="10085">
      <c r="C10085" s="1"/>
    </row>
    <row r="10086">
      <c r="C10086" s="1"/>
    </row>
    <row r="10087">
      <c r="C10087" s="1"/>
    </row>
    <row r="10088">
      <c r="C10088" s="1"/>
    </row>
    <row r="10089">
      <c r="C10089" s="1"/>
    </row>
    <row r="10090">
      <c r="C10090" s="1"/>
    </row>
    <row r="10091">
      <c r="C10091" s="1"/>
    </row>
    <row r="10092">
      <c r="C10092" s="1"/>
    </row>
    <row r="10093">
      <c r="C10093" s="1"/>
    </row>
    <row r="10094">
      <c r="C10094" s="1"/>
    </row>
    <row r="10095">
      <c r="C10095" s="1"/>
    </row>
    <row r="10096">
      <c r="C10096" s="1"/>
    </row>
    <row r="10097">
      <c r="C10097" s="1"/>
    </row>
    <row r="10098">
      <c r="C10098" s="1"/>
    </row>
    <row r="10099">
      <c r="C10099" s="1"/>
    </row>
    <row r="10100">
      <c r="C10100" s="1"/>
    </row>
    <row r="10101">
      <c r="C10101" s="1"/>
    </row>
    <row r="10102">
      <c r="C10102" s="1"/>
    </row>
    <row r="10103">
      <c r="C10103" s="1"/>
    </row>
    <row r="10104">
      <c r="C10104" s="1"/>
    </row>
    <row r="10105">
      <c r="C10105" s="1"/>
    </row>
    <row r="10106">
      <c r="C10106" s="1"/>
    </row>
    <row r="10107">
      <c r="C10107" s="1"/>
    </row>
    <row r="10108">
      <c r="C10108" s="1"/>
    </row>
    <row r="10109">
      <c r="C10109" s="1"/>
    </row>
    <row r="10110">
      <c r="C10110" s="1"/>
    </row>
    <row r="10111">
      <c r="C10111" s="1"/>
    </row>
    <row r="10112">
      <c r="C10112" s="1"/>
    </row>
    <row r="10113">
      <c r="C10113" s="1"/>
    </row>
    <row r="10114">
      <c r="C10114" s="1"/>
    </row>
    <row r="10115">
      <c r="C10115" s="1"/>
    </row>
    <row r="10116">
      <c r="C10116" s="1"/>
    </row>
    <row r="10117">
      <c r="C10117" s="1"/>
    </row>
    <row r="10118">
      <c r="C10118" s="1"/>
    </row>
    <row r="10119">
      <c r="C10119" s="1"/>
    </row>
    <row r="10120">
      <c r="C10120" s="1"/>
    </row>
    <row r="10121">
      <c r="C10121" s="1"/>
    </row>
    <row r="10122">
      <c r="C10122" s="1"/>
    </row>
    <row r="10123">
      <c r="C10123" s="1"/>
    </row>
    <row r="10124">
      <c r="C10124" s="1"/>
    </row>
    <row r="10125">
      <c r="C10125" s="1"/>
    </row>
    <row r="10126">
      <c r="C10126" s="1"/>
    </row>
    <row r="10127">
      <c r="C10127" s="1"/>
    </row>
    <row r="10128">
      <c r="C10128" s="1"/>
    </row>
    <row r="10129">
      <c r="C10129" s="1"/>
    </row>
    <row r="10130">
      <c r="C10130" s="1"/>
    </row>
    <row r="10131">
      <c r="C10131" s="1"/>
    </row>
    <row r="10132">
      <c r="C10132" s="1"/>
    </row>
    <row r="10133">
      <c r="C10133" s="1"/>
    </row>
    <row r="10134">
      <c r="C10134" s="1"/>
    </row>
    <row r="10135">
      <c r="C10135" s="1"/>
    </row>
    <row r="10136">
      <c r="C10136" s="1"/>
    </row>
    <row r="10137">
      <c r="C10137" s="1"/>
    </row>
    <row r="10138">
      <c r="C10138" s="1"/>
    </row>
    <row r="10139">
      <c r="C10139" s="1"/>
    </row>
    <row r="10140">
      <c r="C10140" s="1"/>
    </row>
    <row r="10141">
      <c r="C10141" s="1"/>
    </row>
    <row r="10142">
      <c r="C10142" s="1"/>
    </row>
    <row r="10143">
      <c r="C10143" s="1"/>
    </row>
    <row r="10144">
      <c r="C10144" s="1"/>
    </row>
    <row r="10145">
      <c r="C10145" s="1"/>
    </row>
    <row r="10146">
      <c r="C10146" s="1"/>
    </row>
    <row r="10147">
      <c r="C10147" s="1"/>
    </row>
    <row r="10148">
      <c r="C10148" s="1"/>
    </row>
    <row r="10149">
      <c r="C10149" s="1"/>
    </row>
    <row r="10150">
      <c r="C10150" s="1"/>
    </row>
    <row r="10151">
      <c r="C10151" s="1"/>
    </row>
    <row r="10152">
      <c r="C10152" s="1"/>
    </row>
    <row r="10153">
      <c r="C10153" s="1"/>
    </row>
    <row r="10154">
      <c r="C10154" s="1"/>
    </row>
    <row r="10155">
      <c r="C10155" s="1"/>
    </row>
    <row r="10156">
      <c r="C10156" s="1"/>
    </row>
    <row r="10157">
      <c r="C10157" s="1"/>
    </row>
    <row r="10158">
      <c r="C10158" s="1"/>
    </row>
    <row r="10159">
      <c r="C10159" s="1"/>
    </row>
    <row r="10160">
      <c r="C10160" s="1"/>
    </row>
    <row r="10161">
      <c r="C10161" s="1"/>
    </row>
    <row r="10162">
      <c r="C10162" s="1"/>
    </row>
    <row r="10163">
      <c r="C10163" s="1"/>
    </row>
    <row r="10164">
      <c r="C10164" s="1"/>
    </row>
    <row r="10165">
      <c r="C10165" s="1"/>
    </row>
    <row r="10166">
      <c r="C10166" s="1"/>
    </row>
    <row r="10167">
      <c r="C10167" s="1"/>
    </row>
    <row r="10168">
      <c r="C10168" s="1"/>
    </row>
    <row r="10169">
      <c r="C10169" s="1"/>
    </row>
    <row r="10170">
      <c r="C10170" s="1"/>
    </row>
    <row r="10171">
      <c r="C10171" s="1"/>
    </row>
    <row r="10172">
      <c r="C10172" s="1"/>
    </row>
    <row r="10173">
      <c r="C10173" s="1"/>
    </row>
    <row r="10174">
      <c r="C10174" s="1"/>
    </row>
    <row r="10175">
      <c r="C10175" s="1"/>
    </row>
    <row r="10176">
      <c r="C10176" s="1"/>
    </row>
    <row r="10177">
      <c r="C10177" s="1"/>
    </row>
    <row r="10178">
      <c r="C10178" s="1"/>
    </row>
    <row r="10179">
      <c r="C10179" s="1"/>
    </row>
    <row r="10180">
      <c r="C10180" s="1"/>
    </row>
    <row r="10181">
      <c r="C10181" s="1"/>
    </row>
    <row r="10182">
      <c r="C10182" s="1"/>
    </row>
    <row r="10183">
      <c r="C10183" s="1"/>
    </row>
    <row r="10184">
      <c r="C10184" s="1"/>
    </row>
    <row r="10185">
      <c r="C10185" s="1"/>
    </row>
    <row r="10186">
      <c r="C10186" s="1"/>
    </row>
    <row r="10187">
      <c r="C10187" s="1"/>
    </row>
    <row r="10188">
      <c r="C10188" s="1"/>
    </row>
    <row r="10189">
      <c r="C10189" s="1"/>
    </row>
    <row r="10190">
      <c r="C10190" s="1"/>
    </row>
    <row r="10191">
      <c r="C10191" s="1"/>
    </row>
    <row r="10192">
      <c r="C10192" s="1"/>
    </row>
    <row r="10193">
      <c r="C10193" s="1"/>
    </row>
    <row r="10194">
      <c r="C10194" s="1"/>
    </row>
    <row r="10195">
      <c r="C10195" s="1"/>
    </row>
    <row r="10196">
      <c r="C10196" s="1"/>
    </row>
    <row r="10197">
      <c r="C10197" s="1"/>
    </row>
    <row r="10198">
      <c r="C10198" s="1"/>
    </row>
    <row r="10199">
      <c r="C10199" s="1"/>
    </row>
    <row r="10200">
      <c r="C10200" s="1"/>
    </row>
    <row r="10201">
      <c r="C10201" s="1"/>
    </row>
    <row r="10202">
      <c r="C10202" s="1"/>
    </row>
    <row r="10203">
      <c r="C10203" s="1"/>
    </row>
    <row r="10204">
      <c r="C10204" s="1"/>
    </row>
    <row r="10205">
      <c r="C10205" s="1"/>
    </row>
    <row r="10206">
      <c r="C10206" s="1"/>
    </row>
    <row r="10207">
      <c r="C10207" s="1"/>
    </row>
    <row r="10208">
      <c r="C10208" s="1"/>
    </row>
    <row r="10209">
      <c r="C10209" s="1"/>
    </row>
    <row r="10210">
      <c r="C10210" s="1"/>
    </row>
    <row r="10211">
      <c r="C10211" s="1"/>
    </row>
    <row r="10212">
      <c r="C10212" s="1"/>
    </row>
    <row r="10213">
      <c r="C10213" s="1"/>
    </row>
    <row r="10214">
      <c r="C10214" s="1"/>
    </row>
    <row r="10215">
      <c r="C10215" s="1"/>
    </row>
    <row r="10216">
      <c r="C10216" s="1"/>
    </row>
    <row r="10217">
      <c r="C10217" s="1"/>
    </row>
    <row r="10218">
      <c r="C10218" s="1"/>
    </row>
    <row r="10219">
      <c r="C10219" s="1"/>
    </row>
    <row r="10220">
      <c r="C10220" s="1"/>
    </row>
    <row r="10221">
      <c r="C10221" s="1"/>
    </row>
    <row r="10222">
      <c r="C10222" s="1"/>
    </row>
    <row r="10223">
      <c r="C10223" s="1"/>
    </row>
    <row r="10224">
      <c r="C10224" s="1"/>
    </row>
    <row r="10225">
      <c r="C10225" s="1"/>
    </row>
    <row r="10226">
      <c r="C10226" s="1"/>
    </row>
    <row r="10227">
      <c r="C10227" s="1"/>
    </row>
    <row r="10228">
      <c r="C10228" s="1"/>
    </row>
    <row r="10229">
      <c r="C10229" s="1"/>
    </row>
    <row r="10230">
      <c r="C10230" s="1"/>
    </row>
    <row r="10231">
      <c r="C10231" s="1"/>
    </row>
    <row r="10232">
      <c r="C10232" s="1"/>
    </row>
    <row r="10233">
      <c r="C10233" s="1"/>
    </row>
    <row r="10234">
      <c r="C10234" s="1"/>
    </row>
    <row r="10235">
      <c r="C10235" s="1"/>
    </row>
    <row r="10236">
      <c r="C10236" s="1"/>
    </row>
    <row r="10237">
      <c r="C10237" s="1"/>
    </row>
    <row r="10238">
      <c r="C10238" s="1"/>
    </row>
    <row r="10239">
      <c r="C10239" s="1"/>
    </row>
    <row r="10240">
      <c r="C10240" s="1"/>
    </row>
    <row r="10241">
      <c r="C10241" s="1"/>
    </row>
    <row r="10242">
      <c r="C10242" s="1"/>
    </row>
    <row r="10243">
      <c r="C10243" s="1"/>
    </row>
    <row r="10244">
      <c r="C10244" s="1"/>
    </row>
    <row r="10245">
      <c r="C10245" s="1"/>
    </row>
    <row r="10246">
      <c r="C10246" s="1"/>
    </row>
    <row r="10247">
      <c r="C10247" s="1"/>
    </row>
    <row r="10248">
      <c r="C10248" s="1"/>
    </row>
    <row r="10249">
      <c r="C10249" s="1"/>
    </row>
    <row r="10250">
      <c r="C10250" s="1"/>
    </row>
    <row r="10251">
      <c r="C10251" s="1"/>
    </row>
    <row r="10252">
      <c r="C10252" s="1"/>
    </row>
    <row r="10253">
      <c r="C10253" s="1"/>
    </row>
    <row r="10254">
      <c r="C10254" s="1"/>
    </row>
    <row r="10255">
      <c r="C10255" s="1"/>
    </row>
    <row r="10256">
      <c r="C10256" s="1"/>
    </row>
    <row r="10257">
      <c r="C10257" s="1"/>
    </row>
    <row r="10258">
      <c r="C10258" s="1"/>
    </row>
    <row r="10259">
      <c r="C10259" s="1"/>
    </row>
    <row r="10260">
      <c r="C10260" s="1"/>
    </row>
    <row r="10261">
      <c r="C10261" s="1"/>
    </row>
    <row r="10262">
      <c r="C10262" s="1"/>
    </row>
    <row r="10263">
      <c r="C10263" s="1"/>
    </row>
    <row r="10264">
      <c r="C10264" s="1"/>
    </row>
    <row r="10265">
      <c r="C10265" s="1"/>
    </row>
    <row r="10266">
      <c r="C10266" s="1"/>
    </row>
    <row r="10267">
      <c r="C10267" s="1"/>
    </row>
    <row r="10268">
      <c r="C10268" s="1"/>
    </row>
    <row r="10269">
      <c r="C10269" s="1"/>
    </row>
    <row r="10270">
      <c r="C10270" s="1"/>
    </row>
    <row r="10271">
      <c r="C10271" s="1"/>
    </row>
    <row r="10272">
      <c r="C10272" s="1"/>
    </row>
    <row r="10273">
      <c r="C10273" s="1"/>
    </row>
    <row r="10274">
      <c r="C10274" s="1"/>
    </row>
    <row r="10275">
      <c r="C10275" s="1"/>
    </row>
    <row r="10276">
      <c r="C10276" s="1"/>
    </row>
    <row r="10277">
      <c r="C10277" s="1"/>
    </row>
    <row r="10278">
      <c r="C10278" s="1"/>
    </row>
    <row r="10279">
      <c r="C10279" s="1"/>
    </row>
    <row r="10280">
      <c r="C10280" s="1"/>
    </row>
    <row r="10281">
      <c r="C10281" s="1"/>
    </row>
    <row r="10282">
      <c r="C10282" s="1"/>
    </row>
    <row r="10283">
      <c r="C10283" s="1"/>
    </row>
    <row r="10284">
      <c r="C10284" s="1"/>
    </row>
    <row r="10285">
      <c r="C10285" s="1"/>
    </row>
    <row r="10286">
      <c r="C10286" s="1"/>
    </row>
    <row r="10287">
      <c r="C10287" s="1"/>
    </row>
    <row r="10288">
      <c r="C10288" s="1"/>
    </row>
    <row r="10289">
      <c r="C10289" s="1"/>
    </row>
    <row r="10290">
      <c r="C10290" s="1"/>
    </row>
    <row r="10291">
      <c r="C10291" s="1"/>
    </row>
    <row r="10292">
      <c r="C10292" s="1"/>
    </row>
    <row r="10293">
      <c r="C10293" s="1"/>
    </row>
    <row r="10294">
      <c r="C10294" s="1"/>
    </row>
    <row r="10295">
      <c r="C10295" s="1"/>
    </row>
    <row r="10296">
      <c r="C10296" s="1"/>
    </row>
    <row r="10297">
      <c r="C10297" s="1"/>
    </row>
    <row r="10298">
      <c r="C10298" s="1"/>
    </row>
    <row r="10299">
      <c r="C10299" s="1"/>
    </row>
    <row r="10300">
      <c r="C10300" s="1"/>
    </row>
    <row r="10301">
      <c r="C10301" s="1"/>
    </row>
    <row r="10302">
      <c r="C10302" s="1"/>
    </row>
    <row r="10303">
      <c r="C10303" s="1"/>
    </row>
    <row r="10304">
      <c r="C10304" s="1"/>
    </row>
    <row r="10305">
      <c r="C10305" s="1"/>
    </row>
    <row r="10306">
      <c r="C10306" s="1"/>
    </row>
    <row r="10307">
      <c r="C10307" s="1"/>
    </row>
    <row r="10308">
      <c r="C10308" s="1"/>
    </row>
    <row r="10309">
      <c r="C10309" s="1"/>
    </row>
    <row r="10310">
      <c r="C10310" s="1"/>
    </row>
    <row r="10311">
      <c r="C10311" s="1"/>
    </row>
    <row r="10312">
      <c r="C10312" s="1"/>
    </row>
    <row r="10313">
      <c r="C10313" s="1"/>
    </row>
    <row r="10314">
      <c r="C10314" s="1"/>
    </row>
    <row r="10315">
      <c r="C10315" s="1"/>
    </row>
    <row r="10316">
      <c r="C10316" s="1"/>
    </row>
    <row r="10317">
      <c r="C10317" s="1"/>
    </row>
    <row r="10318">
      <c r="C10318" s="1"/>
    </row>
    <row r="10319">
      <c r="C10319" s="1"/>
    </row>
    <row r="10320">
      <c r="C10320" s="1"/>
    </row>
    <row r="10321">
      <c r="C10321" s="1"/>
    </row>
    <row r="10322">
      <c r="C10322" s="1"/>
    </row>
    <row r="10323">
      <c r="C10323" s="1"/>
    </row>
    <row r="10324">
      <c r="C10324" s="1"/>
    </row>
    <row r="10325">
      <c r="C10325" s="1"/>
    </row>
    <row r="10326">
      <c r="C10326" s="1"/>
    </row>
    <row r="10327">
      <c r="C10327" s="1"/>
    </row>
    <row r="10328">
      <c r="C10328" s="1"/>
    </row>
    <row r="10329">
      <c r="C10329" s="1"/>
    </row>
    <row r="10330">
      <c r="C10330" s="1"/>
    </row>
    <row r="10331">
      <c r="C10331" s="1"/>
    </row>
    <row r="10332">
      <c r="C10332" s="1"/>
    </row>
    <row r="10333">
      <c r="C10333" s="1"/>
    </row>
    <row r="10334">
      <c r="C10334" s="1"/>
    </row>
    <row r="10335">
      <c r="C10335" s="1"/>
    </row>
    <row r="10336">
      <c r="C10336" s="1"/>
    </row>
    <row r="10337">
      <c r="C10337" s="1"/>
    </row>
    <row r="10338">
      <c r="C10338" s="1"/>
    </row>
    <row r="10339">
      <c r="C10339" s="1"/>
    </row>
    <row r="10340">
      <c r="C10340" s="1"/>
    </row>
    <row r="10341">
      <c r="C10341" s="1"/>
    </row>
    <row r="10342">
      <c r="C10342" s="1"/>
    </row>
    <row r="10343">
      <c r="C10343" s="1"/>
    </row>
    <row r="10344">
      <c r="C10344" s="1"/>
    </row>
    <row r="10345">
      <c r="C10345" s="1"/>
    </row>
    <row r="10346">
      <c r="C10346" s="1"/>
    </row>
    <row r="10347">
      <c r="C10347" s="1"/>
    </row>
    <row r="10348">
      <c r="C10348" s="1"/>
    </row>
    <row r="10349">
      <c r="C10349" s="1"/>
    </row>
    <row r="10350">
      <c r="C10350" s="1"/>
    </row>
    <row r="10351">
      <c r="C10351" s="1"/>
    </row>
    <row r="10352">
      <c r="C10352" s="1"/>
    </row>
    <row r="10353">
      <c r="C10353" s="1"/>
    </row>
    <row r="10354">
      <c r="C10354" s="1"/>
    </row>
    <row r="10355">
      <c r="C10355" s="1"/>
    </row>
    <row r="10356">
      <c r="C10356" s="1"/>
    </row>
    <row r="10357">
      <c r="C10357" s="1"/>
    </row>
    <row r="10358">
      <c r="C10358" s="1"/>
    </row>
    <row r="10359">
      <c r="C10359" s="1"/>
    </row>
    <row r="10360">
      <c r="C10360" s="1"/>
    </row>
    <row r="10361">
      <c r="C10361" s="1"/>
    </row>
    <row r="10362">
      <c r="C10362" s="1"/>
    </row>
    <row r="10363">
      <c r="C10363" s="1"/>
    </row>
    <row r="10364">
      <c r="C10364" s="1"/>
    </row>
    <row r="10365">
      <c r="C10365" s="1"/>
    </row>
    <row r="10366">
      <c r="C10366" s="1"/>
    </row>
    <row r="10367">
      <c r="C10367" s="1"/>
    </row>
    <row r="10368">
      <c r="C10368" s="1"/>
    </row>
    <row r="10369">
      <c r="C10369" s="1"/>
    </row>
    <row r="10370">
      <c r="C10370" s="1"/>
    </row>
    <row r="10371">
      <c r="C10371" s="1"/>
    </row>
    <row r="10372">
      <c r="C10372" s="1"/>
    </row>
    <row r="10373">
      <c r="C10373" s="1"/>
    </row>
    <row r="10374">
      <c r="C10374" s="1"/>
    </row>
    <row r="10375">
      <c r="C10375" s="1"/>
    </row>
    <row r="10376">
      <c r="C10376" s="1"/>
    </row>
    <row r="10377">
      <c r="C10377" s="1"/>
    </row>
    <row r="10378">
      <c r="C10378" s="1"/>
    </row>
    <row r="10379">
      <c r="C10379" s="1"/>
    </row>
    <row r="10380">
      <c r="C10380" s="1"/>
    </row>
    <row r="10381">
      <c r="C10381" s="1"/>
    </row>
    <row r="10382">
      <c r="C10382" s="1"/>
    </row>
    <row r="10383">
      <c r="C10383" s="1"/>
    </row>
    <row r="10384">
      <c r="C10384" s="1"/>
    </row>
    <row r="10385">
      <c r="C10385" s="1"/>
    </row>
    <row r="10386">
      <c r="C10386" s="1"/>
    </row>
    <row r="10387">
      <c r="C10387" s="1"/>
    </row>
    <row r="10388">
      <c r="C10388" s="1"/>
    </row>
    <row r="10389">
      <c r="C10389" s="1"/>
    </row>
    <row r="10390">
      <c r="C10390" s="1"/>
    </row>
    <row r="10391">
      <c r="C10391" s="1"/>
    </row>
    <row r="10392">
      <c r="C10392" s="1"/>
    </row>
    <row r="10393">
      <c r="C10393" s="1"/>
    </row>
    <row r="10394">
      <c r="C10394" s="1"/>
    </row>
    <row r="10395">
      <c r="C10395" s="1"/>
    </row>
    <row r="10396">
      <c r="C10396" s="1"/>
    </row>
    <row r="10397">
      <c r="C10397" s="1"/>
    </row>
    <row r="10398">
      <c r="C10398" s="1"/>
    </row>
    <row r="10399">
      <c r="C10399" s="1"/>
    </row>
    <row r="10400">
      <c r="C10400" s="1"/>
    </row>
    <row r="10401">
      <c r="C10401" s="1"/>
    </row>
    <row r="10402">
      <c r="C10402" s="1"/>
    </row>
    <row r="10403">
      <c r="C10403" s="1"/>
    </row>
    <row r="10404">
      <c r="C10404" s="1"/>
    </row>
    <row r="10405">
      <c r="C10405" s="1"/>
    </row>
    <row r="10406">
      <c r="C10406" s="1"/>
    </row>
    <row r="10407">
      <c r="C10407" s="1"/>
    </row>
    <row r="10408">
      <c r="C10408" s="1"/>
    </row>
    <row r="10409">
      <c r="C10409" s="1"/>
    </row>
    <row r="10410">
      <c r="C10410" s="1"/>
    </row>
    <row r="10411">
      <c r="C10411" s="1"/>
    </row>
    <row r="10412">
      <c r="C10412" s="1"/>
    </row>
    <row r="10413">
      <c r="C10413" s="1"/>
    </row>
    <row r="10414">
      <c r="C10414" s="1"/>
    </row>
    <row r="10415">
      <c r="C10415" s="1"/>
    </row>
    <row r="10416">
      <c r="C10416" s="1"/>
    </row>
    <row r="10417">
      <c r="C10417" s="1"/>
    </row>
    <row r="10418">
      <c r="C10418" s="1"/>
    </row>
    <row r="10419">
      <c r="C10419" s="1"/>
    </row>
    <row r="10420">
      <c r="C10420" s="1"/>
    </row>
    <row r="10421">
      <c r="C10421" s="1"/>
    </row>
    <row r="10422">
      <c r="C10422" s="1"/>
    </row>
    <row r="10423">
      <c r="C10423" s="1"/>
    </row>
    <row r="10424">
      <c r="C10424" s="1"/>
    </row>
    <row r="10425">
      <c r="C10425" s="1"/>
    </row>
    <row r="10426">
      <c r="C10426" s="1"/>
    </row>
    <row r="10427">
      <c r="C10427" s="1"/>
    </row>
    <row r="10428">
      <c r="C10428" s="1"/>
    </row>
    <row r="10429">
      <c r="C10429" s="1"/>
    </row>
    <row r="10430">
      <c r="C10430" s="1"/>
    </row>
    <row r="10431">
      <c r="C10431" s="1"/>
    </row>
    <row r="10432">
      <c r="C10432" s="1"/>
    </row>
    <row r="10433">
      <c r="C10433" s="1"/>
    </row>
    <row r="10434">
      <c r="C10434" s="1"/>
    </row>
    <row r="10435">
      <c r="C10435" s="1"/>
    </row>
    <row r="10436">
      <c r="C10436" s="1"/>
    </row>
    <row r="10437">
      <c r="C10437" s="1"/>
    </row>
    <row r="10438">
      <c r="C10438" s="1"/>
    </row>
    <row r="10439">
      <c r="C10439" s="1"/>
    </row>
    <row r="10440">
      <c r="C10440" s="1"/>
    </row>
    <row r="10441">
      <c r="C10441" s="1"/>
    </row>
    <row r="10442">
      <c r="C10442" s="1"/>
    </row>
    <row r="10443">
      <c r="C10443" s="1"/>
    </row>
    <row r="10444">
      <c r="C10444" s="1"/>
    </row>
    <row r="10445">
      <c r="C10445" s="1"/>
    </row>
    <row r="10446">
      <c r="C10446" s="1"/>
    </row>
    <row r="10447">
      <c r="C10447" s="1"/>
    </row>
    <row r="10448">
      <c r="C10448" s="1"/>
    </row>
    <row r="10449">
      <c r="C10449" s="1"/>
    </row>
    <row r="10450">
      <c r="C10450" s="1"/>
    </row>
    <row r="10451">
      <c r="C10451" s="1"/>
    </row>
    <row r="10452">
      <c r="C10452" s="1"/>
    </row>
    <row r="10453">
      <c r="C10453" s="1"/>
    </row>
    <row r="10454">
      <c r="C10454" s="1"/>
    </row>
    <row r="10455">
      <c r="C10455" s="1"/>
    </row>
    <row r="10456">
      <c r="C10456" s="1"/>
    </row>
    <row r="10457">
      <c r="C10457" s="1"/>
    </row>
    <row r="10458">
      <c r="C10458" s="1"/>
    </row>
    <row r="10459">
      <c r="C10459" s="1"/>
    </row>
    <row r="10460">
      <c r="C10460" s="1"/>
    </row>
    <row r="10461">
      <c r="C10461" s="1"/>
    </row>
    <row r="10462">
      <c r="C10462" s="1"/>
    </row>
    <row r="10463">
      <c r="C10463" s="1"/>
    </row>
    <row r="10464">
      <c r="C10464" s="1"/>
    </row>
    <row r="10465">
      <c r="C10465" s="1"/>
    </row>
    <row r="10466">
      <c r="C10466" s="1"/>
    </row>
    <row r="10467">
      <c r="C10467" s="1"/>
    </row>
    <row r="10468">
      <c r="C10468" s="1"/>
    </row>
    <row r="10469">
      <c r="C10469" s="1"/>
    </row>
    <row r="10470">
      <c r="C10470" s="1"/>
    </row>
    <row r="10471">
      <c r="C10471" s="1"/>
    </row>
    <row r="10472">
      <c r="C10472" s="1"/>
    </row>
    <row r="10473">
      <c r="C10473" s="1"/>
    </row>
    <row r="10474">
      <c r="C10474" s="1"/>
    </row>
    <row r="10475">
      <c r="C10475" s="1"/>
    </row>
    <row r="10476">
      <c r="C10476" s="1"/>
    </row>
    <row r="10477">
      <c r="C10477" s="1"/>
    </row>
    <row r="10478">
      <c r="C10478" s="1"/>
    </row>
    <row r="10479">
      <c r="C10479" s="1"/>
    </row>
    <row r="10480">
      <c r="C10480" s="1"/>
    </row>
    <row r="10481">
      <c r="C10481" s="1"/>
    </row>
    <row r="10482">
      <c r="C10482" s="1"/>
    </row>
    <row r="10483">
      <c r="C10483" s="1"/>
    </row>
    <row r="10484">
      <c r="C10484" s="1"/>
    </row>
    <row r="10485">
      <c r="C10485" s="1"/>
    </row>
    <row r="10486">
      <c r="C10486" s="1"/>
    </row>
    <row r="10487">
      <c r="C10487" s="1"/>
    </row>
    <row r="10488">
      <c r="C10488" s="1"/>
    </row>
    <row r="10489">
      <c r="C10489" s="1"/>
    </row>
    <row r="10490">
      <c r="C10490" s="1"/>
    </row>
    <row r="10491">
      <c r="C10491" s="1"/>
    </row>
    <row r="10492">
      <c r="C10492" s="1"/>
    </row>
    <row r="10493">
      <c r="C10493" s="1"/>
    </row>
    <row r="10494">
      <c r="C10494" s="1"/>
    </row>
    <row r="10495">
      <c r="C10495" s="1"/>
    </row>
    <row r="10496">
      <c r="C10496" s="1"/>
    </row>
    <row r="10497">
      <c r="C10497" s="1"/>
    </row>
    <row r="10498">
      <c r="C10498" s="1"/>
    </row>
    <row r="10499">
      <c r="C10499" s="1"/>
    </row>
    <row r="10500">
      <c r="C10500" s="1"/>
    </row>
    <row r="10501">
      <c r="C10501" s="1"/>
    </row>
    <row r="10502">
      <c r="C10502" s="1"/>
    </row>
    <row r="10503">
      <c r="C10503" s="1"/>
    </row>
    <row r="10504">
      <c r="C10504" s="1"/>
    </row>
    <row r="10505">
      <c r="C10505" s="1"/>
    </row>
    <row r="10506">
      <c r="C10506" s="1"/>
    </row>
    <row r="10507">
      <c r="C10507" s="1"/>
    </row>
    <row r="10508">
      <c r="C10508" s="1"/>
    </row>
    <row r="10509">
      <c r="C10509" s="1"/>
    </row>
    <row r="10510">
      <c r="C10510" s="1"/>
    </row>
    <row r="10511">
      <c r="C10511" s="1"/>
    </row>
    <row r="10512">
      <c r="C10512" s="1"/>
    </row>
    <row r="10513">
      <c r="C10513" s="1"/>
    </row>
    <row r="10514">
      <c r="C10514" s="1"/>
    </row>
    <row r="10515">
      <c r="C10515" s="1"/>
    </row>
    <row r="10516">
      <c r="C10516" s="1"/>
    </row>
    <row r="10517">
      <c r="C10517" s="1"/>
    </row>
    <row r="10518">
      <c r="C10518" s="1"/>
    </row>
    <row r="10519">
      <c r="C10519" s="1"/>
    </row>
    <row r="10520">
      <c r="C10520" s="1"/>
    </row>
    <row r="10521">
      <c r="C10521" s="1"/>
    </row>
    <row r="10522">
      <c r="C10522" s="1"/>
    </row>
    <row r="10523">
      <c r="C10523" s="1"/>
    </row>
    <row r="10524">
      <c r="C10524" s="1"/>
    </row>
    <row r="10525">
      <c r="C10525" s="1"/>
    </row>
    <row r="10526">
      <c r="C10526" s="1"/>
    </row>
    <row r="10527">
      <c r="C10527" s="1"/>
    </row>
    <row r="10528">
      <c r="C10528" s="1"/>
    </row>
    <row r="10529">
      <c r="C10529" s="1"/>
    </row>
    <row r="10530">
      <c r="C10530" s="1"/>
    </row>
    <row r="10531">
      <c r="C10531" s="1"/>
    </row>
    <row r="10532">
      <c r="C10532" s="1"/>
    </row>
    <row r="10533">
      <c r="C10533" s="1"/>
    </row>
    <row r="10534">
      <c r="C10534" s="1"/>
    </row>
    <row r="10535">
      <c r="C10535" s="1"/>
    </row>
    <row r="10536">
      <c r="C10536" s="1"/>
    </row>
    <row r="10537">
      <c r="C10537" s="1"/>
    </row>
    <row r="10538">
      <c r="C10538" s="1"/>
    </row>
    <row r="10539">
      <c r="C10539" s="1"/>
    </row>
    <row r="10540">
      <c r="C10540" s="1"/>
    </row>
    <row r="10541">
      <c r="C10541" s="1"/>
    </row>
    <row r="10542">
      <c r="C10542" s="1"/>
    </row>
    <row r="10543">
      <c r="C10543" s="1"/>
    </row>
    <row r="10544">
      <c r="C10544" s="1"/>
    </row>
    <row r="10545">
      <c r="C10545" s="1"/>
    </row>
    <row r="10546">
      <c r="C10546" s="1"/>
    </row>
    <row r="10547">
      <c r="C10547" s="1"/>
    </row>
    <row r="10548">
      <c r="C10548" s="1"/>
    </row>
    <row r="10549">
      <c r="C10549" s="1"/>
    </row>
    <row r="10550">
      <c r="C10550" s="1"/>
    </row>
    <row r="10551">
      <c r="C10551" s="1"/>
    </row>
    <row r="10552">
      <c r="C10552" s="1"/>
    </row>
    <row r="10553">
      <c r="C10553" s="1"/>
    </row>
    <row r="10554">
      <c r="C10554" s="1"/>
    </row>
    <row r="10555">
      <c r="C10555" s="1"/>
    </row>
    <row r="10556">
      <c r="C10556" s="1"/>
    </row>
    <row r="10557">
      <c r="C10557" s="1"/>
    </row>
    <row r="10558">
      <c r="C10558" s="1"/>
    </row>
    <row r="10559">
      <c r="C10559" s="1"/>
    </row>
    <row r="10560">
      <c r="C10560" s="1"/>
    </row>
    <row r="10561">
      <c r="C10561" s="1"/>
    </row>
    <row r="10562">
      <c r="C10562" s="1"/>
    </row>
    <row r="10563">
      <c r="C10563" s="1"/>
    </row>
    <row r="10564">
      <c r="C10564" s="1"/>
    </row>
    <row r="10565">
      <c r="C10565" s="1"/>
    </row>
    <row r="10566">
      <c r="C10566" s="1"/>
    </row>
    <row r="10567">
      <c r="C10567" s="1"/>
    </row>
    <row r="10568">
      <c r="C10568" s="1"/>
    </row>
    <row r="10569">
      <c r="C10569" s="1"/>
    </row>
    <row r="10570">
      <c r="C10570" s="1"/>
    </row>
    <row r="10571">
      <c r="C10571" s="1"/>
    </row>
    <row r="10572">
      <c r="C10572" s="1"/>
    </row>
    <row r="10573">
      <c r="C10573" s="1"/>
    </row>
    <row r="10574">
      <c r="C10574" s="1"/>
    </row>
    <row r="10575">
      <c r="C10575" s="1"/>
    </row>
    <row r="10576">
      <c r="C10576" s="1"/>
    </row>
    <row r="10577">
      <c r="C10577" s="1"/>
    </row>
    <row r="10578">
      <c r="C10578" s="1"/>
    </row>
    <row r="10579">
      <c r="C10579" s="1"/>
    </row>
    <row r="10580">
      <c r="C10580" s="1"/>
    </row>
    <row r="10581">
      <c r="C10581" s="1"/>
    </row>
    <row r="10582">
      <c r="C10582" s="1"/>
    </row>
    <row r="10583">
      <c r="C10583" s="1"/>
    </row>
    <row r="10584">
      <c r="C10584" s="1"/>
    </row>
    <row r="10585">
      <c r="C10585" s="1"/>
    </row>
    <row r="10586">
      <c r="C10586" s="1"/>
    </row>
    <row r="10587">
      <c r="C10587" s="1"/>
    </row>
    <row r="10588">
      <c r="C10588" s="1"/>
    </row>
    <row r="10589">
      <c r="C10589" s="1"/>
    </row>
    <row r="10590">
      <c r="C10590" s="1"/>
    </row>
    <row r="10591">
      <c r="C10591" s="1"/>
    </row>
    <row r="10592">
      <c r="C10592" s="1"/>
    </row>
    <row r="10593">
      <c r="C10593" s="1"/>
    </row>
    <row r="10594">
      <c r="C10594" s="1"/>
    </row>
    <row r="10595">
      <c r="C10595" s="1"/>
    </row>
    <row r="10596">
      <c r="C10596" s="1"/>
    </row>
    <row r="10597">
      <c r="C10597" s="1"/>
    </row>
    <row r="10598">
      <c r="C10598" s="1"/>
    </row>
    <row r="10599">
      <c r="C10599" s="1"/>
    </row>
    <row r="10600">
      <c r="C10600" s="1"/>
    </row>
    <row r="10601">
      <c r="C10601" s="1"/>
    </row>
    <row r="10602">
      <c r="C10602" s="1"/>
    </row>
    <row r="10603">
      <c r="C10603" s="1"/>
    </row>
    <row r="10604">
      <c r="C10604" s="1"/>
    </row>
    <row r="10605">
      <c r="C10605" s="1"/>
    </row>
    <row r="10606">
      <c r="C10606" s="1"/>
    </row>
    <row r="10607">
      <c r="C10607" s="1"/>
    </row>
    <row r="10608">
      <c r="C10608" s="1"/>
    </row>
    <row r="10609">
      <c r="C10609" s="1"/>
    </row>
    <row r="10610">
      <c r="C10610" s="1"/>
    </row>
    <row r="10611">
      <c r="C10611" s="1"/>
    </row>
    <row r="10612">
      <c r="C10612" s="1"/>
    </row>
    <row r="10613">
      <c r="C10613" s="1"/>
    </row>
    <row r="10614">
      <c r="C10614" s="1"/>
    </row>
    <row r="10615">
      <c r="C10615" s="1"/>
    </row>
    <row r="10616">
      <c r="C10616" s="1"/>
    </row>
    <row r="10617">
      <c r="C10617" s="1"/>
    </row>
    <row r="10618">
      <c r="C10618" s="1"/>
    </row>
    <row r="10619">
      <c r="C10619" s="1"/>
    </row>
    <row r="10620">
      <c r="C10620" s="1"/>
    </row>
    <row r="10621">
      <c r="C10621" s="1"/>
    </row>
    <row r="10622">
      <c r="C10622" s="1"/>
    </row>
    <row r="10623">
      <c r="C10623" s="1"/>
    </row>
    <row r="10624">
      <c r="C10624" s="1"/>
    </row>
    <row r="10625">
      <c r="C10625" s="1"/>
    </row>
    <row r="10626">
      <c r="C10626" s="1"/>
    </row>
    <row r="10627">
      <c r="C10627" s="1"/>
    </row>
    <row r="10628">
      <c r="C10628" s="1"/>
    </row>
    <row r="10629">
      <c r="C10629" s="1"/>
    </row>
    <row r="10630">
      <c r="C10630" s="1"/>
    </row>
    <row r="10631">
      <c r="C10631" s="1"/>
    </row>
    <row r="10632">
      <c r="C10632" s="1"/>
    </row>
    <row r="10633">
      <c r="C10633" s="1"/>
    </row>
    <row r="10634">
      <c r="C10634" s="1"/>
    </row>
    <row r="10635">
      <c r="C10635" s="1"/>
    </row>
    <row r="10636">
      <c r="C10636" s="1"/>
    </row>
    <row r="10637">
      <c r="C10637" s="1"/>
    </row>
    <row r="10638">
      <c r="C10638" s="1"/>
    </row>
    <row r="10639">
      <c r="C10639" s="1"/>
    </row>
    <row r="10640">
      <c r="C10640" s="1"/>
    </row>
    <row r="10641">
      <c r="C10641" s="1"/>
    </row>
    <row r="10642">
      <c r="C10642" s="1"/>
    </row>
    <row r="10643">
      <c r="C10643" s="1"/>
    </row>
    <row r="10644">
      <c r="C10644" s="1"/>
    </row>
    <row r="10645">
      <c r="C10645" s="1"/>
    </row>
    <row r="10646">
      <c r="C10646" s="1"/>
    </row>
    <row r="10647">
      <c r="C10647" s="1"/>
    </row>
    <row r="10648">
      <c r="C10648" s="1"/>
    </row>
    <row r="10649">
      <c r="C10649" s="1"/>
    </row>
    <row r="10650">
      <c r="C10650" s="1"/>
    </row>
    <row r="10651">
      <c r="C10651" s="1"/>
    </row>
    <row r="10652">
      <c r="C10652" s="1"/>
    </row>
    <row r="10653">
      <c r="C10653" s="1"/>
    </row>
    <row r="10654">
      <c r="C10654" s="1"/>
    </row>
    <row r="10655">
      <c r="C10655" s="1"/>
    </row>
    <row r="10656">
      <c r="C10656" s="1"/>
    </row>
    <row r="10657">
      <c r="C10657" s="1"/>
    </row>
    <row r="10658">
      <c r="C10658" s="1"/>
    </row>
    <row r="10659">
      <c r="C10659" s="1"/>
    </row>
    <row r="10660">
      <c r="C10660" s="1"/>
    </row>
    <row r="10661">
      <c r="C10661" s="1"/>
    </row>
    <row r="10662">
      <c r="C10662" s="1"/>
    </row>
    <row r="10663">
      <c r="C10663" s="1"/>
    </row>
    <row r="10664">
      <c r="C10664" s="1"/>
    </row>
    <row r="10665">
      <c r="C10665" s="1"/>
    </row>
    <row r="10666">
      <c r="C10666" s="1"/>
    </row>
    <row r="10667">
      <c r="C10667" s="1"/>
    </row>
    <row r="10668">
      <c r="C10668" s="1"/>
    </row>
    <row r="10669">
      <c r="C10669" s="1"/>
    </row>
    <row r="10670">
      <c r="C10670" s="1"/>
    </row>
    <row r="10671">
      <c r="C10671" s="1"/>
    </row>
    <row r="10672">
      <c r="C10672" s="1"/>
    </row>
    <row r="10673">
      <c r="C10673" s="1"/>
    </row>
    <row r="10674">
      <c r="C10674" s="1"/>
    </row>
    <row r="10675">
      <c r="C10675" s="1"/>
    </row>
    <row r="10676">
      <c r="C10676" s="1"/>
    </row>
    <row r="10677">
      <c r="C10677" s="1"/>
    </row>
    <row r="10678">
      <c r="C10678" s="1"/>
    </row>
    <row r="10679">
      <c r="C10679" s="1"/>
    </row>
    <row r="10680">
      <c r="C10680" s="1"/>
    </row>
    <row r="10681">
      <c r="C10681" s="1"/>
    </row>
    <row r="10682">
      <c r="C10682" s="1"/>
    </row>
    <row r="10683">
      <c r="C10683" s="1"/>
    </row>
    <row r="10684">
      <c r="C10684" s="1"/>
    </row>
    <row r="10685">
      <c r="C10685" s="1"/>
    </row>
    <row r="10686">
      <c r="C10686" s="1"/>
    </row>
    <row r="10687">
      <c r="C10687" s="1"/>
    </row>
    <row r="10688">
      <c r="C10688" s="1"/>
    </row>
    <row r="10689">
      <c r="C10689" s="1"/>
    </row>
    <row r="10690">
      <c r="C10690" s="1"/>
    </row>
    <row r="10691">
      <c r="C10691" s="1"/>
    </row>
    <row r="10692">
      <c r="C10692" s="1"/>
    </row>
    <row r="10693">
      <c r="C10693" s="1"/>
    </row>
    <row r="10694">
      <c r="C10694" s="1"/>
    </row>
    <row r="10695">
      <c r="C10695" s="1"/>
    </row>
    <row r="10696">
      <c r="C10696" s="1"/>
    </row>
    <row r="10697">
      <c r="C10697" s="1"/>
    </row>
    <row r="10698">
      <c r="C10698" s="1"/>
    </row>
    <row r="10699">
      <c r="C10699" s="1"/>
    </row>
    <row r="10700">
      <c r="C10700" s="1"/>
    </row>
    <row r="10701">
      <c r="C10701" s="1"/>
    </row>
    <row r="10702">
      <c r="C10702" s="1"/>
    </row>
    <row r="10703">
      <c r="C10703" s="1"/>
    </row>
    <row r="10704">
      <c r="C10704" s="1"/>
    </row>
    <row r="10705">
      <c r="C10705" s="1"/>
    </row>
    <row r="10706">
      <c r="C10706" s="1"/>
    </row>
    <row r="10707">
      <c r="C10707" s="1"/>
    </row>
    <row r="10708">
      <c r="C10708" s="1"/>
    </row>
    <row r="10709">
      <c r="C10709" s="1"/>
    </row>
    <row r="10710">
      <c r="C10710" s="1"/>
    </row>
    <row r="10711">
      <c r="C10711" s="1"/>
    </row>
    <row r="10712">
      <c r="C10712" s="1"/>
    </row>
    <row r="10713">
      <c r="C10713" s="1"/>
    </row>
    <row r="10714">
      <c r="C10714" s="1"/>
    </row>
    <row r="10715">
      <c r="C10715" s="1"/>
    </row>
    <row r="10716">
      <c r="C10716" s="1"/>
    </row>
    <row r="10717">
      <c r="C10717" s="1"/>
    </row>
    <row r="10718">
      <c r="C10718" s="1"/>
    </row>
    <row r="10719">
      <c r="C10719" s="1"/>
    </row>
    <row r="10720">
      <c r="C10720" s="1"/>
    </row>
    <row r="10721">
      <c r="C10721" s="1"/>
    </row>
    <row r="10722">
      <c r="C10722" s="1"/>
    </row>
    <row r="10723">
      <c r="C10723" s="1"/>
    </row>
    <row r="10724">
      <c r="C10724" s="1"/>
    </row>
    <row r="10725">
      <c r="C10725" s="1"/>
    </row>
    <row r="10726">
      <c r="C10726" s="1"/>
    </row>
    <row r="10727">
      <c r="C10727" s="1"/>
    </row>
    <row r="10728">
      <c r="C10728" s="1"/>
    </row>
    <row r="10729">
      <c r="C10729" s="1"/>
    </row>
    <row r="10730">
      <c r="C10730" s="1"/>
    </row>
    <row r="10731">
      <c r="C10731" s="1"/>
    </row>
    <row r="10732">
      <c r="C10732" s="1"/>
    </row>
    <row r="10733">
      <c r="C10733" s="1"/>
    </row>
    <row r="10734">
      <c r="C10734" s="1"/>
    </row>
    <row r="10735">
      <c r="C10735" s="1"/>
    </row>
    <row r="10736">
      <c r="C10736" s="1"/>
    </row>
    <row r="10737">
      <c r="C10737" s="1"/>
    </row>
    <row r="10738">
      <c r="C10738" s="1"/>
    </row>
    <row r="10739">
      <c r="C10739" s="1"/>
    </row>
    <row r="10740">
      <c r="C10740" s="1"/>
    </row>
    <row r="10741">
      <c r="C10741" s="1"/>
    </row>
    <row r="10742">
      <c r="C10742" s="1"/>
    </row>
    <row r="10743">
      <c r="C10743" s="1"/>
    </row>
    <row r="10744">
      <c r="C10744" s="1"/>
    </row>
    <row r="10745">
      <c r="C10745" s="1"/>
    </row>
    <row r="10746">
      <c r="C10746" s="1"/>
    </row>
    <row r="10747">
      <c r="C10747" s="1"/>
    </row>
    <row r="10748">
      <c r="C10748" s="1"/>
    </row>
    <row r="10749">
      <c r="C10749" s="1"/>
    </row>
    <row r="10750">
      <c r="C10750" s="1"/>
    </row>
    <row r="10751">
      <c r="C10751" s="1"/>
    </row>
    <row r="10752">
      <c r="C10752" s="1"/>
    </row>
    <row r="10753">
      <c r="C10753" s="1"/>
    </row>
    <row r="10754">
      <c r="C10754" s="1"/>
    </row>
    <row r="10755">
      <c r="C10755" s="1"/>
    </row>
    <row r="10756">
      <c r="C10756" s="1"/>
    </row>
    <row r="10757">
      <c r="C10757" s="1"/>
    </row>
    <row r="10758">
      <c r="C10758" s="1"/>
    </row>
    <row r="10759">
      <c r="C10759" s="1"/>
    </row>
    <row r="10760">
      <c r="C10760" s="1"/>
    </row>
    <row r="10761">
      <c r="C10761" s="1"/>
    </row>
    <row r="10762">
      <c r="C10762" s="1"/>
    </row>
    <row r="10763">
      <c r="C10763" s="1"/>
    </row>
    <row r="10764">
      <c r="C10764" s="1"/>
    </row>
    <row r="10765">
      <c r="C10765" s="1"/>
    </row>
    <row r="10766">
      <c r="C10766" s="1"/>
    </row>
    <row r="10767">
      <c r="C10767" s="1"/>
    </row>
    <row r="10768">
      <c r="C10768" s="1"/>
    </row>
    <row r="10769">
      <c r="C10769" s="1"/>
    </row>
    <row r="10770">
      <c r="C10770" s="1"/>
    </row>
    <row r="10771">
      <c r="C10771" s="1"/>
    </row>
    <row r="10772">
      <c r="C10772" s="1"/>
    </row>
    <row r="10773">
      <c r="C10773" s="1"/>
    </row>
    <row r="10774">
      <c r="C10774" s="1"/>
    </row>
    <row r="10775">
      <c r="C10775" s="1"/>
    </row>
    <row r="10776">
      <c r="C10776" s="1"/>
    </row>
    <row r="10777">
      <c r="C10777" s="1"/>
    </row>
    <row r="10778">
      <c r="C10778" s="1"/>
    </row>
    <row r="10779">
      <c r="C10779" s="1"/>
    </row>
    <row r="10780">
      <c r="C10780" s="1"/>
    </row>
    <row r="10781">
      <c r="C10781" s="1"/>
    </row>
    <row r="10782">
      <c r="C10782" s="1"/>
    </row>
    <row r="10783">
      <c r="C10783" s="1"/>
    </row>
    <row r="10784">
      <c r="C10784" s="1"/>
    </row>
    <row r="10785">
      <c r="C10785" s="1"/>
    </row>
    <row r="10786">
      <c r="C10786" s="1"/>
    </row>
    <row r="10787">
      <c r="C10787" s="1"/>
    </row>
    <row r="10788">
      <c r="C10788" s="1"/>
    </row>
    <row r="10789">
      <c r="C10789" s="1"/>
    </row>
    <row r="10790">
      <c r="C10790" s="1"/>
    </row>
    <row r="10791">
      <c r="C10791" s="1"/>
    </row>
    <row r="10792">
      <c r="C10792" s="1"/>
    </row>
    <row r="10793">
      <c r="C10793" s="1"/>
    </row>
    <row r="10794">
      <c r="C10794" s="1"/>
    </row>
    <row r="10795">
      <c r="C10795" s="1"/>
    </row>
    <row r="10796">
      <c r="C10796" s="1"/>
    </row>
    <row r="10797">
      <c r="C10797" s="1"/>
    </row>
    <row r="10798">
      <c r="C10798" s="1"/>
    </row>
    <row r="10799">
      <c r="C10799" s="1"/>
    </row>
    <row r="10800">
      <c r="C10800" s="1"/>
    </row>
    <row r="10801">
      <c r="C10801" s="1"/>
    </row>
    <row r="10802">
      <c r="C10802" s="1"/>
    </row>
    <row r="10803">
      <c r="C10803" s="1"/>
    </row>
    <row r="10804">
      <c r="C10804" s="1"/>
    </row>
    <row r="10805">
      <c r="C10805" s="1"/>
    </row>
    <row r="10806">
      <c r="C10806" s="1"/>
    </row>
    <row r="10807">
      <c r="C10807" s="1"/>
    </row>
    <row r="10808">
      <c r="C10808" s="1"/>
    </row>
    <row r="10809">
      <c r="C10809" s="1"/>
    </row>
    <row r="10810">
      <c r="C10810" s="1"/>
    </row>
    <row r="10811">
      <c r="C10811" s="1"/>
    </row>
    <row r="10812">
      <c r="C10812" s="1"/>
    </row>
    <row r="10813">
      <c r="C10813" s="1"/>
    </row>
    <row r="10814">
      <c r="C10814" s="1"/>
    </row>
    <row r="10815">
      <c r="C10815" s="1"/>
    </row>
    <row r="10816">
      <c r="C10816" s="1"/>
    </row>
    <row r="10817">
      <c r="C10817" s="1"/>
    </row>
    <row r="10818">
      <c r="C10818" s="1"/>
    </row>
    <row r="10819">
      <c r="C10819" s="1"/>
    </row>
    <row r="10820">
      <c r="C10820" s="1"/>
    </row>
    <row r="10821">
      <c r="C10821" s="1"/>
    </row>
    <row r="10822">
      <c r="C10822" s="1"/>
    </row>
    <row r="10823">
      <c r="C10823" s="1"/>
    </row>
    <row r="10824">
      <c r="C10824" s="1"/>
    </row>
    <row r="10825">
      <c r="C10825" s="1"/>
    </row>
    <row r="10826">
      <c r="C10826" s="1"/>
    </row>
    <row r="10827">
      <c r="C10827" s="1"/>
    </row>
    <row r="10828">
      <c r="C10828" s="1"/>
    </row>
    <row r="10829">
      <c r="C10829" s="1"/>
    </row>
    <row r="10830">
      <c r="C10830" s="1"/>
    </row>
    <row r="10831">
      <c r="C10831" s="1"/>
    </row>
    <row r="10832">
      <c r="C10832" s="1"/>
    </row>
    <row r="10833">
      <c r="C10833" s="5"/>
    </row>
    <row r="10834">
      <c r="C10834" s="1"/>
    </row>
    <row r="10835">
      <c r="C10835" s="1"/>
    </row>
    <row r="10836">
      <c r="C10836" s="1"/>
    </row>
    <row r="10837">
      <c r="C10837" s="1"/>
    </row>
    <row r="10838">
      <c r="C10838" s="1"/>
    </row>
    <row r="10839">
      <c r="C10839" s="1"/>
    </row>
    <row r="10840">
      <c r="C10840" s="1"/>
    </row>
    <row r="10841">
      <c r="C10841" s="1"/>
    </row>
    <row r="10842">
      <c r="C10842" s="1"/>
    </row>
    <row r="10843">
      <c r="C10843" s="1"/>
    </row>
    <row r="10844">
      <c r="C10844" s="1"/>
    </row>
    <row r="10845">
      <c r="C10845" s="1"/>
    </row>
    <row r="10846">
      <c r="C10846" s="1"/>
    </row>
    <row r="10847">
      <c r="C10847" s="1"/>
    </row>
    <row r="10848">
      <c r="C10848" s="1"/>
    </row>
    <row r="10849">
      <c r="C10849" s="1"/>
    </row>
    <row r="10850">
      <c r="C10850" s="1"/>
    </row>
    <row r="10851">
      <c r="C10851" s="1"/>
    </row>
    <row r="10852">
      <c r="C10852" s="1"/>
    </row>
    <row r="10853">
      <c r="C10853" s="1"/>
    </row>
    <row r="10854">
      <c r="C10854" s="1"/>
    </row>
    <row r="10855">
      <c r="C10855" s="1"/>
    </row>
    <row r="10856">
      <c r="C10856" s="1"/>
    </row>
    <row r="10857">
      <c r="C10857" s="1"/>
    </row>
    <row r="10858">
      <c r="C10858" s="1"/>
    </row>
    <row r="10859">
      <c r="C10859" s="1"/>
    </row>
    <row r="10860">
      <c r="C10860" s="1"/>
    </row>
    <row r="10861">
      <c r="C10861" s="1"/>
    </row>
    <row r="10862">
      <c r="C10862" s="1"/>
    </row>
    <row r="10863">
      <c r="C10863" s="1"/>
    </row>
    <row r="10864">
      <c r="C10864" s="1"/>
    </row>
    <row r="10865">
      <c r="C10865" s="1"/>
    </row>
    <row r="10866">
      <c r="C10866" s="1"/>
    </row>
    <row r="10867">
      <c r="C10867" s="1"/>
    </row>
    <row r="10868">
      <c r="C10868" s="1"/>
    </row>
    <row r="10869">
      <c r="C10869" s="1"/>
    </row>
    <row r="10870">
      <c r="C10870" s="1"/>
    </row>
    <row r="10871">
      <c r="C10871" s="1"/>
    </row>
    <row r="10872">
      <c r="C10872" s="1"/>
    </row>
    <row r="10873">
      <c r="C10873" s="1"/>
    </row>
    <row r="10874">
      <c r="C10874" s="1"/>
    </row>
    <row r="10875">
      <c r="C10875" s="1"/>
    </row>
    <row r="10876">
      <c r="C10876" s="1"/>
    </row>
    <row r="10877">
      <c r="C10877" s="1"/>
    </row>
    <row r="10878">
      <c r="C10878" s="1"/>
    </row>
    <row r="10879">
      <c r="C10879" s="1"/>
    </row>
    <row r="10880">
      <c r="C10880" s="1"/>
    </row>
    <row r="10881">
      <c r="C10881" s="1"/>
    </row>
    <row r="10882">
      <c r="C10882" s="1"/>
    </row>
    <row r="10883">
      <c r="C10883" s="1"/>
    </row>
    <row r="10884">
      <c r="C10884" s="1"/>
    </row>
    <row r="10885">
      <c r="C10885" s="1"/>
    </row>
    <row r="10886">
      <c r="C10886" s="1"/>
    </row>
    <row r="10887">
      <c r="C10887" s="1"/>
    </row>
    <row r="10888">
      <c r="C10888" s="1"/>
    </row>
    <row r="10889">
      <c r="C10889" s="1"/>
    </row>
    <row r="10890">
      <c r="C10890" s="1"/>
    </row>
    <row r="10891">
      <c r="C10891" s="1"/>
    </row>
    <row r="10892">
      <c r="C10892" s="1"/>
    </row>
    <row r="10893">
      <c r="C10893" s="1"/>
    </row>
    <row r="10894">
      <c r="C10894" s="1"/>
    </row>
    <row r="10895">
      <c r="C10895" s="1"/>
    </row>
    <row r="10896">
      <c r="C10896" s="1"/>
    </row>
    <row r="10897">
      <c r="C10897" s="1"/>
    </row>
    <row r="10898">
      <c r="C10898" s="1"/>
    </row>
    <row r="10899">
      <c r="C10899" s="1"/>
    </row>
    <row r="10900">
      <c r="C10900" s="1"/>
    </row>
    <row r="10901">
      <c r="C10901" s="1"/>
    </row>
    <row r="10902">
      <c r="C10902" s="1"/>
    </row>
    <row r="10903">
      <c r="C10903" s="1"/>
    </row>
    <row r="10904">
      <c r="C10904" s="1"/>
    </row>
    <row r="10905">
      <c r="C10905" s="1"/>
    </row>
    <row r="10906">
      <c r="C10906" s="1"/>
    </row>
    <row r="10907">
      <c r="C10907" s="1"/>
    </row>
    <row r="10908">
      <c r="C10908" s="1"/>
    </row>
    <row r="10909">
      <c r="C10909" s="1"/>
    </row>
    <row r="10910">
      <c r="C10910" s="1"/>
    </row>
    <row r="10911">
      <c r="C10911" s="1"/>
    </row>
    <row r="10912">
      <c r="C10912" s="1"/>
    </row>
    <row r="10913">
      <c r="C10913" s="1"/>
    </row>
    <row r="10914">
      <c r="C10914" s="1"/>
    </row>
    <row r="10915">
      <c r="C10915" s="1"/>
    </row>
    <row r="10916">
      <c r="C10916" s="1"/>
    </row>
    <row r="10917">
      <c r="C10917" s="1"/>
    </row>
    <row r="10918">
      <c r="C10918" s="1"/>
    </row>
    <row r="10919">
      <c r="C10919" s="1"/>
    </row>
    <row r="10920">
      <c r="C10920" s="1"/>
    </row>
    <row r="10921">
      <c r="C10921" s="1"/>
    </row>
    <row r="10922">
      <c r="C10922" s="1"/>
    </row>
    <row r="10923">
      <c r="C10923" s="1"/>
    </row>
    <row r="10924">
      <c r="C10924" s="1"/>
    </row>
    <row r="10925">
      <c r="C10925" s="1"/>
    </row>
    <row r="10926">
      <c r="C10926" s="1"/>
    </row>
    <row r="10927">
      <c r="C10927" s="1"/>
    </row>
    <row r="10928">
      <c r="C10928" s="1"/>
    </row>
    <row r="10929">
      <c r="C10929" s="1"/>
    </row>
    <row r="10930">
      <c r="C10930" s="1"/>
    </row>
    <row r="10931">
      <c r="C10931" s="1"/>
    </row>
    <row r="10932">
      <c r="C10932" s="1"/>
    </row>
    <row r="10933">
      <c r="C10933" s="1"/>
    </row>
    <row r="10934">
      <c r="C10934" s="1"/>
    </row>
    <row r="10935">
      <c r="C10935" s="1"/>
    </row>
    <row r="10936">
      <c r="C10936" s="1"/>
    </row>
    <row r="10937">
      <c r="C10937" s="1"/>
    </row>
    <row r="10938">
      <c r="C10938" s="1"/>
    </row>
    <row r="10939">
      <c r="C10939" s="1"/>
    </row>
    <row r="10940">
      <c r="C10940" s="1"/>
    </row>
    <row r="10941">
      <c r="C10941" s="1"/>
    </row>
    <row r="10942">
      <c r="C10942" s="1"/>
    </row>
    <row r="10943">
      <c r="C10943" s="1"/>
    </row>
    <row r="10944">
      <c r="C10944" s="1"/>
    </row>
    <row r="10945">
      <c r="C10945" s="1"/>
    </row>
    <row r="10946">
      <c r="C10946" s="1"/>
    </row>
    <row r="10947">
      <c r="C10947" s="1"/>
    </row>
    <row r="10948">
      <c r="C10948" s="1"/>
    </row>
    <row r="10949">
      <c r="C10949" s="1"/>
    </row>
    <row r="10950">
      <c r="C10950" s="1"/>
    </row>
    <row r="10951">
      <c r="C10951" s="1"/>
    </row>
    <row r="10952">
      <c r="C10952" s="1"/>
    </row>
    <row r="10953">
      <c r="C10953" s="1"/>
    </row>
    <row r="10954">
      <c r="C10954" s="1"/>
    </row>
    <row r="10955">
      <c r="C10955" s="1"/>
    </row>
    <row r="10956">
      <c r="C10956" s="1"/>
    </row>
    <row r="10957">
      <c r="C10957" s="1"/>
    </row>
    <row r="10958">
      <c r="C10958" s="1"/>
    </row>
    <row r="10959">
      <c r="C10959" s="1"/>
    </row>
    <row r="10960">
      <c r="C10960" s="1"/>
    </row>
    <row r="10961">
      <c r="C10961" s="1"/>
    </row>
    <row r="10962">
      <c r="C10962" s="1"/>
    </row>
    <row r="10963">
      <c r="C10963" s="1"/>
    </row>
    <row r="10964">
      <c r="C10964" s="1"/>
    </row>
    <row r="10965">
      <c r="C10965" s="1"/>
    </row>
    <row r="10966">
      <c r="C10966" s="1"/>
    </row>
    <row r="10967">
      <c r="C10967" s="1"/>
    </row>
    <row r="10968">
      <c r="C10968" s="1"/>
    </row>
    <row r="10969">
      <c r="C10969" s="1"/>
    </row>
    <row r="10970">
      <c r="C10970" s="1"/>
    </row>
    <row r="10971">
      <c r="C10971" s="1"/>
    </row>
    <row r="10972">
      <c r="C10972" s="1"/>
    </row>
    <row r="10973">
      <c r="C10973" s="1"/>
    </row>
    <row r="10974">
      <c r="C10974" s="1"/>
    </row>
    <row r="10975">
      <c r="C10975" s="1"/>
    </row>
    <row r="10976">
      <c r="C10976" s="1"/>
    </row>
    <row r="10977">
      <c r="C10977" s="1"/>
    </row>
    <row r="10978">
      <c r="C10978" s="1"/>
    </row>
    <row r="10979">
      <c r="C10979" s="1"/>
    </row>
    <row r="10980">
      <c r="C10980" s="1"/>
    </row>
    <row r="10981">
      <c r="C10981" s="1"/>
    </row>
    <row r="10982">
      <c r="C10982" s="1"/>
    </row>
    <row r="10983">
      <c r="C10983" s="1"/>
    </row>
    <row r="10984">
      <c r="C10984" s="1"/>
    </row>
    <row r="10985">
      <c r="C10985" s="1"/>
    </row>
    <row r="10986">
      <c r="C10986" s="1"/>
    </row>
    <row r="10987">
      <c r="C10987" s="1"/>
    </row>
    <row r="10988">
      <c r="C10988" s="1"/>
    </row>
    <row r="10989">
      <c r="C10989" s="1"/>
    </row>
    <row r="10990">
      <c r="C10990" s="1"/>
    </row>
    <row r="10991">
      <c r="C10991" s="1"/>
    </row>
    <row r="10992">
      <c r="C10992" s="1"/>
    </row>
    <row r="10993">
      <c r="C10993" s="1"/>
    </row>
    <row r="10994">
      <c r="C10994" s="1"/>
    </row>
    <row r="10995">
      <c r="C10995" s="1"/>
    </row>
    <row r="10996">
      <c r="C10996" s="1"/>
    </row>
    <row r="10997">
      <c r="C10997" s="1"/>
    </row>
    <row r="10998">
      <c r="C10998" s="1"/>
    </row>
    <row r="10999">
      <c r="C10999" s="1"/>
    </row>
    <row r="11000">
      <c r="C11000" s="1"/>
    </row>
    <row r="11001">
      <c r="C11001" s="1"/>
    </row>
    <row r="11002">
      <c r="C11002" s="1"/>
    </row>
    <row r="11003">
      <c r="C11003" s="1"/>
    </row>
    <row r="11004">
      <c r="C11004" s="1"/>
    </row>
    <row r="11005">
      <c r="C11005" s="1"/>
    </row>
    <row r="11006">
      <c r="C11006" s="1"/>
    </row>
    <row r="11007">
      <c r="C11007" s="1"/>
    </row>
    <row r="11008">
      <c r="C11008" s="1"/>
    </row>
    <row r="11009">
      <c r="C11009" s="1"/>
    </row>
    <row r="11010">
      <c r="C11010" s="1"/>
    </row>
    <row r="11011">
      <c r="C11011" s="1"/>
    </row>
    <row r="11012">
      <c r="C11012" s="1"/>
    </row>
    <row r="11013">
      <c r="C11013" s="1"/>
    </row>
    <row r="11014">
      <c r="C11014" s="1"/>
    </row>
    <row r="11015">
      <c r="C11015" s="1"/>
    </row>
    <row r="11016">
      <c r="C11016" s="1"/>
    </row>
    <row r="11017">
      <c r="C11017" s="1"/>
    </row>
    <row r="11018">
      <c r="C11018" s="1"/>
    </row>
    <row r="11019">
      <c r="C11019" s="1"/>
    </row>
    <row r="11020">
      <c r="C11020" s="1"/>
    </row>
    <row r="11021">
      <c r="C11021" s="1"/>
    </row>
    <row r="11022">
      <c r="C11022" s="1"/>
    </row>
    <row r="11023">
      <c r="C11023" s="1"/>
    </row>
    <row r="11024">
      <c r="C11024" s="1"/>
    </row>
    <row r="11025">
      <c r="C11025" s="1"/>
    </row>
    <row r="11026">
      <c r="C11026" s="1"/>
    </row>
    <row r="11027">
      <c r="C11027" s="1"/>
    </row>
    <row r="11028">
      <c r="C11028" s="1"/>
    </row>
    <row r="11029">
      <c r="C11029" s="1"/>
    </row>
    <row r="11030">
      <c r="C11030" s="1"/>
    </row>
    <row r="11031">
      <c r="C11031" s="1"/>
    </row>
    <row r="11032">
      <c r="C11032" s="1"/>
    </row>
    <row r="11033">
      <c r="C11033" s="1"/>
    </row>
    <row r="11034">
      <c r="C11034" s="1"/>
    </row>
    <row r="11035">
      <c r="C11035" s="1"/>
    </row>
    <row r="11036">
      <c r="C11036" s="1"/>
    </row>
    <row r="11037">
      <c r="C11037" s="1"/>
    </row>
    <row r="11038">
      <c r="C11038" s="1"/>
    </row>
    <row r="11039">
      <c r="C11039" s="1"/>
    </row>
    <row r="11040">
      <c r="C11040" s="1"/>
    </row>
    <row r="11041">
      <c r="C11041" s="1"/>
    </row>
    <row r="11042">
      <c r="C11042" s="1"/>
    </row>
    <row r="11043">
      <c r="C11043" s="1"/>
    </row>
    <row r="11044">
      <c r="C11044" s="1"/>
    </row>
    <row r="11045">
      <c r="C11045" s="1"/>
    </row>
    <row r="11046">
      <c r="C11046" s="1"/>
    </row>
    <row r="11047">
      <c r="C11047" s="1"/>
    </row>
    <row r="11048">
      <c r="C11048" s="1"/>
    </row>
    <row r="11049">
      <c r="C11049" s="1"/>
    </row>
    <row r="11050">
      <c r="C11050" s="1"/>
    </row>
    <row r="11051">
      <c r="C11051" s="1"/>
    </row>
    <row r="11052">
      <c r="C11052" s="1"/>
    </row>
    <row r="11053">
      <c r="C11053" s="1"/>
    </row>
    <row r="11054">
      <c r="C11054" s="1"/>
    </row>
    <row r="11055">
      <c r="C11055" s="1"/>
    </row>
    <row r="11056">
      <c r="C11056" s="1"/>
    </row>
    <row r="11057">
      <c r="C11057" s="1"/>
    </row>
    <row r="11058">
      <c r="C11058" s="1"/>
    </row>
    <row r="11059">
      <c r="C11059" s="1"/>
    </row>
    <row r="11060">
      <c r="C11060" s="1"/>
    </row>
    <row r="11061">
      <c r="C11061" s="1"/>
    </row>
    <row r="11062">
      <c r="C11062" s="1"/>
    </row>
    <row r="11063">
      <c r="C11063" s="1"/>
    </row>
    <row r="11064">
      <c r="C11064" s="1"/>
    </row>
    <row r="11065">
      <c r="C11065" s="1"/>
    </row>
    <row r="11066">
      <c r="C11066" s="1"/>
    </row>
    <row r="11067">
      <c r="C11067" s="1"/>
    </row>
    <row r="11068">
      <c r="C11068" s="1"/>
    </row>
    <row r="11069">
      <c r="C11069" s="1"/>
    </row>
    <row r="11070">
      <c r="C11070" s="1"/>
    </row>
    <row r="11071">
      <c r="C11071" s="1"/>
    </row>
    <row r="11072">
      <c r="C11072" s="1"/>
    </row>
    <row r="11073">
      <c r="C11073" s="1"/>
    </row>
    <row r="11074">
      <c r="C11074" s="1"/>
    </row>
    <row r="11075">
      <c r="C11075" s="1"/>
    </row>
    <row r="11076">
      <c r="C11076" s="1"/>
    </row>
    <row r="11077">
      <c r="C11077" s="1"/>
    </row>
    <row r="11078">
      <c r="C11078" s="1"/>
    </row>
    <row r="11079">
      <c r="C11079" s="1"/>
    </row>
    <row r="11080">
      <c r="C11080" s="1"/>
    </row>
    <row r="11081">
      <c r="C11081" s="1"/>
    </row>
    <row r="11082">
      <c r="C11082" s="1"/>
    </row>
    <row r="11083">
      <c r="C11083" s="1"/>
    </row>
    <row r="11084">
      <c r="C11084" s="1"/>
    </row>
    <row r="11085">
      <c r="C11085" s="1"/>
    </row>
    <row r="11086">
      <c r="C11086" s="1"/>
    </row>
    <row r="11087">
      <c r="C11087" s="1"/>
    </row>
    <row r="11088">
      <c r="C11088" s="1"/>
    </row>
    <row r="11089">
      <c r="C11089" s="1"/>
    </row>
    <row r="11090">
      <c r="C11090" s="1"/>
    </row>
    <row r="11091">
      <c r="C11091" s="1"/>
    </row>
    <row r="11092">
      <c r="C11092" s="1"/>
    </row>
    <row r="11093">
      <c r="C11093" s="1"/>
    </row>
    <row r="11094">
      <c r="C11094" s="1"/>
    </row>
    <row r="11095">
      <c r="C11095" s="1"/>
    </row>
    <row r="11096">
      <c r="C11096" s="1"/>
    </row>
    <row r="11097">
      <c r="C11097" s="1"/>
    </row>
    <row r="11098">
      <c r="C11098" s="1"/>
    </row>
    <row r="11099">
      <c r="C11099" s="1"/>
    </row>
    <row r="11100">
      <c r="C11100" s="1"/>
    </row>
    <row r="11101">
      <c r="C11101" s="1"/>
    </row>
    <row r="11102">
      <c r="C11102" s="1"/>
    </row>
    <row r="11103">
      <c r="C11103" s="1"/>
    </row>
    <row r="11104">
      <c r="C11104" s="1"/>
    </row>
    <row r="11105">
      <c r="C11105" s="1"/>
    </row>
    <row r="11106">
      <c r="C11106" s="1"/>
    </row>
    <row r="11107">
      <c r="C11107" s="1"/>
    </row>
    <row r="11108">
      <c r="C11108" s="1"/>
    </row>
    <row r="11109">
      <c r="C11109" s="1"/>
    </row>
    <row r="11110">
      <c r="C11110" s="1"/>
    </row>
    <row r="11111">
      <c r="C11111" s="1"/>
    </row>
    <row r="11112">
      <c r="C11112" s="1"/>
    </row>
    <row r="11113">
      <c r="C11113" s="1"/>
    </row>
    <row r="11114">
      <c r="C11114" s="1"/>
    </row>
    <row r="11115">
      <c r="C11115" s="1"/>
    </row>
    <row r="11116">
      <c r="C11116" s="1"/>
    </row>
    <row r="11117">
      <c r="C11117" s="1"/>
    </row>
    <row r="11118">
      <c r="C11118" s="1"/>
    </row>
    <row r="11119">
      <c r="C11119" s="1"/>
    </row>
    <row r="11120">
      <c r="C11120" s="1"/>
    </row>
    <row r="11121">
      <c r="C11121" s="1"/>
    </row>
    <row r="11122">
      <c r="C11122" s="1"/>
    </row>
    <row r="11123">
      <c r="C11123" s="1"/>
    </row>
    <row r="11124">
      <c r="C11124" s="1"/>
    </row>
    <row r="11125">
      <c r="C11125" s="1"/>
    </row>
    <row r="11126">
      <c r="C11126" s="1"/>
    </row>
    <row r="11127">
      <c r="C11127" s="1"/>
    </row>
    <row r="11128">
      <c r="C11128" s="1"/>
    </row>
    <row r="11129">
      <c r="C11129" s="1"/>
    </row>
    <row r="11130">
      <c r="C11130" s="1"/>
    </row>
    <row r="11131">
      <c r="C11131" s="1"/>
    </row>
    <row r="11132">
      <c r="C11132" s="1"/>
    </row>
    <row r="11133">
      <c r="C11133" s="1"/>
    </row>
    <row r="11134">
      <c r="C11134" s="1"/>
    </row>
    <row r="11135">
      <c r="C11135" s="1"/>
    </row>
    <row r="11136">
      <c r="C11136" s="1"/>
    </row>
    <row r="11137">
      <c r="C11137" s="1"/>
    </row>
    <row r="11138">
      <c r="C11138" s="1"/>
    </row>
    <row r="11139">
      <c r="C11139" s="1"/>
    </row>
    <row r="11140">
      <c r="C11140" s="1"/>
    </row>
    <row r="11141">
      <c r="C11141" s="1"/>
    </row>
    <row r="11142">
      <c r="C11142" s="1"/>
    </row>
    <row r="11143">
      <c r="C11143" s="1"/>
    </row>
    <row r="11144">
      <c r="C11144" s="1"/>
    </row>
    <row r="11145">
      <c r="C11145" s="1"/>
    </row>
    <row r="11146">
      <c r="C11146" s="1"/>
    </row>
    <row r="11147">
      <c r="C11147" s="1"/>
    </row>
    <row r="11148">
      <c r="C11148" s="1"/>
    </row>
    <row r="11149">
      <c r="C11149" s="1"/>
    </row>
    <row r="11150">
      <c r="C11150" s="1"/>
    </row>
    <row r="11151">
      <c r="C11151" s="1"/>
    </row>
    <row r="11152">
      <c r="C11152" s="1"/>
    </row>
    <row r="11153">
      <c r="C11153" s="1"/>
    </row>
    <row r="11154">
      <c r="C11154" s="1"/>
    </row>
    <row r="11155">
      <c r="C11155" s="1"/>
    </row>
    <row r="11156">
      <c r="C11156" s="1"/>
    </row>
    <row r="11157">
      <c r="C11157" s="1"/>
    </row>
    <row r="11158">
      <c r="C11158" s="1"/>
    </row>
    <row r="11159">
      <c r="C11159" s="1"/>
    </row>
    <row r="11160">
      <c r="C11160" s="1"/>
    </row>
    <row r="11161">
      <c r="C11161" s="1"/>
    </row>
    <row r="11162">
      <c r="C11162" s="1"/>
    </row>
    <row r="11163">
      <c r="C11163" s="1"/>
    </row>
    <row r="11164">
      <c r="C11164" s="1"/>
    </row>
    <row r="11165">
      <c r="C11165" s="1"/>
    </row>
    <row r="11166">
      <c r="C11166" s="1"/>
    </row>
    <row r="11167">
      <c r="C11167" s="1"/>
    </row>
    <row r="11168">
      <c r="C11168" s="1"/>
    </row>
    <row r="11169">
      <c r="C11169" s="1"/>
    </row>
    <row r="11170">
      <c r="C11170" s="1"/>
    </row>
    <row r="11171">
      <c r="C11171" s="1"/>
    </row>
    <row r="11172">
      <c r="C11172" s="1"/>
    </row>
    <row r="11173">
      <c r="C11173" s="1"/>
    </row>
    <row r="11174">
      <c r="C11174" s="1"/>
    </row>
    <row r="11175">
      <c r="C11175" s="1"/>
    </row>
    <row r="11176">
      <c r="C11176" s="1"/>
    </row>
    <row r="11177">
      <c r="C11177" s="1"/>
    </row>
    <row r="11178">
      <c r="C11178" s="1"/>
    </row>
    <row r="11179">
      <c r="C11179" s="1"/>
    </row>
    <row r="11180">
      <c r="C11180" s="1"/>
    </row>
    <row r="11181">
      <c r="C11181" s="1"/>
    </row>
    <row r="11182">
      <c r="C11182" s="1"/>
    </row>
    <row r="11183">
      <c r="C11183" s="1"/>
    </row>
    <row r="11184">
      <c r="C11184" s="1"/>
    </row>
    <row r="11185">
      <c r="C11185" s="1"/>
    </row>
    <row r="11186">
      <c r="C11186" s="1"/>
    </row>
    <row r="11187">
      <c r="C11187" s="1"/>
    </row>
    <row r="11188">
      <c r="C11188" s="1"/>
    </row>
    <row r="11189">
      <c r="C11189" s="1"/>
    </row>
    <row r="11190">
      <c r="C11190" s="1"/>
    </row>
    <row r="11191">
      <c r="C11191" s="1"/>
    </row>
    <row r="11192">
      <c r="C11192" s="1"/>
    </row>
    <row r="11193">
      <c r="C11193" s="1"/>
    </row>
    <row r="11194">
      <c r="C11194" s="1"/>
    </row>
    <row r="11195">
      <c r="C11195" s="1"/>
    </row>
    <row r="11196">
      <c r="C11196" s="1"/>
    </row>
    <row r="11197">
      <c r="C11197" s="1"/>
    </row>
    <row r="11198">
      <c r="C11198" s="1"/>
    </row>
    <row r="11199">
      <c r="C11199" s="1"/>
    </row>
    <row r="11200">
      <c r="C11200" s="1"/>
    </row>
    <row r="11201">
      <c r="C11201" s="1"/>
    </row>
    <row r="11202">
      <c r="C11202" s="1"/>
    </row>
    <row r="11203">
      <c r="C11203" s="1"/>
    </row>
    <row r="11204">
      <c r="C11204" s="1"/>
    </row>
    <row r="11205">
      <c r="C11205" s="1"/>
    </row>
    <row r="11206">
      <c r="C11206" s="1"/>
    </row>
    <row r="11207">
      <c r="C11207" s="1"/>
    </row>
    <row r="11208">
      <c r="C11208" s="1"/>
    </row>
    <row r="11209">
      <c r="C11209" s="1"/>
    </row>
    <row r="11210">
      <c r="C11210" s="1"/>
    </row>
    <row r="11211">
      <c r="C11211" s="1"/>
    </row>
    <row r="11212">
      <c r="C11212" s="1"/>
    </row>
    <row r="11213">
      <c r="C11213" s="1"/>
    </row>
    <row r="11214">
      <c r="C11214" s="1"/>
    </row>
    <row r="11215">
      <c r="C11215" s="1"/>
    </row>
    <row r="11216">
      <c r="C11216" s="1"/>
    </row>
    <row r="11217">
      <c r="C11217" s="1"/>
    </row>
    <row r="11218">
      <c r="C11218" s="1"/>
    </row>
    <row r="11219">
      <c r="C11219" s="1"/>
    </row>
    <row r="11220">
      <c r="C11220" s="1"/>
    </row>
    <row r="11221">
      <c r="C11221" s="1"/>
    </row>
    <row r="11222">
      <c r="C11222" s="1"/>
    </row>
    <row r="11223">
      <c r="C11223" s="1"/>
    </row>
    <row r="11224">
      <c r="C11224" s="1"/>
    </row>
    <row r="11225">
      <c r="C11225" s="1"/>
    </row>
    <row r="11226">
      <c r="C11226" s="1"/>
    </row>
    <row r="11227">
      <c r="C11227" s="1"/>
    </row>
    <row r="11228">
      <c r="C11228" s="1"/>
    </row>
    <row r="11229">
      <c r="C11229" s="1"/>
    </row>
    <row r="11230">
      <c r="C11230" s="1"/>
    </row>
    <row r="11231">
      <c r="C11231" s="1"/>
    </row>
    <row r="11232">
      <c r="C11232" s="1"/>
    </row>
    <row r="11233">
      <c r="C11233" s="1"/>
    </row>
    <row r="11234">
      <c r="C11234" s="1"/>
    </row>
    <row r="11235">
      <c r="C11235" s="1"/>
    </row>
    <row r="11236">
      <c r="C11236" s="1"/>
    </row>
    <row r="11237">
      <c r="C11237" s="1"/>
    </row>
    <row r="11238">
      <c r="C11238" s="1"/>
    </row>
    <row r="11239">
      <c r="C11239" s="1"/>
    </row>
    <row r="11240">
      <c r="C11240" s="1"/>
    </row>
    <row r="11241">
      <c r="C11241" s="1"/>
    </row>
    <row r="11242">
      <c r="C11242" s="1"/>
    </row>
    <row r="11243">
      <c r="C11243" s="1"/>
    </row>
    <row r="11244">
      <c r="C11244" s="1"/>
    </row>
    <row r="11245">
      <c r="C11245" s="1"/>
    </row>
    <row r="11246">
      <c r="C11246" s="1"/>
    </row>
    <row r="11247">
      <c r="C11247" s="1"/>
    </row>
    <row r="11248">
      <c r="C11248" s="1"/>
    </row>
    <row r="11249">
      <c r="C11249" s="1"/>
    </row>
    <row r="11250">
      <c r="C11250" s="1"/>
    </row>
    <row r="11251">
      <c r="C11251" s="1"/>
    </row>
    <row r="11252">
      <c r="C11252" s="1"/>
    </row>
    <row r="11253">
      <c r="C11253" s="1"/>
    </row>
    <row r="11254">
      <c r="C11254" s="1"/>
    </row>
    <row r="11255">
      <c r="C11255" s="1"/>
    </row>
    <row r="11256">
      <c r="C11256" s="1"/>
    </row>
    <row r="11257">
      <c r="C11257" s="1"/>
    </row>
    <row r="11258">
      <c r="C11258" s="1"/>
    </row>
    <row r="11259">
      <c r="C11259" s="1"/>
    </row>
    <row r="11260">
      <c r="C11260" s="1"/>
    </row>
    <row r="11261">
      <c r="C11261" s="1"/>
    </row>
    <row r="11262">
      <c r="C11262" s="1"/>
    </row>
    <row r="11263">
      <c r="C11263" s="1"/>
    </row>
    <row r="11264">
      <c r="C11264" s="1"/>
    </row>
    <row r="11265">
      <c r="C11265" s="1"/>
    </row>
    <row r="11266">
      <c r="C11266" s="1"/>
    </row>
    <row r="11267">
      <c r="C11267" s="1"/>
    </row>
    <row r="11268">
      <c r="C11268" s="1"/>
    </row>
    <row r="11269">
      <c r="C11269" s="1"/>
    </row>
    <row r="11270">
      <c r="C11270" s="1"/>
    </row>
    <row r="11271">
      <c r="C11271" s="1"/>
    </row>
    <row r="11272">
      <c r="C11272" s="1"/>
    </row>
    <row r="11273">
      <c r="C11273" s="1"/>
    </row>
    <row r="11274">
      <c r="C11274" s="1"/>
    </row>
    <row r="11275">
      <c r="C11275" s="1"/>
    </row>
    <row r="11276">
      <c r="C11276" s="1"/>
    </row>
    <row r="11277">
      <c r="C11277" s="1"/>
    </row>
    <row r="11278">
      <c r="C11278" s="1"/>
    </row>
    <row r="11279">
      <c r="C11279" s="1"/>
    </row>
    <row r="11280">
      <c r="C11280" s="1"/>
    </row>
    <row r="11281">
      <c r="C11281" s="1"/>
    </row>
    <row r="11282">
      <c r="C11282" s="1"/>
    </row>
    <row r="11283">
      <c r="C11283" s="1"/>
    </row>
    <row r="11284">
      <c r="C11284" s="1"/>
    </row>
    <row r="11285">
      <c r="C11285" s="1"/>
    </row>
    <row r="11286">
      <c r="C11286" s="1"/>
    </row>
    <row r="11287">
      <c r="C11287" s="1"/>
    </row>
    <row r="11288">
      <c r="C11288" s="1"/>
    </row>
    <row r="11289">
      <c r="C11289" s="1"/>
    </row>
    <row r="11290">
      <c r="C11290" s="1"/>
    </row>
    <row r="11291">
      <c r="C11291" s="1"/>
    </row>
    <row r="11292">
      <c r="C11292" s="1"/>
    </row>
    <row r="11293">
      <c r="C11293" s="1"/>
    </row>
    <row r="11294">
      <c r="C11294" s="1"/>
    </row>
    <row r="11295">
      <c r="C11295" s="1"/>
    </row>
    <row r="11296">
      <c r="C11296" s="1"/>
    </row>
    <row r="11297">
      <c r="C11297" s="1"/>
    </row>
    <row r="11298">
      <c r="C11298" s="1"/>
    </row>
    <row r="11299">
      <c r="C11299" s="1"/>
    </row>
    <row r="11300">
      <c r="C11300" s="1"/>
    </row>
    <row r="11301">
      <c r="C11301" s="1"/>
    </row>
    <row r="11302">
      <c r="C11302" s="1"/>
    </row>
    <row r="11303">
      <c r="C11303" s="1"/>
    </row>
    <row r="11304">
      <c r="C11304" s="1"/>
    </row>
    <row r="11305">
      <c r="C11305" s="1"/>
    </row>
    <row r="11306">
      <c r="C11306" s="1"/>
    </row>
    <row r="11307">
      <c r="C11307" s="1"/>
    </row>
    <row r="11308">
      <c r="C11308" s="1"/>
    </row>
    <row r="11309">
      <c r="C11309" s="1"/>
    </row>
    <row r="11310">
      <c r="C11310" s="1"/>
    </row>
    <row r="11311">
      <c r="C11311" s="1"/>
    </row>
    <row r="11312">
      <c r="C11312" s="1"/>
    </row>
    <row r="11313">
      <c r="C11313" s="1"/>
    </row>
    <row r="11314">
      <c r="C11314" s="1"/>
    </row>
    <row r="11315">
      <c r="C11315" s="1"/>
    </row>
    <row r="11316">
      <c r="C11316" s="1"/>
    </row>
    <row r="11317">
      <c r="C11317" s="1"/>
    </row>
    <row r="11318">
      <c r="C11318" s="1"/>
    </row>
    <row r="11319">
      <c r="C11319" s="1"/>
    </row>
    <row r="11320">
      <c r="C11320" s="1"/>
    </row>
    <row r="11321">
      <c r="C11321" s="1"/>
    </row>
    <row r="11322">
      <c r="C11322" s="1"/>
    </row>
    <row r="11323">
      <c r="C11323" s="1"/>
    </row>
    <row r="11324">
      <c r="C11324" s="1"/>
    </row>
    <row r="11325">
      <c r="C11325" s="1"/>
    </row>
    <row r="11326">
      <c r="C11326" s="1"/>
    </row>
    <row r="11327">
      <c r="C11327" s="1"/>
    </row>
    <row r="11328">
      <c r="C11328" s="1"/>
    </row>
    <row r="11329">
      <c r="C11329" s="1"/>
    </row>
    <row r="11330">
      <c r="C11330" s="1"/>
    </row>
    <row r="11331">
      <c r="C11331" s="1"/>
    </row>
    <row r="11332">
      <c r="C11332" s="1"/>
    </row>
    <row r="11333">
      <c r="C11333" s="1"/>
    </row>
    <row r="11334">
      <c r="C11334" s="1"/>
    </row>
    <row r="11335">
      <c r="C11335" s="1"/>
    </row>
    <row r="11336">
      <c r="C11336" s="1"/>
    </row>
    <row r="11337">
      <c r="C11337" s="1"/>
    </row>
    <row r="11338">
      <c r="C11338" s="1"/>
    </row>
    <row r="11339">
      <c r="C11339" s="1"/>
    </row>
    <row r="11340">
      <c r="C11340" s="1"/>
    </row>
    <row r="11341">
      <c r="C11341" s="1"/>
    </row>
    <row r="11342">
      <c r="C11342" s="1"/>
    </row>
    <row r="11343">
      <c r="C11343" s="1"/>
    </row>
    <row r="11344">
      <c r="C11344" s="1"/>
    </row>
    <row r="11345">
      <c r="C11345" s="1"/>
    </row>
    <row r="11346">
      <c r="C11346" s="1"/>
    </row>
    <row r="11347">
      <c r="C11347" s="1"/>
    </row>
    <row r="11348">
      <c r="C11348" s="1"/>
    </row>
    <row r="11349">
      <c r="C11349" s="1"/>
    </row>
    <row r="11350">
      <c r="C11350" s="1"/>
    </row>
    <row r="11351">
      <c r="C11351" s="1"/>
    </row>
    <row r="11352">
      <c r="C11352" s="1"/>
    </row>
    <row r="11353">
      <c r="C11353" s="1"/>
    </row>
    <row r="11354">
      <c r="C11354" s="1"/>
    </row>
    <row r="11355">
      <c r="C11355" s="1"/>
    </row>
    <row r="11356">
      <c r="C11356" s="1"/>
    </row>
    <row r="11357">
      <c r="C11357" s="1"/>
    </row>
    <row r="11358">
      <c r="C11358" s="1"/>
    </row>
    <row r="11359">
      <c r="C11359" s="1"/>
    </row>
    <row r="11360">
      <c r="C11360" s="1"/>
    </row>
    <row r="11361">
      <c r="C11361" s="1"/>
    </row>
    <row r="11362">
      <c r="C11362" s="1"/>
    </row>
    <row r="11363">
      <c r="C11363" s="1"/>
    </row>
    <row r="11364">
      <c r="C11364" s="1"/>
    </row>
    <row r="11365">
      <c r="C11365" s="1"/>
    </row>
    <row r="11366">
      <c r="C11366" s="1"/>
    </row>
    <row r="11367">
      <c r="C11367" s="1"/>
    </row>
    <row r="11368">
      <c r="C11368" s="1"/>
    </row>
    <row r="11369">
      <c r="C11369" s="1"/>
    </row>
    <row r="11370">
      <c r="C11370" s="1"/>
    </row>
    <row r="11371">
      <c r="C11371" s="1"/>
    </row>
    <row r="11372">
      <c r="C11372" s="1"/>
    </row>
    <row r="11373">
      <c r="C11373" s="1"/>
    </row>
    <row r="11374">
      <c r="C11374" s="1"/>
    </row>
    <row r="11375">
      <c r="C11375" s="1"/>
    </row>
    <row r="11376">
      <c r="C11376" s="1"/>
    </row>
    <row r="11377">
      <c r="C11377" s="1"/>
    </row>
    <row r="11378">
      <c r="C11378" s="1"/>
    </row>
    <row r="11379">
      <c r="C11379" s="1"/>
    </row>
    <row r="11380">
      <c r="C11380" s="1"/>
    </row>
    <row r="11381">
      <c r="C11381" s="1"/>
    </row>
    <row r="11382">
      <c r="C11382" s="1"/>
    </row>
    <row r="11383">
      <c r="C11383" s="1"/>
    </row>
    <row r="11384">
      <c r="C11384" s="1"/>
    </row>
    <row r="11385">
      <c r="C11385" s="1"/>
    </row>
    <row r="11386">
      <c r="C11386" s="1"/>
    </row>
    <row r="11387">
      <c r="C11387" s="1"/>
    </row>
    <row r="11388">
      <c r="C11388" s="1"/>
    </row>
    <row r="11389">
      <c r="C11389" s="1"/>
    </row>
    <row r="11390">
      <c r="C11390" s="1"/>
    </row>
    <row r="11391">
      <c r="C11391" s="1"/>
    </row>
    <row r="11392">
      <c r="C11392" s="1"/>
    </row>
    <row r="11393">
      <c r="C11393" s="1"/>
    </row>
    <row r="11394">
      <c r="C11394" s="1"/>
    </row>
    <row r="11395">
      <c r="C11395" s="1"/>
    </row>
    <row r="11396">
      <c r="C11396" s="1"/>
    </row>
    <row r="11397">
      <c r="C11397" s="1"/>
    </row>
    <row r="11398">
      <c r="C11398" s="1"/>
    </row>
    <row r="11399">
      <c r="C11399" s="1"/>
    </row>
    <row r="11400">
      <c r="C11400" s="1"/>
    </row>
    <row r="11401">
      <c r="C11401" s="1"/>
    </row>
    <row r="11402">
      <c r="C11402" s="1"/>
    </row>
    <row r="11403">
      <c r="C11403" s="1"/>
    </row>
    <row r="11404">
      <c r="C11404" s="1"/>
    </row>
    <row r="11405">
      <c r="C11405" s="1"/>
    </row>
    <row r="11406">
      <c r="C11406" s="1"/>
    </row>
    <row r="11407">
      <c r="C11407" s="1"/>
    </row>
    <row r="11408">
      <c r="C11408" s="1"/>
    </row>
    <row r="11409">
      <c r="C11409" s="1"/>
    </row>
    <row r="11410">
      <c r="C11410" s="1"/>
    </row>
    <row r="11411">
      <c r="C11411" s="1"/>
    </row>
    <row r="11412">
      <c r="C11412" s="1"/>
    </row>
    <row r="11413">
      <c r="C11413" s="1"/>
    </row>
    <row r="11414">
      <c r="C11414" s="1"/>
    </row>
    <row r="11415">
      <c r="C11415" s="1"/>
    </row>
    <row r="11416">
      <c r="C11416" s="1"/>
    </row>
    <row r="11417">
      <c r="C11417" s="1"/>
    </row>
    <row r="11418">
      <c r="C11418" s="1"/>
    </row>
    <row r="11419">
      <c r="C11419" s="1"/>
    </row>
    <row r="11420">
      <c r="C11420" s="1"/>
    </row>
    <row r="11421">
      <c r="C11421" s="1"/>
    </row>
    <row r="11422">
      <c r="C11422" s="1"/>
    </row>
    <row r="11423">
      <c r="C11423" s="1"/>
    </row>
    <row r="11424">
      <c r="C11424" s="1"/>
    </row>
    <row r="11425">
      <c r="C11425" s="1"/>
    </row>
    <row r="11426">
      <c r="C11426" s="1"/>
    </row>
    <row r="11427">
      <c r="C11427" s="1"/>
    </row>
    <row r="11428">
      <c r="C11428" s="1"/>
    </row>
    <row r="11429">
      <c r="C11429" s="1"/>
    </row>
    <row r="11430">
      <c r="C11430" s="1"/>
    </row>
    <row r="11431">
      <c r="C11431" s="1"/>
    </row>
    <row r="11432">
      <c r="C11432" s="1"/>
    </row>
    <row r="11433">
      <c r="C11433" s="1"/>
    </row>
    <row r="11434">
      <c r="C11434" s="1"/>
    </row>
    <row r="11435">
      <c r="C11435" s="1"/>
    </row>
    <row r="11436">
      <c r="C11436" s="1"/>
    </row>
    <row r="11437">
      <c r="C11437" s="1"/>
    </row>
    <row r="11438">
      <c r="C11438" s="1"/>
    </row>
    <row r="11439">
      <c r="C11439" s="1"/>
    </row>
    <row r="11440">
      <c r="C11440" s="1"/>
    </row>
    <row r="11441">
      <c r="C11441" s="1"/>
    </row>
    <row r="11442">
      <c r="C11442" s="1"/>
    </row>
    <row r="11443">
      <c r="C11443" s="1"/>
    </row>
    <row r="11444">
      <c r="C11444" s="1"/>
    </row>
    <row r="11445">
      <c r="C11445" s="1"/>
    </row>
    <row r="11446">
      <c r="C11446" s="1"/>
    </row>
    <row r="11447">
      <c r="C11447" s="1"/>
    </row>
    <row r="11448">
      <c r="C11448" s="1"/>
    </row>
    <row r="11449">
      <c r="C11449" s="1"/>
    </row>
    <row r="11450">
      <c r="C11450" s="1"/>
    </row>
    <row r="11451">
      <c r="C11451" s="1"/>
    </row>
    <row r="11452">
      <c r="C11452" s="1"/>
    </row>
    <row r="11453">
      <c r="C11453" s="1"/>
    </row>
    <row r="11454">
      <c r="C11454" s="1"/>
    </row>
    <row r="11455">
      <c r="C11455" s="1"/>
    </row>
    <row r="11456">
      <c r="C11456" s="1"/>
    </row>
    <row r="11457">
      <c r="C11457" s="1"/>
    </row>
    <row r="11458">
      <c r="C11458" s="1"/>
    </row>
    <row r="11459">
      <c r="C11459" s="1"/>
    </row>
    <row r="11460">
      <c r="C11460" s="1"/>
    </row>
    <row r="11461">
      <c r="C11461" s="1"/>
    </row>
    <row r="11462">
      <c r="C11462" s="1"/>
    </row>
    <row r="11463">
      <c r="C11463" s="1"/>
    </row>
    <row r="11464">
      <c r="C11464" s="1"/>
    </row>
    <row r="11465">
      <c r="C11465" s="1"/>
    </row>
    <row r="11466">
      <c r="C11466" s="1"/>
    </row>
    <row r="11467">
      <c r="C11467" s="1"/>
    </row>
    <row r="11468">
      <c r="C11468" s="1"/>
    </row>
    <row r="11469">
      <c r="C11469" s="1"/>
    </row>
    <row r="11470">
      <c r="C11470" s="1"/>
    </row>
    <row r="11471">
      <c r="C11471" s="1"/>
    </row>
    <row r="11472">
      <c r="C11472" s="1"/>
    </row>
    <row r="11473">
      <c r="C11473" s="1"/>
    </row>
    <row r="11474">
      <c r="C11474" s="1"/>
    </row>
    <row r="11475">
      <c r="C11475" s="1"/>
    </row>
    <row r="11476">
      <c r="C11476" s="1"/>
    </row>
    <row r="11477">
      <c r="C11477" s="1"/>
    </row>
    <row r="11478">
      <c r="C11478" s="1"/>
    </row>
    <row r="11479">
      <c r="C11479" s="1"/>
    </row>
    <row r="11480">
      <c r="C11480" s="1"/>
    </row>
    <row r="11481">
      <c r="C11481" s="1"/>
    </row>
    <row r="11482">
      <c r="C11482" s="1"/>
    </row>
    <row r="11483">
      <c r="C11483" s="1"/>
    </row>
    <row r="11484">
      <c r="C11484" s="1"/>
    </row>
    <row r="11485">
      <c r="C11485" s="1"/>
    </row>
    <row r="11486">
      <c r="C11486" s="1"/>
    </row>
    <row r="11487">
      <c r="C11487" s="1"/>
    </row>
    <row r="11488">
      <c r="C11488" s="1"/>
    </row>
    <row r="11489">
      <c r="C11489" s="1"/>
    </row>
    <row r="11490">
      <c r="C11490" s="1"/>
    </row>
    <row r="11491">
      <c r="C11491" s="1"/>
    </row>
    <row r="11492">
      <c r="C11492" s="1"/>
    </row>
    <row r="11493">
      <c r="C11493" s="1"/>
    </row>
    <row r="11494">
      <c r="C11494" s="1"/>
    </row>
    <row r="11495">
      <c r="C11495" s="1"/>
    </row>
    <row r="11496">
      <c r="C11496" s="1"/>
    </row>
    <row r="11497">
      <c r="C11497" s="1"/>
    </row>
    <row r="11498">
      <c r="C11498" s="1"/>
    </row>
    <row r="11499">
      <c r="C11499" s="1"/>
    </row>
    <row r="11500">
      <c r="C11500" s="1"/>
    </row>
    <row r="11501">
      <c r="C11501" s="1"/>
    </row>
    <row r="11502">
      <c r="C11502" s="1"/>
    </row>
    <row r="11503">
      <c r="C11503" s="1"/>
    </row>
    <row r="11504">
      <c r="C11504" s="1"/>
    </row>
    <row r="11505">
      <c r="C11505" s="1"/>
    </row>
    <row r="11506">
      <c r="C11506" s="1"/>
    </row>
    <row r="11507">
      <c r="C11507" s="1"/>
    </row>
    <row r="11508">
      <c r="C11508" s="1"/>
    </row>
    <row r="11509">
      <c r="C11509" s="1"/>
    </row>
    <row r="11510">
      <c r="C11510" s="1"/>
    </row>
    <row r="11511">
      <c r="C11511" s="1"/>
    </row>
    <row r="11512">
      <c r="C11512" s="1"/>
    </row>
    <row r="11513">
      <c r="C11513" s="1"/>
    </row>
    <row r="11514">
      <c r="C11514" s="1"/>
    </row>
    <row r="11515">
      <c r="C11515" s="1"/>
    </row>
    <row r="11516">
      <c r="C11516" s="1"/>
    </row>
    <row r="11517">
      <c r="C11517" s="1"/>
    </row>
    <row r="11518">
      <c r="C11518" s="1"/>
    </row>
    <row r="11519">
      <c r="C11519" s="1"/>
    </row>
    <row r="11520">
      <c r="C11520" s="1"/>
    </row>
    <row r="11521">
      <c r="C11521" s="1"/>
    </row>
    <row r="11522">
      <c r="C11522" s="1"/>
    </row>
    <row r="11523">
      <c r="C11523" s="1"/>
    </row>
    <row r="11524">
      <c r="C11524" s="1"/>
    </row>
    <row r="11525">
      <c r="C11525" s="1"/>
    </row>
    <row r="11526">
      <c r="C11526" s="1"/>
    </row>
    <row r="11527">
      <c r="C11527" s="1"/>
    </row>
    <row r="11528">
      <c r="C11528" s="1"/>
    </row>
    <row r="11529">
      <c r="C11529" s="1"/>
    </row>
    <row r="11530">
      <c r="C11530" s="1"/>
    </row>
    <row r="11531">
      <c r="C11531" s="1"/>
    </row>
    <row r="11532">
      <c r="C11532" s="1"/>
    </row>
    <row r="11533">
      <c r="C11533" s="1"/>
    </row>
    <row r="11534">
      <c r="C11534" s="1"/>
    </row>
    <row r="11535">
      <c r="C11535" s="1"/>
    </row>
    <row r="11536">
      <c r="C11536" s="1"/>
    </row>
    <row r="11537">
      <c r="C11537" s="1"/>
    </row>
    <row r="11538">
      <c r="C11538" s="1"/>
    </row>
    <row r="11539">
      <c r="C11539" s="1"/>
    </row>
    <row r="11540">
      <c r="C11540" s="1"/>
    </row>
    <row r="11541">
      <c r="C11541" s="1"/>
    </row>
    <row r="11542">
      <c r="C11542" s="1"/>
    </row>
    <row r="11543">
      <c r="C11543" s="1"/>
    </row>
    <row r="11544">
      <c r="C11544" s="1"/>
    </row>
    <row r="11545">
      <c r="C11545" s="1"/>
    </row>
    <row r="11546">
      <c r="C11546" s="1"/>
    </row>
    <row r="11547">
      <c r="C11547" s="1"/>
    </row>
    <row r="11548">
      <c r="C11548" s="1"/>
    </row>
    <row r="11549">
      <c r="C11549" s="1"/>
    </row>
    <row r="11550">
      <c r="C11550" s="1"/>
    </row>
    <row r="11551">
      <c r="C11551" s="1"/>
    </row>
    <row r="11552">
      <c r="C11552" s="1"/>
    </row>
    <row r="11553">
      <c r="C11553" s="1"/>
    </row>
    <row r="11554">
      <c r="C11554" s="1"/>
    </row>
    <row r="11555">
      <c r="C11555" s="1"/>
    </row>
    <row r="11556">
      <c r="C11556" s="1"/>
    </row>
    <row r="11557">
      <c r="C11557" s="1"/>
    </row>
    <row r="11558">
      <c r="C11558" s="1"/>
    </row>
    <row r="11559">
      <c r="C11559" s="1"/>
    </row>
    <row r="11560">
      <c r="C11560" s="1"/>
    </row>
    <row r="11561">
      <c r="C11561" s="1"/>
    </row>
    <row r="11562">
      <c r="C11562" s="1"/>
    </row>
    <row r="11563">
      <c r="C11563" s="1"/>
    </row>
    <row r="11564">
      <c r="C11564" s="1"/>
    </row>
    <row r="11565">
      <c r="C11565" s="1"/>
    </row>
    <row r="11566">
      <c r="C11566" s="1"/>
    </row>
    <row r="11567">
      <c r="C11567" s="1"/>
    </row>
    <row r="11568">
      <c r="C11568" s="1"/>
    </row>
    <row r="11569">
      <c r="C11569" s="1"/>
    </row>
    <row r="11570">
      <c r="C11570" s="1"/>
    </row>
    <row r="11571">
      <c r="C11571" s="1"/>
    </row>
    <row r="11572">
      <c r="C11572" s="1"/>
    </row>
    <row r="11573">
      <c r="C11573" s="1"/>
    </row>
    <row r="11574">
      <c r="C11574" s="1"/>
    </row>
    <row r="11575">
      <c r="C11575" s="1"/>
    </row>
    <row r="11576">
      <c r="C11576" s="1"/>
    </row>
    <row r="11577">
      <c r="C11577" s="1"/>
    </row>
    <row r="11578">
      <c r="C11578" s="1"/>
    </row>
    <row r="11579">
      <c r="C11579" s="1"/>
    </row>
    <row r="11580">
      <c r="C11580" s="1"/>
    </row>
    <row r="11581">
      <c r="C11581" s="1"/>
    </row>
    <row r="11582">
      <c r="C11582" s="1"/>
    </row>
    <row r="11583">
      <c r="C11583" s="1"/>
    </row>
    <row r="11584">
      <c r="C11584" s="1"/>
    </row>
    <row r="11585">
      <c r="C11585" s="1"/>
    </row>
    <row r="11586">
      <c r="C11586" s="1"/>
    </row>
    <row r="11587">
      <c r="C11587" s="1"/>
    </row>
    <row r="11588">
      <c r="C11588" s="1"/>
    </row>
    <row r="11589">
      <c r="C11589" s="1"/>
    </row>
    <row r="11590">
      <c r="C11590" s="1"/>
    </row>
    <row r="11591">
      <c r="C11591" s="1"/>
    </row>
    <row r="11592">
      <c r="C11592" s="1"/>
    </row>
    <row r="11593">
      <c r="C11593" s="1"/>
    </row>
    <row r="11594">
      <c r="C11594" s="1"/>
    </row>
    <row r="11595">
      <c r="C11595" s="1"/>
    </row>
    <row r="11596">
      <c r="C11596" s="1"/>
    </row>
    <row r="11597">
      <c r="C11597" s="1"/>
    </row>
    <row r="11598">
      <c r="C11598" s="1"/>
    </row>
    <row r="11599">
      <c r="C11599" s="1"/>
    </row>
    <row r="11600">
      <c r="C11600" s="1"/>
    </row>
    <row r="11601">
      <c r="C11601" s="1"/>
    </row>
    <row r="11602">
      <c r="C11602" s="1"/>
    </row>
    <row r="11603">
      <c r="C11603" s="1"/>
    </row>
    <row r="11604">
      <c r="C11604" s="1"/>
    </row>
    <row r="11605">
      <c r="C11605" s="1"/>
    </row>
    <row r="11606">
      <c r="C11606" s="1"/>
    </row>
    <row r="11607">
      <c r="C11607" s="1"/>
    </row>
    <row r="11608">
      <c r="C11608" s="1"/>
    </row>
    <row r="11609">
      <c r="C11609" s="1"/>
    </row>
    <row r="11610">
      <c r="C11610" s="1"/>
    </row>
    <row r="11611">
      <c r="C11611" s="1"/>
    </row>
    <row r="11612">
      <c r="C11612" s="1"/>
    </row>
    <row r="11613">
      <c r="C11613" s="1"/>
    </row>
    <row r="11614">
      <c r="C11614" s="1"/>
    </row>
    <row r="11615">
      <c r="C11615" s="1"/>
    </row>
    <row r="11616">
      <c r="C11616" s="1"/>
    </row>
    <row r="11617">
      <c r="C11617" s="1"/>
    </row>
    <row r="11618">
      <c r="C11618" s="1"/>
    </row>
    <row r="11619">
      <c r="C11619" s="1"/>
    </row>
    <row r="11620">
      <c r="C11620" s="1"/>
    </row>
    <row r="11621">
      <c r="C11621" s="1"/>
    </row>
    <row r="11622">
      <c r="C11622" s="1"/>
    </row>
    <row r="11623">
      <c r="C11623" s="1"/>
    </row>
    <row r="11624">
      <c r="C11624" s="1"/>
    </row>
    <row r="11625">
      <c r="C11625" s="1"/>
    </row>
    <row r="11626">
      <c r="C11626" s="1"/>
    </row>
    <row r="11627">
      <c r="C11627" s="1"/>
    </row>
    <row r="11628">
      <c r="C11628" s="1"/>
    </row>
    <row r="11629">
      <c r="C11629" s="1"/>
    </row>
    <row r="11630">
      <c r="C11630" s="1"/>
    </row>
    <row r="11631">
      <c r="C11631" s="1"/>
    </row>
    <row r="11632">
      <c r="C11632" s="1"/>
    </row>
    <row r="11633">
      <c r="C11633" s="1"/>
    </row>
    <row r="11634">
      <c r="C11634" s="1"/>
    </row>
    <row r="11635">
      <c r="C11635" s="1"/>
    </row>
    <row r="11636">
      <c r="C11636" s="1"/>
    </row>
    <row r="11637">
      <c r="C11637" s="1"/>
    </row>
    <row r="11638">
      <c r="C11638" s="1"/>
    </row>
    <row r="11639">
      <c r="C11639" s="1"/>
    </row>
    <row r="11640">
      <c r="C11640" s="1"/>
    </row>
    <row r="11641">
      <c r="C11641" s="1"/>
    </row>
    <row r="11642">
      <c r="C11642" s="1"/>
    </row>
    <row r="11643">
      <c r="C11643" s="1"/>
    </row>
    <row r="11644">
      <c r="C11644" s="1"/>
    </row>
    <row r="11645">
      <c r="C11645" s="1"/>
    </row>
    <row r="11646">
      <c r="C11646" s="1"/>
    </row>
    <row r="11647">
      <c r="C11647" s="1"/>
    </row>
    <row r="11648">
      <c r="C11648" s="1"/>
    </row>
    <row r="11649">
      <c r="C11649" s="1"/>
    </row>
    <row r="11650">
      <c r="C11650" s="1"/>
    </row>
    <row r="11651">
      <c r="C11651" s="1"/>
    </row>
    <row r="11652">
      <c r="C11652" s="1"/>
    </row>
    <row r="11653">
      <c r="C11653" s="1"/>
    </row>
    <row r="11654">
      <c r="C11654" s="1"/>
    </row>
    <row r="11655">
      <c r="C11655" s="1"/>
    </row>
    <row r="11656">
      <c r="C11656" s="1"/>
    </row>
    <row r="11657">
      <c r="C11657" s="1"/>
    </row>
    <row r="11658">
      <c r="C11658" s="1"/>
    </row>
    <row r="11659">
      <c r="C11659" s="1"/>
    </row>
    <row r="11660">
      <c r="C11660" s="1"/>
    </row>
    <row r="11661">
      <c r="C11661" s="1"/>
    </row>
    <row r="11662">
      <c r="C11662" s="1"/>
    </row>
    <row r="11663">
      <c r="C11663" s="1"/>
    </row>
    <row r="11664">
      <c r="C11664" s="1"/>
    </row>
    <row r="11665">
      <c r="C11665" s="1"/>
    </row>
    <row r="11666">
      <c r="C11666" s="1"/>
    </row>
    <row r="11667">
      <c r="C11667" s="1"/>
    </row>
    <row r="11668">
      <c r="C11668" s="1"/>
    </row>
    <row r="11669">
      <c r="C11669" s="1"/>
    </row>
    <row r="11670">
      <c r="C11670" s="1"/>
    </row>
    <row r="11671">
      <c r="C11671" s="1"/>
    </row>
    <row r="11672">
      <c r="C11672" s="1"/>
    </row>
    <row r="11673">
      <c r="C11673" s="1"/>
    </row>
    <row r="11674">
      <c r="C11674" s="1"/>
    </row>
    <row r="11675">
      <c r="C11675" s="1"/>
    </row>
    <row r="11676">
      <c r="C11676" s="1"/>
    </row>
    <row r="11677">
      <c r="C11677" s="1"/>
    </row>
    <row r="11678">
      <c r="C11678" s="1"/>
    </row>
    <row r="11679">
      <c r="C11679" s="1"/>
    </row>
    <row r="11680">
      <c r="C11680" s="1"/>
    </row>
    <row r="11681">
      <c r="C11681" s="1"/>
    </row>
    <row r="11682">
      <c r="C11682" s="1"/>
    </row>
    <row r="11683">
      <c r="C11683" s="1"/>
    </row>
    <row r="11684">
      <c r="C11684" s="1"/>
    </row>
    <row r="11685">
      <c r="C11685" s="1"/>
    </row>
    <row r="11686">
      <c r="C11686" s="1"/>
    </row>
    <row r="11687">
      <c r="C11687" s="1"/>
    </row>
    <row r="11688">
      <c r="C11688" s="1"/>
    </row>
    <row r="11689">
      <c r="C11689" s="1"/>
    </row>
    <row r="11690">
      <c r="C11690" s="1"/>
    </row>
    <row r="11691">
      <c r="C11691" s="1"/>
    </row>
    <row r="11692">
      <c r="C11692" s="1"/>
    </row>
    <row r="11693">
      <c r="C11693" s="1"/>
    </row>
    <row r="11694">
      <c r="C11694" s="1"/>
    </row>
    <row r="11695">
      <c r="C11695" s="1"/>
    </row>
    <row r="11696">
      <c r="C11696" s="1"/>
    </row>
    <row r="11697">
      <c r="C11697" s="1"/>
    </row>
    <row r="11698">
      <c r="C11698" s="1"/>
    </row>
    <row r="11699">
      <c r="C11699" s="1"/>
    </row>
    <row r="11700">
      <c r="C11700" s="1"/>
    </row>
    <row r="11701">
      <c r="C11701" s="1"/>
    </row>
    <row r="11702">
      <c r="C11702" s="1"/>
    </row>
    <row r="11703">
      <c r="C11703" s="1"/>
    </row>
    <row r="11704">
      <c r="C11704" s="1"/>
    </row>
    <row r="11705">
      <c r="C11705" s="1"/>
    </row>
    <row r="11706">
      <c r="C11706" s="1"/>
    </row>
    <row r="11707">
      <c r="C11707" s="1"/>
    </row>
    <row r="11708">
      <c r="C11708" s="1"/>
    </row>
    <row r="11709">
      <c r="C11709" s="1"/>
    </row>
    <row r="11710">
      <c r="C11710" s="1"/>
    </row>
    <row r="11711">
      <c r="C11711" s="1"/>
    </row>
    <row r="11712">
      <c r="C11712" s="1"/>
    </row>
    <row r="11713">
      <c r="C11713" s="1"/>
    </row>
    <row r="11714">
      <c r="C11714" s="1"/>
    </row>
    <row r="11715">
      <c r="C11715" s="1"/>
    </row>
    <row r="11716">
      <c r="C11716" s="1"/>
    </row>
    <row r="11717">
      <c r="C11717" s="1"/>
    </row>
    <row r="11718">
      <c r="C11718" s="1"/>
    </row>
    <row r="11719">
      <c r="C11719" s="1"/>
    </row>
    <row r="11720">
      <c r="C11720" s="1"/>
    </row>
    <row r="11721">
      <c r="C11721" s="1"/>
    </row>
    <row r="11722">
      <c r="C11722" s="1"/>
    </row>
    <row r="11723">
      <c r="C11723" s="1"/>
    </row>
    <row r="11724">
      <c r="C11724" s="1"/>
    </row>
    <row r="11725">
      <c r="C11725" s="1"/>
    </row>
    <row r="11726">
      <c r="C11726" s="1"/>
    </row>
    <row r="11727">
      <c r="C11727" s="1"/>
    </row>
    <row r="11728">
      <c r="C11728" s="1"/>
    </row>
    <row r="11729">
      <c r="C11729" s="1"/>
    </row>
    <row r="11730">
      <c r="C11730" s="1"/>
    </row>
    <row r="11731">
      <c r="C11731" s="1"/>
    </row>
    <row r="11732">
      <c r="C11732" s="1"/>
    </row>
    <row r="11733">
      <c r="C11733" s="1"/>
    </row>
    <row r="11734">
      <c r="C11734" s="1"/>
    </row>
    <row r="11735">
      <c r="C11735" s="1"/>
    </row>
    <row r="11736">
      <c r="C11736" s="1"/>
    </row>
    <row r="11737">
      <c r="C11737" s="1"/>
    </row>
    <row r="11738">
      <c r="C11738" s="1"/>
    </row>
    <row r="11739">
      <c r="C11739" s="1"/>
    </row>
    <row r="11740">
      <c r="C11740" s="1"/>
    </row>
    <row r="11741">
      <c r="C11741" s="1"/>
    </row>
    <row r="11742">
      <c r="C11742" s="1"/>
    </row>
    <row r="11743">
      <c r="C11743" s="1"/>
    </row>
    <row r="11744">
      <c r="C11744" s="1"/>
    </row>
    <row r="11745">
      <c r="C11745" s="1"/>
    </row>
    <row r="11746">
      <c r="C11746" s="1"/>
    </row>
    <row r="11747">
      <c r="C11747" s="1"/>
    </row>
    <row r="11748">
      <c r="C11748" s="1"/>
    </row>
    <row r="11749">
      <c r="C11749" s="1"/>
    </row>
    <row r="11750">
      <c r="C11750" s="1"/>
    </row>
    <row r="11751">
      <c r="C11751" s="1"/>
    </row>
    <row r="11752">
      <c r="C11752" s="1"/>
    </row>
    <row r="11753">
      <c r="C11753" s="1"/>
    </row>
    <row r="11754">
      <c r="C11754" s="1"/>
    </row>
    <row r="11755">
      <c r="C11755" s="1"/>
    </row>
    <row r="11756">
      <c r="C11756" s="1"/>
    </row>
    <row r="11757">
      <c r="C11757" s="1"/>
    </row>
    <row r="11758">
      <c r="C11758" s="1"/>
    </row>
    <row r="11759">
      <c r="C11759" s="1"/>
    </row>
    <row r="11760">
      <c r="C11760" s="1"/>
    </row>
    <row r="11761">
      <c r="C11761" s="1"/>
    </row>
    <row r="11762">
      <c r="C11762" s="1"/>
    </row>
    <row r="11763">
      <c r="C11763" s="1"/>
    </row>
    <row r="11764">
      <c r="C11764" s="1"/>
    </row>
    <row r="11765">
      <c r="C11765" s="1"/>
    </row>
    <row r="11766">
      <c r="C11766" s="1"/>
    </row>
    <row r="11767">
      <c r="C11767" s="1"/>
    </row>
    <row r="11768">
      <c r="C11768" s="1"/>
    </row>
    <row r="11769">
      <c r="C11769" s="1"/>
    </row>
    <row r="11770">
      <c r="C11770" s="1"/>
    </row>
    <row r="11771">
      <c r="C11771" s="1"/>
    </row>
    <row r="11772">
      <c r="C11772" s="1"/>
    </row>
    <row r="11773">
      <c r="C11773" s="1"/>
    </row>
    <row r="11774">
      <c r="C11774" s="1"/>
    </row>
    <row r="11775">
      <c r="C11775" s="1"/>
    </row>
    <row r="11776">
      <c r="C11776" s="1"/>
    </row>
    <row r="11777">
      <c r="C11777" s="1"/>
    </row>
    <row r="11778">
      <c r="C11778" s="1"/>
    </row>
    <row r="11779">
      <c r="C11779" s="1"/>
    </row>
    <row r="11780">
      <c r="C11780" s="1"/>
    </row>
    <row r="11781">
      <c r="C11781" s="1"/>
    </row>
    <row r="11782">
      <c r="C11782" s="1"/>
    </row>
    <row r="11783">
      <c r="C11783" s="1"/>
    </row>
    <row r="11784">
      <c r="C11784" s="1"/>
    </row>
    <row r="11785">
      <c r="C11785" s="1"/>
    </row>
    <row r="11786">
      <c r="C11786" s="1"/>
    </row>
    <row r="11787">
      <c r="C11787" s="1"/>
    </row>
    <row r="11788">
      <c r="C11788" s="1"/>
    </row>
    <row r="11789">
      <c r="C11789" s="1"/>
    </row>
    <row r="11790">
      <c r="C11790" s="1"/>
    </row>
    <row r="11791">
      <c r="C11791" s="1"/>
    </row>
    <row r="11792">
      <c r="C11792" s="1"/>
    </row>
    <row r="11793">
      <c r="C11793" s="1"/>
    </row>
    <row r="11794">
      <c r="C11794" s="1"/>
    </row>
    <row r="11795">
      <c r="C11795" s="1"/>
    </row>
    <row r="11796">
      <c r="C11796" s="1"/>
    </row>
    <row r="11797">
      <c r="C11797" s="1"/>
    </row>
    <row r="11798">
      <c r="C11798" s="1"/>
    </row>
    <row r="11799">
      <c r="C11799" s="1"/>
    </row>
    <row r="11800">
      <c r="C11800" s="1"/>
    </row>
    <row r="11801">
      <c r="C11801" s="1"/>
    </row>
    <row r="11802">
      <c r="C11802" s="1"/>
    </row>
    <row r="11803">
      <c r="C11803" s="1"/>
    </row>
    <row r="11804">
      <c r="C11804" s="1"/>
    </row>
    <row r="11805">
      <c r="C11805" s="1"/>
    </row>
    <row r="11806">
      <c r="C11806" s="1"/>
    </row>
    <row r="11807">
      <c r="C11807" s="1"/>
    </row>
    <row r="11808">
      <c r="C11808" s="1"/>
    </row>
    <row r="11809">
      <c r="C11809" s="1"/>
    </row>
    <row r="11810">
      <c r="C11810" s="1"/>
    </row>
    <row r="11811">
      <c r="C11811" s="1"/>
    </row>
    <row r="11812">
      <c r="C11812" s="1"/>
    </row>
    <row r="11813">
      <c r="C11813" s="1"/>
    </row>
    <row r="11814">
      <c r="C11814" s="1"/>
    </row>
    <row r="11815">
      <c r="C11815" s="1"/>
    </row>
    <row r="11816">
      <c r="C11816" s="1"/>
    </row>
    <row r="11817">
      <c r="C11817" s="1"/>
    </row>
    <row r="11818">
      <c r="C11818" s="1"/>
    </row>
    <row r="11819">
      <c r="C11819" s="1"/>
    </row>
    <row r="11820">
      <c r="C11820" s="1"/>
    </row>
    <row r="11821">
      <c r="C11821" s="1"/>
    </row>
    <row r="11822">
      <c r="C11822" s="1"/>
    </row>
    <row r="11823">
      <c r="C11823" s="1"/>
    </row>
    <row r="11824">
      <c r="C11824" s="1"/>
    </row>
    <row r="11825">
      <c r="C11825" s="1"/>
    </row>
    <row r="11826">
      <c r="C11826" s="1"/>
    </row>
    <row r="11827">
      <c r="C11827" s="1"/>
    </row>
    <row r="11828">
      <c r="C11828" s="1"/>
    </row>
    <row r="11829">
      <c r="C11829" s="1"/>
    </row>
    <row r="11830">
      <c r="C11830" s="1"/>
    </row>
    <row r="11831">
      <c r="C11831" s="1"/>
    </row>
    <row r="11832">
      <c r="C11832" s="1"/>
    </row>
    <row r="11833">
      <c r="C11833" s="1"/>
    </row>
    <row r="11834">
      <c r="C11834" s="1"/>
    </row>
    <row r="11835">
      <c r="C11835" s="1"/>
    </row>
    <row r="11836">
      <c r="C11836" s="1"/>
    </row>
    <row r="11837">
      <c r="C11837" s="1"/>
    </row>
    <row r="11838">
      <c r="C11838" s="1"/>
    </row>
    <row r="11839">
      <c r="C11839" s="1"/>
    </row>
    <row r="11840">
      <c r="C11840" s="1"/>
    </row>
    <row r="11841">
      <c r="C11841" s="1"/>
    </row>
    <row r="11842">
      <c r="C11842" s="1"/>
    </row>
    <row r="11843">
      <c r="C11843" s="1"/>
    </row>
    <row r="11844">
      <c r="C11844" s="1"/>
    </row>
    <row r="11845">
      <c r="C11845" s="1"/>
    </row>
    <row r="11846">
      <c r="C11846" s="1"/>
    </row>
    <row r="11847">
      <c r="C11847" s="1"/>
    </row>
    <row r="11848">
      <c r="C11848" s="1"/>
    </row>
    <row r="11849">
      <c r="C11849" s="1"/>
    </row>
    <row r="11850">
      <c r="C11850" s="1"/>
    </row>
    <row r="11851">
      <c r="C11851" s="1"/>
    </row>
    <row r="11852">
      <c r="C11852" s="1"/>
    </row>
    <row r="11853">
      <c r="C11853" s="1"/>
    </row>
    <row r="11854">
      <c r="C11854" s="1"/>
    </row>
    <row r="11855">
      <c r="C11855" s="1"/>
    </row>
    <row r="11856">
      <c r="C11856" s="1"/>
    </row>
    <row r="11857">
      <c r="C11857" s="1"/>
    </row>
    <row r="11858">
      <c r="C11858" s="1"/>
    </row>
    <row r="11859">
      <c r="C11859" s="1"/>
    </row>
    <row r="11860">
      <c r="C11860" s="1"/>
    </row>
    <row r="11861">
      <c r="C11861" s="1"/>
    </row>
    <row r="11862">
      <c r="C11862" s="1"/>
    </row>
    <row r="11863">
      <c r="C11863" s="1"/>
    </row>
    <row r="11864">
      <c r="C11864" s="1"/>
    </row>
    <row r="11865">
      <c r="C11865" s="1"/>
    </row>
    <row r="11866">
      <c r="C11866" s="1"/>
    </row>
    <row r="11867">
      <c r="C11867" s="1"/>
    </row>
    <row r="11868">
      <c r="C11868" s="1"/>
    </row>
    <row r="11869">
      <c r="C11869" s="1"/>
    </row>
    <row r="11870">
      <c r="C11870" s="1"/>
    </row>
    <row r="11871">
      <c r="C11871" s="1"/>
    </row>
    <row r="11872">
      <c r="C11872" s="1"/>
    </row>
    <row r="11873">
      <c r="C11873" s="1"/>
    </row>
    <row r="11874">
      <c r="C11874" s="1"/>
    </row>
    <row r="11875">
      <c r="C11875" s="1"/>
    </row>
    <row r="11876">
      <c r="C11876" s="1"/>
    </row>
    <row r="11877">
      <c r="C11877" s="1"/>
    </row>
    <row r="11878">
      <c r="C11878" s="1"/>
    </row>
    <row r="11879">
      <c r="C11879" s="1"/>
    </row>
    <row r="11880">
      <c r="C11880" s="1"/>
    </row>
    <row r="11881">
      <c r="C11881" s="1"/>
    </row>
    <row r="11882">
      <c r="C11882" s="1"/>
    </row>
    <row r="11883">
      <c r="C11883" s="1"/>
    </row>
    <row r="11884">
      <c r="C11884" s="1"/>
    </row>
    <row r="11885">
      <c r="C11885" s="1"/>
    </row>
    <row r="11886">
      <c r="C11886" s="1"/>
    </row>
    <row r="11887">
      <c r="C11887" s="1"/>
    </row>
    <row r="11888">
      <c r="C11888" s="1"/>
    </row>
    <row r="11889">
      <c r="C11889" s="1"/>
    </row>
    <row r="11890">
      <c r="C11890" s="1"/>
    </row>
    <row r="11891">
      <c r="C11891" s="1"/>
    </row>
    <row r="11892">
      <c r="C11892" s="1"/>
    </row>
    <row r="11893">
      <c r="C11893" s="1"/>
    </row>
    <row r="11894">
      <c r="C11894" s="1"/>
    </row>
    <row r="11895">
      <c r="C11895" s="1"/>
    </row>
    <row r="11896">
      <c r="C11896" s="1"/>
    </row>
    <row r="11897">
      <c r="C11897" s="1"/>
    </row>
    <row r="11898">
      <c r="C11898" s="1"/>
    </row>
    <row r="11899">
      <c r="C11899" s="1"/>
    </row>
    <row r="11900">
      <c r="C11900" s="1"/>
    </row>
    <row r="11901">
      <c r="C11901" s="1"/>
    </row>
    <row r="11902">
      <c r="C11902" s="1"/>
    </row>
    <row r="11903">
      <c r="C11903" s="1"/>
    </row>
    <row r="11904">
      <c r="C11904" s="1"/>
    </row>
    <row r="11905">
      <c r="C11905" s="1"/>
    </row>
    <row r="11906">
      <c r="C11906" s="1"/>
    </row>
    <row r="11907">
      <c r="C11907" s="1"/>
    </row>
    <row r="11908">
      <c r="C11908" s="1"/>
    </row>
    <row r="11909">
      <c r="C11909" s="1"/>
    </row>
    <row r="11910">
      <c r="C11910" s="1"/>
    </row>
    <row r="11911">
      <c r="C11911" s="1"/>
    </row>
    <row r="11912">
      <c r="C11912" s="1"/>
    </row>
    <row r="11913">
      <c r="C11913" s="1"/>
    </row>
    <row r="11914">
      <c r="C11914" s="1"/>
    </row>
    <row r="11915">
      <c r="C11915" s="1"/>
    </row>
    <row r="11916">
      <c r="C11916" s="1"/>
    </row>
    <row r="11917">
      <c r="C11917" s="1"/>
    </row>
    <row r="11918">
      <c r="C11918" s="1"/>
    </row>
    <row r="11919">
      <c r="C11919" s="1"/>
    </row>
    <row r="11920">
      <c r="C11920" s="1"/>
    </row>
    <row r="11921">
      <c r="C11921" s="1"/>
    </row>
    <row r="11922">
      <c r="C11922" s="1"/>
    </row>
    <row r="11923">
      <c r="C11923" s="1"/>
    </row>
    <row r="11924">
      <c r="C11924" s="1"/>
    </row>
    <row r="11925">
      <c r="C11925" s="1"/>
    </row>
    <row r="11926">
      <c r="C11926" s="1"/>
    </row>
    <row r="11927">
      <c r="C11927" s="1"/>
    </row>
    <row r="11928">
      <c r="C11928" s="1"/>
    </row>
    <row r="11929">
      <c r="C11929" s="1"/>
    </row>
    <row r="11930">
      <c r="C11930" s="1"/>
    </row>
    <row r="11931">
      <c r="C11931" s="1"/>
    </row>
    <row r="11932">
      <c r="C11932" s="1"/>
    </row>
    <row r="11933">
      <c r="C11933" s="1"/>
    </row>
    <row r="11934">
      <c r="C11934" s="1"/>
    </row>
    <row r="11935">
      <c r="C11935" s="1"/>
    </row>
    <row r="11936">
      <c r="C11936" s="1"/>
    </row>
    <row r="11937">
      <c r="C11937" s="1"/>
    </row>
    <row r="11938">
      <c r="C11938" s="1"/>
    </row>
    <row r="11939">
      <c r="C11939" s="1"/>
    </row>
    <row r="11940">
      <c r="C11940" s="1"/>
    </row>
    <row r="11941">
      <c r="C11941" s="1"/>
    </row>
    <row r="11942">
      <c r="C11942" s="1"/>
    </row>
    <row r="11943">
      <c r="C11943" s="1"/>
    </row>
    <row r="11944">
      <c r="C11944" s="1"/>
    </row>
    <row r="11945">
      <c r="C11945" s="1"/>
    </row>
    <row r="11946">
      <c r="C11946" s="1"/>
    </row>
    <row r="11947">
      <c r="C11947" s="1"/>
    </row>
    <row r="11948">
      <c r="C11948" s="1"/>
    </row>
    <row r="11949">
      <c r="C11949" s="1"/>
    </row>
    <row r="11950">
      <c r="C11950" s="1"/>
    </row>
    <row r="11951">
      <c r="C11951" s="1"/>
    </row>
    <row r="11952">
      <c r="C11952" s="1"/>
    </row>
    <row r="11953">
      <c r="C11953" s="1"/>
    </row>
    <row r="11954">
      <c r="C11954" s="1"/>
    </row>
    <row r="11955">
      <c r="C11955" s="1"/>
    </row>
    <row r="11956">
      <c r="C11956" s="1"/>
    </row>
    <row r="11957">
      <c r="C11957" s="1"/>
    </row>
    <row r="11958">
      <c r="C11958" s="1"/>
    </row>
    <row r="11959">
      <c r="C11959" s="1"/>
    </row>
    <row r="11960">
      <c r="C11960" s="1"/>
    </row>
    <row r="11961">
      <c r="C11961" s="1"/>
    </row>
    <row r="11962">
      <c r="C11962" s="1"/>
    </row>
    <row r="11963">
      <c r="C11963" s="1"/>
    </row>
    <row r="11964">
      <c r="C11964" s="1"/>
    </row>
    <row r="11965">
      <c r="C11965" s="1"/>
    </row>
    <row r="11966">
      <c r="C11966" s="1"/>
    </row>
    <row r="11967">
      <c r="C11967" s="1"/>
    </row>
    <row r="11968">
      <c r="C11968" s="1"/>
    </row>
    <row r="11969">
      <c r="C11969" s="1"/>
    </row>
    <row r="11970">
      <c r="C11970" s="1"/>
    </row>
    <row r="11971">
      <c r="C11971" s="1"/>
    </row>
    <row r="11972">
      <c r="C11972" s="1"/>
    </row>
    <row r="11973">
      <c r="C11973" s="1"/>
    </row>
    <row r="11974">
      <c r="C11974" s="1"/>
    </row>
    <row r="11975">
      <c r="C11975" s="1"/>
    </row>
    <row r="11976">
      <c r="C11976" s="1"/>
    </row>
    <row r="11977">
      <c r="C11977" s="1"/>
    </row>
    <row r="11978">
      <c r="C11978" s="1"/>
    </row>
    <row r="11979">
      <c r="C11979" s="1"/>
    </row>
    <row r="11980">
      <c r="C11980" s="1"/>
    </row>
    <row r="11981">
      <c r="C11981" s="1"/>
    </row>
    <row r="11982">
      <c r="C11982" s="1"/>
    </row>
    <row r="11983">
      <c r="C11983" s="1"/>
    </row>
    <row r="11984">
      <c r="C11984" s="1"/>
    </row>
    <row r="11985">
      <c r="C11985" s="1"/>
    </row>
    <row r="11986">
      <c r="C11986" s="1"/>
    </row>
    <row r="11987">
      <c r="C11987" s="1"/>
    </row>
    <row r="11988">
      <c r="C11988" s="1"/>
    </row>
    <row r="11989">
      <c r="C11989" s="1"/>
    </row>
    <row r="11990">
      <c r="C11990" s="1"/>
    </row>
    <row r="11991">
      <c r="C11991" s="1"/>
    </row>
    <row r="11992">
      <c r="C11992" s="1"/>
    </row>
    <row r="11993">
      <c r="C11993" s="1"/>
    </row>
    <row r="11994">
      <c r="C11994" s="1"/>
    </row>
    <row r="11995">
      <c r="C11995" s="1"/>
    </row>
    <row r="11996">
      <c r="C11996" s="1"/>
    </row>
    <row r="11997">
      <c r="C11997" s="1"/>
    </row>
    <row r="11998">
      <c r="C11998" s="1"/>
    </row>
    <row r="11999">
      <c r="C11999" s="1"/>
    </row>
    <row r="12000">
      <c r="C12000" s="1"/>
    </row>
    <row r="12001">
      <c r="C12001" s="1"/>
    </row>
    <row r="12002">
      <c r="C12002" s="1"/>
    </row>
    <row r="12003">
      <c r="C12003" s="1"/>
    </row>
    <row r="12004">
      <c r="C12004" s="1"/>
    </row>
    <row r="12005">
      <c r="C12005" s="1"/>
    </row>
    <row r="12006">
      <c r="C12006" s="1"/>
    </row>
    <row r="12007">
      <c r="C12007" s="1"/>
    </row>
    <row r="12008">
      <c r="C12008" s="1"/>
    </row>
    <row r="12009">
      <c r="C12009" s="1"/>
    </row>
    <row r="12010">
      <c r="C12010" s="1"/>
    </row>
    <row r="12011">
      <c r="C12011" s="1"/>
    </row>
    <row r="12012">
      <c r="C12012" s="1"/>
    </row>
    <row r="12013">
      <c r="C12013" s="1"/>
    </row>
    <row r="12014">
      <c r="C12014" s="1"/>
    </row>
    <row r="12015">
      <c r="C12015" s="1"/>
    </row>
    <row r="12016">
      <c r="C12016" s="1"/>
    </row>
    <row r="12017">
      <c r="C12017" s="1"/>
    </row>
    <row r="12018">
      <c r="C12018" s="1"/>
    </row>
    <row r="12019">
      <c r="C12019" s="1"/>
    </row>
    <row r="12020">
      <c r="C12020" s="1"/>
    </row>
    <row r="12021">
      <c r="C12021" s="1"/>
    </row>
    <row r="12022">
      <c r="C12022" s="1"/>
    </row>
    <row r="12023">
      <c r="C12023" s="1"/>
    </row>
    <row r="12024">
      <c r="C12024" s="1"/>
    </row>
    <row r="12025">
      <c r="C12025" s="1"/>
    </row>
    <row r="12026">
      <c r="C12026" s="1"/>
    </row>
    <row r="12027">
      <c r="C12027" s="1"/>
    </row>
    <row r="12028">
      <c r="C12028" s="1"/>
    </row>
    <row r="12029">
      <c r="C12029" s="1"/>
    </row>
    <row r="12030">
      <c r="C12030" s="1"/>
    </row>
    <row r="12031">
      <c r="C12031" s="1"/>
    </row>
    <row r="12032">
      <c r="C12032" s="1"/>
    </row>
    <row r="12033">
      <c r="C12033" s="1"/>
    </row>
    <row r="12034">
      <c r="C12034" s="1"/>
    </row>
    <row r="12035">
      <c r="C12035" s="1"/>
    </row>
    <row r="12036">
      <c r="C12036" s="1"/>
    </row>
    <row r="12037">
      <c r="C12037" s="1"/>
    </row>
    <row r="12038">
      <c r="C12038" s="1"/>
    </row>
    <row r="12039">
      <c r="C12039" s="1"/>
    </row>
    <row r="12040">
      <c r="C12040" s="1"/>
    </row>
    <row r="12041">
      <c r="C12041" s="1"/>
    </row>
    <row r="12042">
      <c r="C12042" s="1"/>
    </row>
    <row r="12043">
      <c r="C12043" s="1"/>
    </row>
    <row r="12044">
      <c r="C12044" s="1"/>
    </row>
    <row r="12045">
      <c r="C12045" s="1"/>
    </row>
    <row r="12046">
      <c r="C12046" s="1"/>
    </row>
    <row r="12047">
      <c r="C12047" s="1"/>
    </row>
    <row r="12048">
      <c r="C12048" s="1"/>
    </row>
    <row r="12049">
      <c r="C12049" s="1"/>
    </row>
    <row r="12050">
      <c r="C12050" s="1"/>
    </row>
    <row r="12051">
      <c r="C12051" s="1"/>
    </row>
    <row r="12052">
      <c r="C12052" s="1"/>
    </row>
    <row r="12053">
      <c r="C12053" s="1"/>
    </row>
    <row r="12054">
      <c r="C12054" s="1"/>
    </row>
    <row r="12055">
      <c r="C12055" s="1"/>
    </row>
    <row r="12056">
      <c r="C12056" s="1"/>
    </row>
    <row r="12057">
      <c r="C12057" s="1"/>
    </row>
    <row r="12058">
      <c r="C12058" s="1"/>
    </row>
    <row r="12059">
      <c r="C12059" s="1"/>
    </row>
    <row r="12060">
      <c r="C12060" s="1"/>
    </row>
    <row r="12061">
      <c r="C12061" s="1"/>
    </row>
    <row r="12062">
      <c r="C12062" s="1"/>
    </row>
    <row r="12063">
      <c r="C12063" s="1"/>
    </row>
    <row r="12064">
      <c r="C12064" s="1"/>
    </row>
    <row r="12065">
      <c r="C12065" s="1"/>
    </row>
    <row r="12066">
      <c r="C12066" s="1"/>
    </row>
    <row r="12067">
      <c r="C12067" s="1"/>
    </row>
    <row r="12068">
      <c r="C12068" s="1"/>
    </row>
    <row r="12069">
      <c r="C12069" s="1"/>
    </row>
    <row r="12070">
      <c r="C12070" s="1"/>
    </row>
    <row r="12071">
      <c r="C12071" s="1"/>
    </row>
    <row r="12072">
      <c r="C12072" s="1"/>
    </row>
    <row r="12073">
      <c r="C12073" s="1"/>
    </row>
    <row r="12074">
      <c r="C12074" s="1"/>
    </row>
    <row r="12075">
      <c r="C12075" s="1"/>
    </row>
    <row r="12076">
      <c r="C12076" s="1"/>
    </row>
    <row r="12077">
      <c r="C12077" s="1"/>
    </row>
    <row r="12078">
      <c r="C12078" s="1"/>
    </row>
    <row r="12079">
      <c r="C12079" s="1"/>
    </row>
    <row r="12080">
      <c r="C12080" s="1"/>
    </row>
    <row r="12081">
      <c r="C12081" s="1"/>
    </row>
    <row r="12082">
      <c r="C12082" s="1"/>
    </row>
    <row r="12083">
      <c r="C12083" s="1"/>
    </row>
    <row r="12084">
      <c r="C12084" s="1"/>
    </row>
    <row r="12085">
      <c r="C12085" s="1"/>
    </row>
    <row r="12086">
      <c r="C12086" s="1"/>
    </row>
    <row r="12087">
      <c r="C12087" s="1"/>
    </row>
    <row r="12088">
      <c r="C12088" s="1"/>
    </row>
    <row r="12089">
      <c r="C12089" s="1"/>
    </row>
    <row r="12090">
      <c r="C12090" s="1"/>
    </row>
    <row r="12091">
      <c r="C12091" s="1"/>
    </row>
    <row r="12092">
      <c r="C12092" s="1"/>
    </row>
    <row r="12093">
      <c r="C12093" s="1"/>
    </row>
    <row r="12094">
      <c r="C12094" s="1"/>
    </row>
    <row r="12095">
      <c r="C12095" s="1"/>
    </row>
    <row r="12096">
      <c r="C12096" s="1"/>
    </row>
    <row r="12097">
      <c r="C12097" s="1"/>
    </row>
    <row r="12098">
      <c r="C12098" s="1"/>
    </row>
    <row r="12099">
      <c r="C12099" s="1"/>
    </row>
    <row r="12100">
      <c r="C12100" s="1"/>
    </row>
    <row r="12101">
      <c r="C12101" s="1"/>
    </row>
    <row r="12102">
      <c r="C12102" s="1"/>
    </row>
    <row r="12103">
      <c r="C12103" s="1"/>
    </row>
    <row r="12104">
      <c r="C12104" s="1"/>
    </row>
    <row r="12105">
      <c r="C12105" s="1"/>
    </row>
    <row r="12106">
      <c r="C12106" s="1"/>
    </row>
    <row r="12107">
      <c r="C12107" s="1"/>
    </row>
    <row r="12108">
      <c r="C12108" s="1"/>
    </row>
    <row r="12109">
      <c r="C12109" s="1"/>
    </row>
    <row r="12110">
      <c r="C12110" s="1"/>
    </row>
    <row r="12111">
      <c r="C12111" s="1"/>
    </row>
    <row r="12112">
      <c r="C12112" s="1"/>
    </row>
    <row r="12113">
      <c r="C12113" s="1"/>
    </row>
    <row r="12114">
      <c r="C12114" s="1"/>
    </row>
    <row r="12115">
      <c r="C12115" s="1"/>
    </row>
    <row r="12116">
      <c r="C12116" s="1"/>
    </row>
    <row r="12117">
      <c r="C12117" s="1"/>
    </row>
    <row r="12118">
      <c r="C12118" s="1"/>
    </row>
    <row r="12119">
      <c r="C12119" s="1"/>
    </row>
    <row r="12120">
      <c r="C12120" s="1"/>
    </row>
    <row r="12121">
      <c r="C12121" s="1"/>
    </row>
    <row r="12122">
      <c r="C12122" s="1"/>
    </row>
    <row r="12123">
      <c r="C12123" s="1"/>
    </row>
    <row r="12124">
      <c r="C12124" s="1"/>
    </row>
    <row r="12125">
      <c r="C12125" s="1"/>
    </row>
    <row r="12126">
      <c r="C12126" s="1"/>
    </row>
    <row r="12127">
      <c r="C12127" s="1"/>
    </row>
    <row r="12128">
      <c r="C12128" s="1"/>
    </row>
    <row r="12129">
      <c r="C12129" s="1"/>
    </row>
    <row r="12130">
      <c r="C12130" s="1"/>
    </row>
    <row r="12131">
      <c r="C12131" s="1"/>
    </row>
    <row r="12132">
      <c r="C12132" s="1"/>
    </row>
    <row r="12133">
      <c r="C12133" s="1"/>
    </row>
    <row r="12134">
      <c r="C12134" s="1"/>
    </row>
    <row r="12135">
      <c r="C12135" s="1"/>
    </row>
    <row r="12136">
      <c r="C12136" s="1"/>
    </row>
    <row r="12137">
      <c r="C12137" s="1"/>
    </row>
    <row r="12138">
      <c r="C12138" s="1"/>
    </row>
    <row r="12139">
      <c r="C12139" s="1"/>
    </row>
    <row r="12140">
      <c r="C12140" s="1"/>
    </row>
    <row r="12141">
      <c r="C12141" s="1"/>
    </row>
    <row r="12142">
      <c r="C12142" s="1"/>
    </row>
    <row r="12143">
      <c r="C12143" s="1"/>
    </row>
    <row r="12144">
      <c r="C12144" s="1"/>
    </row>
    <row r="12145">
      <c r="C12145" s="1"/>
    </row>
    <row r="12146">
      <c r="C12146" s="1"/>
    </row>
    <row r="12147">
      <c r="C12147" s="1"/>
    </row>
    <row r="12148">
      <c r="C12148" s="1"/>
    </row>
    <row r="12149">
      <c r="C12149" s="1"/>
    </row>
    <row r="12150">
      <c r="C12150" s="1"/>
    </row>
    <row r="12151">
      <c r="C12151" s="1"/>
    </row>
    <row r="12152">
      <c r="C12152" s="1"/>
    </row>
    <row r="12153">
      <c r="C12153" s="1"/>
    </row>
    <row r="12154">
      <c r="C12154" s="1"/>
    </row>
    <row r="12155">
      <c r="C12155" s="1"/>
    </row>
    <row r="12156">
      <c r="C12156" s="1"/>
    </row>
    <row r="12157">
      <c r="C12157" s="1"/>
    </row>
    <row r="12158">
      <c r="C12158" s="1"/>
    </row>
    <row r="12159">
      <c r="C12159" s="1"/>
    </row>
    <row r="12160">
      <c r="C12160" s="1"/>
    </row>
    <row r="12161">
      <c r="C12161" s="1"/>
    </row>
    <row r="12162">
      <c r="C12162" s="1"/>
    </row>
    <row r="12163">
      <c r="C12163" s="1"/>
    </row>
    <row r="12164">
      <c r="C12164" s="1"/>
    </row>
    <row r="12165">
      <c r="C12165" s="1"/>
    </row>
    <row r="12166">
      <c r="C12166" s="1"/>
    </row>
    <row r="12167">
      <c r="C12167" s="1"/>
    </row>
    <row r="12168">
      <c r="C12168" s="1"/>
    </row>
    <row r="12169">
      <c r="C12169" s="1"/>
    </row>
    <row r="12170">
      <c r="C12170" s="1"/>
    </row>
    <row r="12171">
      <c r="C12171" s="1"/>
    </row>
    <row r="12172">
      <c r="C12172" s="1"/>
    </row>
    <row r="12173">
      <c r="C12173" s="1"/>
    </row>
    <row r="12174">
      <c r="C12174" s="1"/>
    </row>
    <row r="12175">
      <c r="C12175" s="1"/>
    </row>
    <row r="12176">
      <c r="C12176" s="1"/>
    </row>
    <row r="12177">
      <c r="C12177" s="1"/>
    </row>
    <row r="12178">
      <c r="C12178" s="1"/>
    </row>
    <row r="12179">
      <c r="C12179" s="1"/>
    </row>
    <row r="12180">
      <c r="C12180" s="1"/>
    </row>
    <row r="12181">
      <c r="C12181" s="1"/>
    </row>
    <row r="12182">
      <c r="C12182" s="1"/>
    </row>
    <row r="12183">
      <c r="C12183" s="1"/>
    </row>
    <row r="12184">
      <c r="C12184" s="1"/>
    </row>
    <row r="12185">
      <c r="C12185" s="1"/>
    </row>
    <row r="12186">
      <c r="C12186" s="1"/>
    </row>
    <row r="12187">
      <c r="C12187" s="1"/>
    </row>
    <row r="12188">
      <c r="C12188" s="1"/>
    </row>
    <row r="12189">
      <c r="C12189" s="1"/>
    </row>
    <row r="12190">
      <c r="C12190" s="1"/>
    </row>
    <row r="12191">
      <c r="C12191" s="1"/>
    </row>
    <row r="12192">
      <c r="C12192" s="1"/>
    </row>
    <row r="12193">
      <c r="C12193" s="1"/>
    </row>
    <row r="12194">
      <c r="C12194" s="1"/>
    </row>
    <row r="12195">
      <c r="C12195" s="1"/>
    </row>
    <row r="12196">
      <c r="C12196" s="1"/>
    </row>
    <row r="12197">
      <c r="C12197" s="1"/>
    </row>
    <row r="12198">
      <c r="C12198" s="1"/>
    </row>
    <row r="12199">
      <c r="C12199" s="1"/>
    </row>
    <row r="12200">
      <c r="C12200" s="1"/>
    </row>
    <row r="12201">
      <c r="C12201" s="1"/>
    </row>
    <row r="12202">
      <c r="C12202" s="1"/>
    </row>
    <row r="12203">
      <c r="C12203" s="1"/>
    </row>
    <row r="12204">
      <c r="C12204" s="1"/>
    </row>
    <row r="12205">
      <c r="C12205" s="1"/>
    </row>
    <row r="12206">
      <c r="C12206" s="1"/>
    </row>
    <row r="12207">
      <c r="C12207" s="1"/>
    </row>
    <row r="12208">
      <c r="C12208" s="1"/>
    </row>
    <row r="12209">
      <c r="C12209" s="1"/>
    </row>
    <row r="12210">
      <c r="C12210" s="1"/>
    </row>
    <row r="12211">
      <c r="C12211" s="1"/>
    </row>
    <row r="12212">
      <c r="C12212" s="1"/>
    </row>
    <row r="12213">
      <c r="C12213" s="1"/>
    </row>
    <row r="12214">
      <c r="C12214" s="1"/>
    </row>
    <row r="12215">
      <c r="C12215" s="1"/>
    </row>
    <row r="12216">
      <c r="C12216" s="1"/>
    </row>
    <row r="12217">
      <c r="C12217" s="1"/>
    </row>
    <row r="12218">
      <c r="C12218" s="1"/>
    </row>
    <row r="12219">
      <c r="C12219" s="1"/>
    </row>
    <row r="12220">
      <c r="C12220" s="1"/>
    </row>
    <row r="12221">
      <c r="C12221" s="1"/>
    </row>
    <row r="12222">
      <c r="C12222" s="1"/>
    </row>
    <row r="12223">
      <c r="C12223" s="1"/>
    </row>
    <row r="12224">
      <c r="C12224" s="1"/>
    </row>
    <row r="12225">
      <c r="C12225" s="1"/>
    </row>
    <row r="12226">
      <c r="C12226" s="1"/>
    </row>
    <row r="12227">
      <c r="C12227" s="1"/>
    </row>
    <row r="12228">
      <c r="C12228" s="1"/>
    </row>
    <row r="12229">
      <c r="C12229" s="1"/>
    </row>
    <row r="12230">
      <c r="C12230" s="1"/>
    </row>
    <row r="12231">
      <c r="C12231" s="1"/>
    </row>
    <row r="12232">
      <c r="C12232" s="1"/>
    </row>
    <row r="12233">
      <c r="C12233" s="1"/>
    </row>
    <row r="12234">
      <c r="C12234" s="1"/>
    </row>
    <row r="12235">
      <c r="C12235" s="1"/>
    </row>
    <row r="12236">
      <c r="C12236" s="1"/>
    </row>
    <row r="12237">
      <c r="C12237" s="1"/>
    </row>
    <row r="12238">
      <c r="C12238" s="1"/>
    </row>
    <row r="12239">
      <c r="C12239" s="1"/>
    </row>
    <row r="12240">
      <c r="C12240" s="1"/>
    </row>
    <row r="12241">
      <c r="C12241" s="1"/>
    </row>
    <row r="12242">
      <c r="C12242" s="1"/>
    </row>
    <row r="12243">
      <c r="C12243" s="1"/>
    </row>
    <row r="12244">
      <c r="C12244" s="1"/>
    </row>
    <row r="12245">
      <c r="C12245" s="1"/>
    </row>
    <row r="12246">
      <c r="C12246" s="1"/>
    </row>
    <row r="12247">
      <c r="C12247" s="1"/>
    </row>
    <row r="12248">
      <c r="C12248" s="1"/>
    </row>
    <row r="12249">
      <c r="C12249" s="1"/>
    </row>
    <row r="12250">
      <c r="C12250" s="1"/>
    </row>
    <row r="12251">
      <c r="C12251" s="1"/>
    </row>
    <row r="12252">
      <c r="C12252" s="1"/>
    </row>
    <row r="12253">
      <c r="C12253" s="1"/>
    </row>
    <row r="12254">
      <c r="C12254" s="1"/>
    </row>
    <row r="12255">
      <c r="C12255" s="1"/>
    </row>
    <row r="12256">
      <c r="C12256" s="1"/>
    </row>
    <row r="12257">
      <c r="C12257" s="1"/>
    </row>
    <row r="12258">
      <c r="C12258" s="1"/>
    </row>
    <row r="12259">
      <c r="C12259" s="1"/>
    </row>
    <row r="12260">
      <c r="C12260" s="1"/>
    </row>
    <row r="12261">
      <c r="C12261" s="1"/>
    </row>
    <row r="12262">
      <c r="C12262" s="1"/>
    </row>
    <row r="12263">
      <c r="C12263" s="1"/>
    </row>
    <row r="12264">
      <c r="C12264" s="1"/>
    </row>
    <row r="12265">
      <c r="C12265" s="1"/>
    </row>
    <row r="12266">
      <c r="C12266" s="1"/>
    </row>
    <row r="12267">
      <c r="C12267" s="1"/>
    </row>
    <row r="12268">
      <c r="C12268" s="1"/>
    </row>
    <row r="12269">
      <c r="C12269" s="1"/>
    </row>
    <row r="12270">
      <c r="C12270" s="1"/>
    </row>
    <row r="12271">
      <c r="C12271" s="1"/>
    </row>
    <row r="12272">
      <c r="C12272" s="1"/>
    </row>
    <row r="12273">
      <c r="C12273" s="1"/>
    </row>
    <row r="12274">
      <c r="C12274" s="1"/>
    </row>
    <row r="12275">
      <c r="C12275" s="1"/>
    </row>
    <row r="12276">
      <c r="C12276" s="1"/>
    </row>
    <row r="12277">
      <c r="C12277" s="1"/>
    </row>
    <row r="12278">
      <c r="C12278" s="1"/>
    </row>
    <row r="12279">
      <c r="C12279" s="1"/>
    </row>
    <row r="12280">
      <c r="C12280" s="1"/>
    </row>
    <row r="12281">
      <c r="C12281" s="1"/>
    </row>
    <row r="12282">
      <c r="C12282" s="1"/>
    </row>
    <row r="12283">
      <c r="C12283" s="1"/>
    </row>
    <row r="12284">
      <c r="C12284" s="1"/>
    </row>
    <row r="12285">
      <c r="C12285" s="1"/>
    </row>
    <row r="12286">
      <c r="C12286" s="1"/>
    </row>
    <row r="12287">
      <c r="C12287" s="1"/>
    </row>
    <row r="12288">
      <c r="C12288" s="1"/>
    </row>
    <row r="12289">
      <c r="C12289" s="1"/>
    </row>
    <row r="12290">
      <c r="C12290" s="1"/>
    </row>
    <row r="12291">
      <c r="C12291" s="1"/>
    </row>
    <row r="12292">
      <c r="C12292" s="1"/>
    </row>
    <row r="12293">
      <c r="C12293" s="1"/>
    </row>
    <row r="12294">
      <c r="C12294" s="1"/>
    </row>
    <row r="12295">
      <c r="C12295" s="1"/>
    </row>
    <row r="12296">
      <c r="C12296" s="1"/>
    </row>
    <row r="12297">
      <c r="C12297" s="1"/>
    </row>
    <row r="12298">
      <c r="C12298" s="1"/>
    </row>
    <row r="12299">
      <c r="C12299" s="1"/>
    </row>
    <row r="12300">
      <c r="C12300" s="1"/>
    </row>
    <row r="12301">
      <c r="C12301" s="1"/>
    </row>
    <row r="12302">
      <c r="C12302" s="1"/>
    </row>
    <row r="12303">
      <c r="C12303" s="1"/>
    </row>
    <row r="12304">
      <c r="C12304" s="1"/>
    </row>
    <row r="12305">
      <c r="C12305" s="1"/>
    </row>
    <row r="12306">
      <c r="C12306" s="1"/>
    </row>
    <row r="12307">
      <c r="C12307" s="1"/>
    </row>
    <row r="12308">
      <c r="C12308" s="1"/>
    </row>
    <row r="12309">
      <c r="C12309" s="1"/>
    </row>
    <row r="12310">
      <c r="C12310" s="1"/>
    </row>
    <row r="12311">
      <c r="C12311" s="1"/>
    </row>
    <row r="12312">
      <c r="C12312" s="1"/>
    </row>
    <row r="12313">
      <c r="C12313" s="1"/>
    </row>
    <row r="12314">
      <c r="C12314" s="1"/>
    </row>
    <row r="12315">
      <c r="C12315" s="1"/>
    </row>
    <row r="12316">
      <c r="C12316" s="1"/>
    </row>
    <row r="12317">
      <c r="C12317" s="1"/>
    </row>
    <row r="12318">
      <c r="C12318" s="1"/>
    </row>
    <row r="12319">
      <c r="C12319" s="1"/>
    </row>
    <row r="12320">
      <c r="C12320" s="1"/>
    </row>
    <row r="12321">
      <c r="C12321" s="1"/>
    </row>
    <row r="12322">
      <c r="C12322" s="1"/>
    </row>
    <row r="12323">
      <c r="C12323" s="1"/>
    </row>
    <row r="12324">
      <c r="C12324" s="1"/>
    </row>
    <row r="12325">
      <c r="C12325" s="1"/>
    </row>
    <row r="12326">
      <c r="C12326" s="1"/>
    </row>
    <row r="12327">
      <c r="C12327" s="1"/>
    </row>
    <row r="12328">
      <c r="C12328" s="1"/>
    </row>
    <row r="12329">
      <c r="C12329" s="1"/>
    </row>
    <row r="12330">
      <c r="C12330" s="1"/>
    </row>
    <row r="12331">
      <c r="C12331" s="1"/>
    </row>
    <row r="12332">
      <c r="C12332" s="1"/>
    </row>
    <row r="12333">
      <c r="C12333" s="1"/>
    </row>
    <row r="12334">
      <c r="C12334" s="1"/>
    </row>
    <row r="12335">
      <c r="C12335" s="1"/>
    </row>
    <row r="12336">
      <c r="C12336" s="1"/>
    </row>
    <row r="12337">
      <c r="C12337" s="1"/>
    </row>
    <row r="12338">
      <c r="C12338" s="1"/>
    </row>
    <row r="12339">
      <c r="C12339" s="1"/>
    </row>
    <row r="12340">
      <c r="C12340" s="1"/>
    </row>
    <row r="12341">
      <c r="C12341" s="1"/>
    </row>
    <row r="12342">
      <c r="C12342" s="1"/>
    </row>
    <row r="12343">
      <c r="C12343" s="1"/>
    </row>
    <row r="12344">
      <c r="C12344" s="1"/>
    </row>
    <row r="12345">
      <c r="C12345" s="1"/>
    </row>
    <row r="12346">
      <c r="C12346" s="1"/>
    </row>
    <row r="12347">
      <c r="C12347" s="1"/>
    </row>
    <row r="12348">
      <c r="C12348" s="1"/>
    </row>
    <row r="12349">
      <c r="C12349" s="1"/>
    </row>
    <row r="12350">
      <c r="C12350" s="1"/>
    </row>
    <row r="12351">
      <c r="C12351" s="1"/>
    </row>
    <row r="12352">
      <c r="C12352" s="1"/>
    </row>
    <row r="12353">
      <c r="C12353" s="1"/>
    </row>
    <row r="12354">
      <c r="C12354" s="1"/>
    </row>
    <row r="12355">
      <c r="C12355" s="1"/>
    </row>
    <row r="12356">
      <c r="C12356" s="1"/>
    </row>
    <row r="12357">
      <c r="C12357" s="1"/>
    </row>
    <row r="12358">
      <c r="C12358" s="1"/>
    </row>
    <row r="12359">
      <c r="C12359" s="1"/>
    </row>
    <row r="12360">
      <c r="C12360" s="1"/>
    </row>
    <row r="12361">
      <c r="C12361" s="1"/>
    </row>
    <row r="12362">
      <c r="C12362" s="1"/>
    </row>
    <row r="12363">
      <c r="C12363" s="1"/>
    </row>
    <row r="12364">
      <c r="C12364" s="1"/>
    </row>
    <row r="12365">
      <c r="C12365" s="1"/>
    </row>
    <row r="12366">
      <c r="C12366" s="1"/>
    </row>
    <row r="12367">
      <c r="C12367" s="1"/>
    </row>
    <row r="12368">
      <c r="C12368" s="1"/>
    </row>
    <row r="12369">
      <c r="C12369" s="1"/>
    </row>
    <row r="12370">
      <c r="C12370" s="1"/>
    </row>
    <row r="12371">
      <c r="C12371" s="1"/>
    </row>
    <row r="12372">
      <c r="C12372" s="1"/>
    </row>
    <row r="12373">
      <c r="C12373" s="1"/>
    </row>
    <row r="12374">
      <c r="C12374" s="1"/>
    </row>
    <row r="12375">
      <c r="C12375" s="1"/>
    </row>
    <row r="12376">
      <c r="C12376" s="1"/>
    </row>
    <row r="12377">
      <c r="C12377" s="1"/>
    </row>
    <row r="12378">
      <c r="C12378" s="1"/>
    </row>
    <row r="12379">
      <c r="C12379" s="1"/>
    </row>
    <row r="12380">
      <c r="C12380" s="1"/>
    </row>
    <row r="12381">
      <c r="C12381" s="1"/>
    </row>
    <row r="12382">
      <c r="C12382" s="1"/>
    </row>
    <row r="12383">
      <c r="C12383" s="1"/>
    </row>
    <row r="12384">
      <c r="C12384" s="1"/>
    </row>
    <row r="12385">
      <c r="C12385" s="1"/>
    </row>
    <row r="12386">
      <c r="C12386" s="1"/>
    </row>
    <row r="12387">
      <c r="C12387" s="1"/>
    </row>
    <row r="12388">
      <c r="C12388" s="1"/>
    </row>
    <row r="12389">
      <c r="C12389" s="1"/>
    </row>
    <row r="12390">
      <c r="C12390" s="1"/>
    </row>
    <row r="12391">
      <c r="C12391" s="1"/>
    </row>
    <row r="12392">
      <c r="C12392" s="1"/>
    </row>
    <row r="12393">
      <c r="C12393" s="1"/>
    </row>
    <row r="12394">
      <c r="C12394" s="1"/>
    </row>
    <row r="12395">
      <c r="C12395" s="1"/>
    </row>
    <row r="12396">
      <c r="C12396" s="1"/>
    </row>
    <row r="12397">
      <c r="C12397" s="1"/>
    </row>
    <row r="12398">
      <c r="C12398" s="1"/>
    </row>
    <row r="12399">
      <c r="C12399" s="1"/>
    </row>
    <row r="12400">
      <c r="C12400" s="1"/>
    </row>
    <row r="12401">
      <c r="C12401" s="1"/>
    </row>
    <row r="12402">
      <c r="C12402" s="1"/>
    </row>
    <row r="12403">
      <c r="C12403" s="1"/>
    </row>
    <row r="12404">
      <c r="C12404" s="1"/>
    </row>
    <row r="12405">
      <c r="C12405" s="1"/>
    </row>
    <row r="12406">
      <c r="C12406" s="1"/>
    </row>
    <row r="12407">
      <c r="C12407" s="1"/>
    </row>
    <row r="12408">
      <c r="C12408" s="1"/>
    </row>
    <row r="12409">
      <c r="C12409" s="1"/>
    </row>
    <row r="12410">
      <c r="C12410" s="1"/>
    </row>
    <row r="12411">
      <c r="C12411" s="1"/>
    </row>
    <row r="12412">
      <c r="C12412" s="1"/>
    </row>
    <row r="12413">
      <c r="C12413" s="1"/>
    </row>
    <row r="12414">
      <c r="C12414" s="1"/>
    </row>
    <row r="12415">
      <c r="C12415" s="1"/>
    </row>
    <row r="12416">
      <c r="C12416" s="1"/>
    </row>
    <row r="12417">
      <c r="C12417" s="1"/>
    </row>
    <row r="12418">
      <c r="C12418" s="1"/>
    </row>
    <row r="12419">
      <c r="C12419" s="1"/>
    </row>
    <row r="12420">
      <c r="C12420" s="1"/>
    </row>
    <row r="12421">
      <c r="C12421" s="1"/>
    </row>
    <row r="12422">
      <c r="C12422" s="1"/>
    </row>
    <row r="12423">
      <c r="C12423" s="1"/>
    </row>
    <row r="12424">
      <c r="C12424" s="1"/>
    </row>
    <row r="12425">
      <c r="C12425" s="1"/>
    </row>
    <row r="12426">
      <c r="C12426" s="1"/>
    </row>
    <row r="12427">
      <c r="C12427" s="1"/>
    </row>
    <row r="12428">
      <c r="C12428" s="1"/>
    </row>
    <row r="12429">
      <c r="C12429" s="1"/>
    </row>
    <row r="12430">
      <c r="C12430" s="1"/>
    </row>
    <row r="12431">
      <c r="C12431" s="1"/>
    </row>
    <row r="12432">
      <c r="C12432" s="1"/>
    </row>
    <row r="12433">
      <c r="C12433" s="1"/>
    </row>
    <row r="12434">
      <c r="C12434" s="1"/>
    </row>
    <row r="12435">
      <c r="C12435" s="1"/>
    </row>
    <row r="12436">
      <c r="C12436" s="1"/>
    </row>
    <row r="12437">
      <c r="C12437" s="1"/>
    </row>
    <row r="12438">
      <c r="C12438" s="1"/>
    </row>
    <row r="12439">
      <c r="C12439" s="1"/>
    </row>
    <row r="12440">
      <c r="C12440" s="1"/>
    </row>
    <row r="12441">
      <c r="C12441" s="1"/>
    </row>
    <row r="12442">
      <c r="C12442" s="1"/>
    </row>
    <row r="12443">
      <c r="C12443" s="1"/>
    </row>
    <row r="12444">
      <c r="C12444" s="1"/>
    </row>
    <row r="12445">
      <c r="C12445" s="1"/>
    </row>
    <row r="12446">
      <c r="C12446" s="1"/>
    </row>
    <row r="12447">
      <c r="C12447" s="1"/>
    </row>
    <row r="12448">
      <c r="C12448" s="1"/>
    </row>
    <row r="12449">
      <c r="C12449" s="1"/>
    </row>
    <row r="12450">
      <c r="C12450" s="1"/>
    </row>
    <row r="12451">
      <c r="C12451" s="1"/>
    </row>
    <row r="12452">
      <c r="C12452" s="1"/>
    </row>
    <row r="12453">
      <c r="C12453" s="1"/>
    </row>
    <row r="12454">
      <c r="C12454" s="1"/>
    </row>
    <row r="12455">
      <c r="C12455" s="1"/>
    </row>
    <row r="12456">
      <c r="C12456" s="1"/>
    </row>
    <row r="12457">
      <c r="C12457" s="1"/>
    </row>
    <row r="12458">
      <c r="C12458" s="1"/>
    </row>
    <row r="12459">
      <c r="C12459" s="1"/>
    </row>
    <row r="12460">
      <c r="C12460" s="1"/>
    </row>
    <row r="12461">
      <c r="C12461" s="1"/>
    </row>
    <row r="12462">
      <c r="C12462" s="1"/>
    </row>
    <row r="12463">
      <c r="C12463" s="1"/>
    </row>
    <row r="12464">
      <c r="C12464" s="1"/>
    </row>
    <row r="12465">
      <c r="C12465" s="1"/>
    </row>
    <row r="12466">
      <c r="C12466" s="1"/>
    </row>
    <row r="12467">
      <c r="C12467" s="1"/>
    </row>
    <row r="12468">
      <c r="C12468" s="1"/>
    </row>
    <row r="12469">
      <c r="C12469" s="1"/>
    </row>
    <row r="12470">
      <c r="C12470" s="1"/>
    </row>
    <row r="12471">
      <c r="C12471" s="1"/>
    </row>
    <row r="12472">
      <c r="C12472" s="1"/>
    </row>
    <row r="12473">
      <c r="C12473" s="1"/>
    </row>
    <row r="12474">
      <c r="C12474" s="1"/>
    </row>
    <row r="12475">
      <c r="C12475" s="1"/>
    </row>
    <row r="12476">
      <c r="C12476" s="1"/>
    </row>
    <row r="12477">
      <c r="C12477" s="1"/>
    </row>
    <row r="12478">
      <c r="C12478" s="1"/>
    </row>
    <row r="12479">
      <c r="C12479" s="1"/>
    </row>
    <row r="12480">
      <c r="C12480" s="1"/>
    </row>
    <row r="12481">
      <c r="C12481" s="1"/>
    </row>
    <row r="12482">
      <c r="C12482" s="1"/>
    </row>
    <row r="12483">
      <c r="C12483" s="1"/>
    </row>
    <row r="12484">
      <c r="C12484" s="1"/>
    </row>
    <row r="12485">
      <c r="C12485" s="1"/>
    </row>
    <row r="12486">
      <c r="C12486" s="1"/>
    </row>
    <row r="12487">
      <c r="C12487" s="1"/>
    </row>
    <row r="12488">
      <c r="C12488" s="1"/>
    </row>
    <row r="12489">
      <c r="C12489" s="1"/>
    </row>
    <row r="12490">
      <c r="C12490" s="1"/>
    </row>
    <row r="12491">
      <c r="C12491" s="1"/>
    </row>
    <row r="12492">
      <c r="C12492" s="1"/>
    </row>
    <row r="12493">
      <c r="C12493" s="1"/>
    </row>
    <row r="12494">
      <c r="C12494" s="1"/>
    </row>
    <row r="12495">
      <c r="C12495" s="1"/>
    </row>
    <row r="12496">
      <c r="C12496" s="1"/>
    </row>
    <row r="12497">
      <c r="C12497" s="1"/>
    </row>
    <row r="12498">
      <c r="C12498" s="1"/>
    </row>
    <row r="12499">
      <c r="C12499" s="1"/>
    </row>
    <row r="12500">
      <c r="C12500" s="1"/>
    </row>
    <row r="12501">
      <c r="C12501" s="1"/>
    </row>
    <row r="12502">
      <c r="C12502" s="1"/>
    </row>
    <row r="12503">
      <c r="C12503" s="1"/>
    </row>
    <row r="12504">
      <c r="C12504" s="1"/>
    </row>
    <row r="12505">
      <c r="C12505" s="1"/>
    </row>
    <row r="12506">
      <c r="C12506" s="1"/>
    </row>
    <row r="12507">
      <c r="C12507" s="1"/>
    </row>
    <row r="12508">
      <c r="C12508" s="1"/>
    </row>
    <row r="12509">
      <c r="C12509" s="1"/>
    </row>
    <row r="12510">
      <c r="C12510" s="1"/>
    </row>
    <row r="12511">
      <c r="C12511" s="1"/>
    </row>
    <row r="12512">
      <c r="C12512" s="1"/>
    </row>
    <row r="12513">
      <c r="C12513" s="1"/>
    </row>
    <row r="12514">
      <c r="C12514" s="1"/>
    </row>
    <row r="12515">
      <c r="C12515" s="1"/>
    </row>
    <row r="12516">
      <c r="C12516" s="1"/>
    </row>
    <row r="12517">
      <c r="C12517" s="1"/>
    </row>
    <row r="12518">
      <c r="C12518" s="1"/>
    </row>
    <row r="12519">
      <c r="C12519" s="1"/>
    </row>
    <row r="12520">
      <c r="C12520" s="1"/>
    </row>
    <row r="12521">
      <c r="C12521" s="1"/>
    </row>
    <row r="12522">
      <c r="C12522" s="1"/>
    </row>
    <row r="12523">
      <c r="C12523" s="1"/>
    </row>
    <row r="12524">
      <c r="C12524" s="1"/>
    </row>
    <row r="12525">
      <c r="C12525" s="1"/>
    </row>
    <row r="12526">
      <c r="C12526" s="1"/>
    </row>
    <row r="12527">
      <c r="C12527" s="1"/>
    </row>
    <row r="12528">
      <c r="C12528" s="1"/>
    </row>
    <row r="12529">
      <c r="C12529" s="1"/>
    </row>
    <row r="12530">
      <c r="C12530" s="1"/>
    </row>
    <row r="12531">
      <c r="C12531" s="1"/>
    </row>
    <row r="12532">
      <c r="C12532" s="1"/>
    </row>
    <row r="12533">
      <c r="C12533" s="1"/>
    </row>
    <row r="12534">
      <c r="C12534" s="1"/>
    </row>
    <row r="12535">
      <c r="C12535" s="1"/>
    </row>
    <row r="12536">
      <c r="C12536" s="1"/>
    </row>
    <row r="12537">
      <c r="C12537" s="1"/>
    </row>
    <row r="12538">
      <c r="C12538" s="1"/>
    </row>
    <row r="12539">
      <c r="C12539" s="1"/>
    </row>
    <row r="12540">
      <c r="C12540" s="1"/>
    </row>
    <row r="12541">
      <c r="C12541" s="1"/>
    </row>
    <row r="12542">
      <c r="C12542" s="1"/>
    </row>
    <row r="12543">
      <c r="C12543" s="1"/>
    </row>
    <row r="12544">
      <c r="C12544" s="1"/>
    </row>
    <row r="12545">
      <c r="C12545" s="1"/>
    </row>
    <row r="12546">
      <c r="C12546" s="1"/>
    </row>
    <row r="12547">
      <c r="C12547" s="1"/>
    </row>
    <row r="12548">
      <c r="C12548" s="1"/>
    </row>
    <row r="12549">
      <c r="C12549" s="1"/>
    </row>
    <row r="12550">
      <c r="C12550" s="1"/>
    </row>
    <row r="12551">
      <c r="C12551" s="1"/>
    </row>
    <row r="12552">
      <c r="C12552" s="1"/>
    </row>
    <row r="12553">
      <c r="C12553" s="1"/>
    </row>
    <row r="12554">
      <c r="C12554" s="1"/>
    </row>
    <row r="12555">
      <c r="C12555" s="1"/>
    </row>
    <row r="12556">
      <c r="C12556" s="1"/>
    </row>
    <row r="12557">
      <c r="C12557" s="1"/>
    </row>
    <row r="12558">
      <c r="C12558" s="1"/>
    </row>
    <row r="12559">
      <c r="C12559" s="1"/>
    </row>
    <row r="12560">
      <c r="C12560" s="1"/>
    </row>
    <row r="12561">
      <c r="C12561" s="1"/>
    </row>
    <row r="12562">
      <c r="C12562" s="1"/>
    </row>
    <row r="12563">
      <c r="C12563" s="1"/>
    </row>
    <row r="12564">
      <c r="C12564" s="1"/>
    </row>
    <row r="12565">
      <c r="C12565" s="1"/>
    </row>
    <row r="12566">
      <c r="C12566" s="1"/>
    </row>
    <row r="12567">
      <c r="C12567" s="1"/>
    </row>
    <row r="12568">
      <c r="C12568" s="1"/>
    </row>
    <row r="12569">
      <c r="C12569" s="1"/>
    </row>
    <row r="12570">
      <c r="C12570" s="1"/>
    </row>
    <row r="12571">
      <c r="C12571" s="1"/>
    </row>
    <row r="12572">
      <c r="C12572" s="1"/>
    </row>
    <row r="12573">
      <c r="C12573" s="1"/>
    </row>
    <row r="12574">
      <c r="C12574" s="1"/>
    </row>
    <row r="12575">
      <c r="C12575" s="1"/>
    </row>
    <row r="12576">
      <c r="C12576" s="1"/>
    </row>
    <row r="12577">
      <c r="C12577" s="1"/>
    </row>
    <row r="12578">
      <c r="C12578" s="1"/>
    </row>
    <row r="12579">
      <c r="C12579" s="1"/>
    </row>
    <row r="12580">
      <c r="C12580" s="1"/>
    </row>
    <row r="12581">
      <c r="C12581" s="1"/>
    </row>
    <row r="12582">
      <c r="C12582" s="1"/>
    </row>
    <row r="12583">
      <c r="C12583" s="1"/>
    </row>
    <row r="12584">
      <c r="C12584" s="1"/>
    </row>
    <row r="12585">
      <c r="C12585" s="1"/>
    </row>
    <row r="12586">
      <c r="C12586" s="1"/>
    </row>
    <row r="12587">
      <c r="C12587" s="1"/>
    </row>
    <row r="12588">
      <c r="C12588" s="1"/>
    </row>
    <row r="12589">
      <c r="C12589" s="1"/>
    </row>
    <row r="12590">
      <c r="C12590" s="1"/>
    </row>
    <row r="12591">
      <c r="C12591" s="1"/>
    </row>
    <row r="12592">
      <c r="C12592" s="1"/>
    </row>
    <row r="12593">
      <c r="C12593" s="1"/>
    </row>
    <row r="12594">
      <c r="C12594" s="1"/>
    </row>
    <row r="12595">
      <c r="C12595" s="1"/>
    </row>
    <row r="12596">
      <c r="C12596" s="1"/>
    </row>
    <row r="12597">
      <c r="C12597" s="1"/>
    </row>
    <row r="12598">
      <c r="C12598" s="1"/>
    </row>
    <row r="12599">
      <c r="C12599" s="1"/>
    </row>
    <row r="12600">
      <c r="C12600" s="1"/>
    </row>
    <row r="12601">
      <c r="C12601" s="1"/>
    </row>
    <row r="12602">
      <c r="C12602" s="1"/>
    </row>
    <row r="12603">
      <c r="C12603" s="1"/>
    </row>
    <row r="12604">
      <c r="C12604" s="1"/>
    </row>
    <row r="12605">
      <c r="C12605" s="1"/>
    </row>
    <row r="12606">
      <c r="C12606" s="1"/>
    </row>
    <row r="12607">
      <c r="C12607" s="1"/>
    </row>
    <row r="12608">
      <c r="C12608" s="1"/>
    </row>
    <row r="12609">
      <c r="C12609" s="1"/>
    </row>
    <row r="12610">
      <c r="C12610" s="1"/>
    </row>
    <row r="12611">
      <c r="C12611" s="1"/>
    </row>
    <row r="12612">
      <c r="C12612" s="1"/>
    </row>
    <row r="12613">
      <c r="C12613" s="1"/>
    </row>
    <row r="12614">
      <c r="C12614" s="1"/>
    </row>
    <row r="12615">
      <c r="C12615" s="1"/>
    </row>
    <row r="12616">
      <c r="C12616" s="1"/>
    </row>
    <row r="12617">
      <c r="C12617" s="1"/>
    </row>
    <row r="12618">
      <c r="C12618" s="1"/>
    </row>
    <row r="12619">
      <c r="C12619" s="1"/>
    </row>
    <row r="12620">
      <c r="C12620" s="1"/>
    </row>
    <row r="12621">
      <c r="C12621" s="1"/>
    </row>
    <row r="12622">
      <c r="C12622" s="1"/>
    </row>
    <row r="12623">
      <c r="C12623" s="1"/>
    </row>
    <row r="12624">
      <c r="C12624" s="1"/>
    </row>
    <row r="12625">
      <c r="C12625" s="1"/>
    </row>
    <row r="12626">
      <c r="C12626" s="1"/>
    </row>
    <row r="12627">
      <c r="C12627" s="1"/>
    </row>
    <row r="12628">
      <c r="C12628" s="1"/>
    </row>
    <row r="12629">
      <c r="C12629" s="1"/>
    </row>
    <row r="12630">
      <c r="C12630" s="1"/>
    </row>
    <row r="12631">
      <c r="C12631" s="1"/>
    </row>
    <row r="12632">
      <c r="C12632" s="1"/>
    </row>
    <row r="12633">
      <c r="C12633" s="1"/>
    </row>
    <row r="12634">
      <c r="C12634" s="1"/>
    </row>
    <row r="12635">
      <c r="C12635" s="1"/>
    </row>
    <row r="12636">
      <c r="C12636" s="1"/>
    </row>
    <row r="12637">
      <c r="C12637" s="1"/>
    </row>
    <row r="12638">
      <c r="C12638" s="1"/>
    </row>
    <row r="12639">
      <c r="C12639" s="1"/>
    </row>
    <row r="12640">
      <c r="C12640" s="1"/>
    </row>
    <row r="12641">
      <c r="C12641" s="1"/>
    </row>
    <row r="12642">
      <c r="C12642" s="1"/>
    </row>
    <row r="12643">
      <c r="C12643" s="1"/>
    </row>
    <row r="12644">
      <c r="C12644" s="1"/>
    </row>
    <row r="12645">
      <c r="C12645" s="1"/>
    </row>
    <row r="12646">
      <c r="C12646" s="1"/>
    </row>
    <row r="12647">
      <c r="C12647" s="1"/>
    </row>
    <row r="12648">
      <c r="C12648" s="1"/>
    </row>
    <row r="12649">
      <c r="C12649" s="1"/>
    </row>
    <row r="12650">
      <c r="C12650" s="1"/>
    </row>
    <row r="12651">
      <c r="C12651" s="1"/>
    </row>
    <row r="12652">
      <c r="C12652" s="1"/>
    </row>
    <row r="12653">
      <c r="C12653" s="1"/>
    </row>
    <row r="12654">
      <c r="C12654" s="1"/>
    </row>
    <row r="12655">
      <c r="C12655" s="1"/>
    </row>
    <row r="12656">
      <c r="C12656" s="1"/>
    </row>
    <row r="12657">
      <c r="C12657" s="1"/>
    </row>
    <row r="12658">
      <c r="C12658" s="1"/>
    </row>
    <row r="12659">
      <c r="C12659" s="1"/>
    </row>
    <row r="12660">
      <c r="C12660" s="1"/>
    </row>
    <row r="12661">
      <c r="C12661" s="1"/>
    </row>
    <row r="12662">
      <c r="C12662" s="1"/>
    </row>
    <row r="12663">
      <c r="C12663" s="1"/>
    </row>
    <row r="12664">
      <c r="C12664" s="1"/>
    </row>
    <row r="12665">
      <c r="C12665" s="1"/>
    </row>
    <row r="12666">
      <c r="C12666" s="1"/>
    </row>
    <row r="12667">
      <c r="C12667" s="1"/>
    </row>
    <row r="12668">
      <c r="C12668" s="1"/>
    </row>
    <row r="12669">
      <c r="C12669" s="1"/>
    </row>
    <row r="12670">
      <c r="C12670" s="1"/>
    </row>
    <row r="12671">
      <c r="C12671" s="1"/>
    </row>
    <row r="12672">
      <c r="C12672" s="1"/>
    </row>
    <row r="12673">
      <c r="C12673" s="1"/>
    </row>
    <row r="12674">
      <c r="C12674" s="1"/>
    </row>
    <row r="12675">
      <c r="C12675" s="1"/>
    </row>
    <row r="12676">
      <c r="C12676" s="1"/>
    </row>
    <row r="12677">
      <c r="C12677" s="1"/>
    </row>
    <row r="12678">
      <c r="C12678" s="1"/>
    </row>
    <row r="12679">
      <c r="C12679" s="1"/>
    </row>
    <row r="12680">
      <c r="C12680" s="1"/>
    </row>
    <row r="12681">
      <c r="C12681" s="1"/>
    </row>
    <row r="12682">
      <c r="C12682" s="1"/>
    </row>
    <row r="12683">
      <c r="C12683" s="1"/>
    </row>
    <row r="12684">
      <c r="C12684" s="1"/>
    </row>
    <row r="12685">
      <c r="C12685" s="1"/>
    </row>
    <row r="12686">
      <c r="C12686" s="1"/>
    </row>
    <row r="12687">
      <c r="C12687" s="1"/>
    </row>
    <row r="12688">
      <c r="C12688" s="1"/>
    </row>
    <row r="12689">
      <c r="C12689" s="1"/>
    </row>
    <row r="12690">
      <c r="C12690" s="1"/>
    </row>
    <row r="12691">
      <c r="C12691" s="1"/>
    </row>
    <row r="12692">
      <c r="C12692" s="1"/>
    </row>
    <row r="12693">
      <c r="C12693" s="1"/>
    </row>
    <row r="12694">
      <c r="C12694" s="1"/>
    </row>
    <row r="12695">
      <c r="C12695" s="1"/>
    </row>
    <row r="12696">
      <c r="C12696" s="1"/>
    </row>
    <row r="12697">
      <c r="C12697" s="1"/>
    </row>
    <row r="12698">
      <c r="C12698" s="1"/>
    </row>
    <row r="12699">
      <c r="C12699" s="1"/>
    </row>
    <row r="12700">
      <c r="C12700" s="1"/>
    </row>
    <row r="12701">
      <c r="C12701" s="1"/>
    </row>
    <row r="12702">
      <c r="C12702" s="1"/>
    </row>
    <row r="12703">
      <c r="C12703" s="1"/>
    </row>
    <row r="12704">
      <c r="C12704" s="1"/>
    </row>
    <row r="12705">
      <c r="C12705" s="1"/>
    </row>
    <row r="12706">
      <c r="C12706" s="1"/>
    </row>
    <row r="12707">
      <c r="C12707" s="1"/>
    </row>
    <row r="12708">
      <c r="C12708" s="1"/>
    </row>
    <row r="12709">
      <c r="C12709" s="1"/>
    </row>
    <row r="12710">
      <c r="C12710" s="1"/>
    </row>
    <row r="12711">
      <c r="C12711" s="1"/>
    </row>
    <row r="12712">
      <c r="C12712" s="1"/>
    </row>
    <row r="12713">
      <c r="C12713" s="1"/>
    </row>
    <row r="12714">
      <c r="C12714" s="1"/>
    </row>
    <row r="12715">
      <c r="C12715" s="1"/>
    </row>
    <row r="12716">
      <c r="C12716" s="1"/>
    </row>
    <row r="12717">
      <c r="C12717" s="1"/>
    </row>
    <row r="12718">
      <c r="C12718" s="1"/>
    </row>
    <row r="12719">
      <c r="C12719" s="1"/>
    </row>
    <row r="12720">
      <c r="C12720" s="1"/>
    </row>
    <row r="12721">
      <c r="C12721" s="1"/>
    </row>
    <row r="12722">
      <c r="C12722" s="1"/>
    </row>
    <row r="12723">
      <c r="C12723" s="1"/>
    </row>
    <row r="12724">
      <c r="C12724" s="1"/>
    </row>
    <row r="12725">
      <c r="C12725" s="1"/>
    </row>
    <row r="12726">
      <c r="C12726" s="1"/>
    </row>
    <row r="12727">
      <c r="C12727" s="1"/>
    </row>
    <row r="12728">
      <c r="C12728" s="1"/>
    </row>
    <row r="12729">
      <c r="C12729" s="1"/>
    </row>
    <row r="12730">
      <c r="C12730" s="1"/>
    </row>
    <row r="12731">
      <c r="C12731" s="1"/>
    </row>
    <row r="12732">
      <c r="C12732" s="1"/>
    </row>
    <row r="12733">
      <c r="C12733" s="1"/>
    </row>
    <row r="12734">
      <c r="C12734" s="1"/>
    </row>
    <row r="12735">
      <c r="C12735" s="1"/>
    </row>
    <row r="12736">
      <c r="C12736" s="1"/>
    </row>
    <row r="12737">
      <c r="C12737" s="1"/>
    </row>
    <row r="12738">
      <c r="C12738" s="1"/>
    </row>
    <row r="12739">
      <c r="C12739" s="1"/>
    </row>
    <row r="12740">
      <c r="C12740" s="1"/>
    </row>
    <row r="12741">
      <c r="C12741" s="1"/>
    </row>
    <row r="12742">
      <c r="C12742" s="1"/>
    </row>
    <row r="12743">
      <c r="C12743" s="1"/>
    </row>
    <row r="12744">
      <c r="C12744" s="1"/>
    </row>
    <row r="12745">
      <c r="C12745" s="1"/>
    </row>
    <row r="12746">
      <c r="C12746" s="1"/>
    </row>
    <row r="12747">
      <c r="C12747" s="1"/>
    </row>
    <row r="12748">
      <c r="C12748" s="1"/>
    </row>
    <row r="12749">
      <c r="C12749" s="1"/>
    </row>
    <row r="12750">
      <c r="C12750" s="1"/>
    </row>
    <row r="12751">
      <c r="C12751" s="1"/>
    </row>
    <row r="12752">
      <c r="C12752" s="1"/>
    </row>
    <row r="12753">
      <c r="C12753" s="1"/>
    </row>
    <row r="12754">
      <c r="C12754" s="1"/>
    </row>
    <row r="12755">
      <c r="C12755" s="1"/>
    </row>
    <row r="12756">
      <c r="C12756" s="1"/>
    </row>
    <row r="12757">
      <c r="C12757" s="1"/>
    </row>
    <row r="12758">
      <c r="C12758" s="1"/>
    </row>
    <row r="12759">
      <c r="C12759" s="1"/>
    </row>
    <row r="12760">
      <c r="C12760" s="1"/>
    </row>
    <row r="12761">
      <c r="C12761" s="1"/>
    </row>
    <row r="12762">
      <c r="C12762" s="1"/>
    </row>
    <row r="12763">
      <c r="C12763" s="1"/>
    </row>
    <row r="12764">
      <c r="C12764" s="1"/>
    </row>
    <row r="12765">
      <c r="C12765" s="1"/>
    </row>
    <row r="12766">
      <c r="C12766" s="1"/>
    </row>
    <row r="12767">
      <c r="C12767" s="1"/>
    </row>
    <row r="12768">
      <c r="C12768" s="1"/>
    </row>
    <row r="12769">
      <c r="C12769" s="1"/>
    </row>
    <row r="12770">
      <c r="C12770" s="1"/>
    </row>
    <row r="12771">
      <c r="C12771" s="1"/>
    </row>
    <row r="12772">
      <c r="C12772" s="1"/>
    </row>
    <row r="12773">
      <c r="C12773" s="1"/>
    </row>
    <row r="12774">
      <c r="C12774" s="1"/>
    </row>
    <row r="12775">
      <c r="C12775" s="1"/>
    </row>
    <row r="12776">
      <c r="C12776" s="1"/>
    </row>
    <row r="12777">
      <c r="C12777" s="1"/>
    </row>
    <row r="12778">
      <c r="C12778" s="1"/>
    </row>
    <row r="12779">
      <c r="C12779" s="1"/>
    </row>
    <row r="12780">
      <c r="C12780" s="1"/>
    </row>
    <row r="12781">
      <c r="C12781" s="1"/>
    </row>
    <row r="12782">
      <c r="C12782" s="1"/>
    </row>
    <row r="12783">
      <c r="C12783" s="1"/>
    </row>
    <row r="12784">
      <c r="C12784" s="1"/>
    </row>
    <row r="12785">
      <c r="C12785" s="1"/>
    </row>
    <row r="12786">
      <c r="C12786" s="1"/>
    </row>
    <row r="12787">
      <c r="C12787" s="1"/>
    </row>
    <row r="12788">
      <c r="C12788" s="1"/>
    </row>
    <row r="12789">
      <c r="C12789" s="1"/>
    </row>
    <row r="12790">
      <c r="C12790" s="1"/>
    </row>
    <row r="12791">
      <c r="C12791" s="1"/>
    </row>
    <row r="12792">
      <c r="C12792" s="1"/>
    </row>
    <row r="12793">
      <c r="C12793" s="1"/>
    </row>
    <row r="12794">
      <c r="C12794" s="1"/>
    </row>
    <row r="12795">
      <c r="C12795" s="1"/>
    </row>
    <row r="12796">
      <c r="C12796" s="1"/>
    </row>
    <row r="12797">
      <c r="C12797" s="1"/>
    </row>
    <row r="12798">
      <c r="C12798" s="1"/>
    </row>
    <row r="12799">
      <c r="C12799" s="1"/>
    </row>
    <row r="12800">
      <c r="C12800" s="1"/>
    </row>
    <row r="12801">
      <c r="C12801" s="1"/>
    </row>
    <row r="12802">
      <c r="C12802" s="1"/>
    </row>
    <row r="12803">
      <c r="C12803" s="1"/>
    </row>
    <row r="12804">
      <c r="C12804" s="1"/>
    </row>
    <row r="12805">
      <c r="C12805" s="1"/>
    </row>
    <row r="12806">
      <c r="C12806" s="1"/>
    </row>
    <row r="12807">
      <c r="C12807" s="1"/>
    </row>
    <row r="12808">
      <c r="C12808" s="1"/>
    </row>
    <row r="12809">
      <c r="C12809" s="1"/>
    </row>
    <row r="12810">
      <c r="C12810" s="1"/>
    </row>
    <row r="12811">
      <c r="C12811" s="1"/>
    </row>
    <row r="12812">
      <c r="C12812" s="1"/>
    </row>
    <row r="12813">
      <c r="C12813" s="1"/>
    </row>
    <row r="12814">
      <c r="C12814" s="1"/>
    </row>
    <row r="12815">
      <c r="C12815" s="1"/>
    </row>
    <row r="12816">
      <c r="C12816" s="1"/>
    </row>
    <row r="12817">
      <c r="C12817" s="1"/>
    </row>
    <row r="12818">
      <c r="C12818" s="1"/>
    </row>
    <row r="12819">
      <c r="C12819" s="1"/>
    </row>
    <row r="12820">
      <c r="C12820" s="1"/>
    </row>
    <row r="12821">
      <c r="C12821" s="1"/>
    </row>
    <row r="12822">
      <c r="C12822" s="1"/>
    </row>
    <row r="12823">
      <c r="C12823" s="1"/>
    </row>
    <row r="12824">
      <c r="C12824" s="1"/>
    </row>
    <row r="12825">
      <c r="C12825" s="1"/>
    </row>
    <row r="12826">
      <c r="C12826" s="1"/>
    </row>
    <row r="12827">
      <c r="C12827" s="1"/>
    </row>
    <row r="12828">
      <c r="C12828" s="1"/>
    </row>
    <row r="12829">
      <c r="C12829" s="1"/>
    </row>
    <row r="12830">
      <c r="C12830" s="1"/>
    </row>
    <row r="12831">
      <c r="C12831" s="1"/>
    </row>
    <row r="12832">
      <c r="C12832" s="1"/>
    </row>
    <row r="12833">
      <c r="C12833" s="1"/>
    </row>
    <row r="12834">
      <c r="C12834" s="1"/>
    </row>
    <row r="12835">
      <c r="C12835" s="1"/>
    </row>
    <row r="12836">
      <c r="C12836" s="1"/>
    </row>
    <row r="12837">
      <c r="C12837" s="1"/>
    </row>
    <row r="12838">
      <c r="C12838" s="1"/>
    </row>
    <row r="12839">
      <c r="C12839" s="1"/>
    </row>
    <row r="12840">
      <c r="C12840" s="1"/>
    </row>
    <row r="12841">
      <c r="C12841" s="1"/>
    </row>
    <row r="12842">
      <c r="C12842" s="1"/>
    </row>
    <row r="12843">
      <c r="C12843" s="1"/>
    </row>
    <row r="12844">
      <c r="C12844" s="1"/>
    </row>
    <row r="12845">
      <c r="C12845" s="1"/>
    </row>
    <row r="12846">
      <c r="C12846" s="1"/>
    </row>
    <row r="12847">
      <c r="C12847" s="1"/>
    </row>
    <row r="12848">
      <c r="C12848" s="1"/>
    </row>
    <row r="12849">
      <c r="C12849" s="1"/>
    </row>
    <row r="12850">
      <c r="C12850" s="1"/>
    </row>
    <row r="12851">
      <c r="C12851" s="1"/>
    </row>
    <row r="12852">
      <c r="C12852" s="1"/>
    </row>
    <row r="12853">
      <c r="C12853" s="1"/>
    </row>
    <row r="12854">
      <c r="C12854" s="1"/>
    </row>
    <row r="12855">
      <c r="C12855" s="1"/>
    </row>
    <row r="12856">
      <c r="C12856" s="1"/>
    </row>
    <row r="12857">
      <c r="C12857" s="1"/>
    </row>
    <row r="12858">
      <c r="C12858" s="1"/>
    </row>
    <row r="12859">
      <c r="C12859" s="1"/>
    </row>
    <row r="12860">
      <c r="C12860" s="1"/>
    </row>
    <row r="12861">
      <c r="C12861" s="1"/>
    </row>
    <row r="12862">
      <c r="C12862" s="1"/>
    </row>
    <row r="12863">
      <c r="C12863" s="1"/>
    </row>
    <row r="12864">
      <c r="C12864" s="1"/>
    </row>
    <row r="12865">
      <c r="C12865" s="1"/>
    </row>
    <row r="12866">
      <c r="C12866" s="1"/>
    </row>
    <row r="12867">
      <c r="C12867" s="1"/>
    </row>
    <row r="12868">
      <c r="C12868" s="1"/>
    </row>
    <row r="12869">
      <c r="C12869" s="1"/>
    </row>
    <row r="12870">
      <c r="C12870" s="1"/>
    </row>
    <row r="12871">
      <c r="C12871" s="1"/>
    </row>
    <row r="12872">
      <c r="C12872" s="1"/>
    </row>
    <row r="12873">
      <c r="C12873" s="1"/>
    </row>
    <row r="12874">
      <c r="C12874" s="1"/>
    </row>
    <row r="12875">
      <c r="C12875" s="1"/>
    </row>
    <row r="12876">
      <c r="C12876" s="1"/>
    </row>
    <row r="12877">
      <c r="C12877" s="1"/>
    </row>
    <row r="12878">
      <c r="C12878" s="1"/>
    </row>
    <row r="12879">
      <c r="C12879" s="1"/>
    </row>
    <row r="12880">
      <c r="C12880" s="1"/>
    </row>
    <row r="12881">
      <c r="C12881" s="1"/>
    </row>
    <row r="12882">
      <c r="C12882" s="1"/>
    </row>
    <row r="12883">
      <c r="C12883" s="1"/>
    </row>
    <row r="12884">
      <c r="C12884" s="1"/>
    </row>
    <row r="12885">
      <c r="C12885" s="1"/>
    </row>
    <row r="12886">
      <c r="C12886" s="1"/>
    </row>
    <row r="12887">
      <c r="C12887" s="1"/>
    </row>
    <row r="12888">
      <c r="C12888" s="1"/>
    </row>
    <row r="12889">
      <c r="C12889" s="1"/>
    </row>
    <row r="12890">
      <c r="C12890" s="1"/>
    </row>
    <row r="12891">
      <c r="C12891" s="1"/>
    </row>
    <row r="12892">
      <c r="C12892" s="1"/>
    </row>
    <row r="12893">
      <c r="C12893" s="1"/>
    </row>
    <row r="12894">
      <c r="C12894" s="1"/>
    </row>
    <row r="12895">
      <c r="C12895" s="1"/>
    </row>
    <row r="12896">
      <c r="C12896" s="1"/>
    </row>
    <row r="12897">
      <c r="C12897" s="1"/>
    </row>
    <row r="12898">
      <c r="C12898" s="1"/>
    </row>
    <row r="12899">
      <c r="C12899" s="1"/>
    </row>
    <row r="12900">
      <c r="C12900" s="1"/>
    </row>
    <row r="12901">
      <c r="C12901" s="1"/>
    </row>
    <row r="12902">
      <c r="C12902" s="1"/>
    </row>
    <row r="12903">
      <c r="C12903" s="1"/>
    </row>
    <row r="12904">
      <c r="C12904" s="1"/>
    </row>
    <row r="12905">
      <c r="C12905" s="1"/>
    </row>
    <row r="12906">
      <c r="C12906" s="1"/>
    </row>
    <row r="12907">
      <c r="C12907" s="1"/>
    </row>
    <row r="12908">
      <c r="C12908" s="1"/>
    </row>
    <row r="12909">
      <c r="C12909" s="1"/>
    </row>
    <row r="12910">
      <c r="C12910" s="1"/>
    </row>
    <row r="12911">
      <c r="C12911" s="1"/>
    </row>
    <row r="12912">
      <c r="C12912" s="1"/>
    </row>
    <row r="12913">
      <c r="C12913" s="1"/>
    </row>
    <row r="12914">
      <c r="C12914" s="1"/>
    </row>
    <row r="12915">
      <c r="C12915" s="1"/>
    </row>
    <row r="12916">
      <c r="C12916" s="1"/>
    </row>
    <row r="12917">
      <c r="C12917" s="1"/>
    </row>
    <row r="12918">
      <c r="C12918" s="1"/>
    </row>
    <row r="12919">
      <c r="C12919" s="1"/>
    </row>
    <row r="12920">
      <c r="C12920" s="1"/>
    </row>
    <row r="12921">
      <c r="C12921" s="1"/>
    </row>
    <row r="12922">
      <c r="C12922" s="1"/>
    </row>
    <row r="12923">
      <c r="C12923" s="1"/>
    </row>
    <row r="12924">
      <c r="C12924" s="1"/>
    </row>
    <row r="12925">
      <c r="C12925" s="1"/>
    </row>
    <row r="12926">
      <c r="C12926" s="1"/>
    </row>
    <row r="12927">
      <c r="C12927" s="1"/>
    </row>
    <row r="12928">
      <c r="C12928" s="1"/>
    </row>
    <row r="12929">
      <c r="C12929" s="1"/>
    </row>
    <row r="12930">
      <c r="C12930" s="1"/>
    </row>
    <row r="12931">
      <c r="C12931" s="1"/>
    </row>
    <row r="12932">
      <c r="C12932" s="1"/>
    </row>
    <row r="12933">
      <c r="C12933" s="1"/>
    </row>
    <row r="12934">
      <c r="C12934" s="1"/>
    </row>
    <row r="12935">
      <c r="C12935" s="1"/>
    </row>
    <row r="12936">
      <c r="C12936" s="1"/>
    </row>
    <row r="12937">
      <c r="C12937" s="1"/>
    </row>
    <row r="12938">
      <c r="C12938" s="1"/>
    </row>
    <row r="12939">
      <c r="C12939" s="1"/>
    </row>
    <row r="12940">
      <c r="C12940" s="1"/>
    </row>
    <row r="12941">
      <c r="C12941" s="1"/>
    </row>
    <row r="12942">
      <c r="C12942" s="1"/>
    </row>
    <row r="12943">
      <c r="C12943" s="1"/>
    </row>
    <row r="12944">
      <c r="C12944" s="1"/>
    </row>
    <row r="12945">
      <c r="C12945" s="1"/>
    </row>
    <row r="12946">
      <c r="C12946" s="1"/>
    </row>
    <row r="12947">
      <c r="C12947" s="1"/>
    </row>
    <row r="12948">
      <c r="C12948" s="1"/>
    </row>
    <row r="12949">
      <c r="C12949" s="1"/>
    </row>
    <row r="12950">
      <c r="C12950" s="1"/>
    </row>
    <row r="12951">
      <c r="C12951" s="1"/>
    </row>
    <row r="12952">
      <c r="C12952" s="1"/>
    </row>
    <row r="12953">
      <c r="C12953" s="1"/>
    </row>
    <row r="12954">
      <c r="C12954" s="1"/>
    </row>
    <row r="12955">
      <c r="C12955" s="1"/>
    </row>
    <row r="12956">
      <c r="C12956" s="1"/>
    </row>
    <row r="12957">
      <c r="C12957" s="1"/>
    </row>
    <row r="12958">
      <c r="C12958" s="1"/>
    </row>
    <row r="12959">
      <c r="C12959" s="1"/>
    </row>
    <row r="12960">
      <c r="C12960" s="1"/>
    </row>
    <row r="12961">
      <c r="C12961" s="1"/>
    </row>
    <row r="12962">
      <c r="C12962" s="1"/>
    </row>
    <row r="12963">
      <c r="C12963" s="1"/>
    </row>
    <row r="12964">
      <c r="C12964" s="1"/>
    </row>
    <row r="12965">
      <c r="C12965" s="1"/>
    </row>
    <row r="12966">
      <c r="C12966" s="1"/>
    </row>
    <row r="12967">
      <c r="C12967" s="1"/>
    </row>
    <row r="12968">
      <c r="C12968" s="1"/>
    </row>
    <row r="12969">
      <c r="C12969" s="1"/>
    </row>
    <row r="12970">
      <c r="C12970" s="1"/>
    </row>
    <row r="12971">
      <c r="C12971" s="1"/>
    </row>
    <row r="12972">
      <c r="C12972" s="1"/>
    </row>
    <row r="12973">
      <c r="C12973" s="1"/>
    </row>
    <row r="12974">
      <c r="C12974" s="1"/>
    </row>
    <row r="12975">
      <c r="C12975" s="1"/>
    </row>
    <row r="12976">
      <c r="C12976" s="1"/>
    </row>
    <row r="12977">
      <c r="C12977" s="1"/>
    </row>
    <row r="12978">
      <c r="C12978" s="1"/>
    </row>
    <row r="12979">
      <c r="C12979" s="1"/>
    </row>
    <row r="12980">
      <c r="C12980" s="1"/>
    </row>
    <row r="12981">
      <c r="C12981" s="1"/>
    </row>
    <row r="12982">
      <c r="C12982" s="1"/>
    </row>
    <row r="12983">
      <c r="C12983" s="1"/>
    </row>
    <row r="12984">
      <c r="C12984" s="1"/>
    </row>
    <row r="12985">
      <c r="C12985" s="1"/>
    </row>
    <row r="12986">
      <c r="C12986" s="1"/>
    </row>
    <row r="12987">
      <c r="C12987" s="1"/>
    </row>
    <row r="12988">
      <c r="C12988" s="1"/>
    </row>
    <row r="12989">
      <c r="C12989" s="1"/>
    </row>
    <row r="12990">
      <c r="C12990" s="1"/>
    </row>
    <row r="12991">
      <c r="C12991" s="1"/>
    </row>
    <row r="12992">
      <c r="C12992" s="1"/>
    </row>
    <row r="12993">
      <c r="C12993" s="1"/>
    </row>
    <row r="12994">
      <c r="C12994" s="1"/>
    </row>
    <row r="12995">
      <c r="C12995" s="1"/>
    </row>
    <row r="12996">
      <c r="C12996" s="1"/>
    </row>
    <row r="12997">
      <c r="C12997" s="1"/>
    </row>
    <row r="12998">
      <c r="C12998" s="1"/>
    </row>
    <row r="12999">
      <c r="C12999" s="1"/>
    </row>
    <row r="13000">
      <c r="C13000" s="1"/>
    </row>
    <row r="13001">
      <c r="C13001" s="1"/>
    </row>
    <row r="13002">
      <c r="C13002" s="1"/>
    </row>
    <row r="13003">
      <c r="C13003" s="1"/>
    </row>
    <row r="13004">
      <c r="C13004" s="1"/>
    </row>
    <row r="13005">
      <c r="C13005" s="1"/>
    </row>
    <row r="13006">
      <c r="C13006" s="1"/>
    </row>
    <row r="13007">
      <c r="C13007" s="1"/>
    </row>
    <row r="13008">
      <c r="C13008" s="1"/>
    </row>
    <row r="13009">
      <c r="C13009" s="1"/>
    </row>
    <row r="13010">
      <c r="C13010" s="1"/>
    </row>
    <row r="13011">
      <c r="C13011" s="1"/>
    </row>
    <row r="13012">
      <c r="C13012" s="1"/>
    </row>
    <row r="13013">
      <c r="C13013" s="1"/>
    </row>
    <row r="13014">
      <c r="C13014" s="1"/>
    </row>
    <row r="13015">
      <c r="C13015" s="1"/>
    </row>
    <row r="13016">
      <c r="C13016" s="1"/>
    </row>
    <row r="13017">
      <c r="C13017" s="1"/>
    </row>
    <row r="13018">
      <c r="C13018" s="1"/>
    </row>
    <row r="13019">
      <c r="C13019" s="1"/>
    </row>
    <row r="13020">
      <c r="C13020" s="1"/>
    </row>
    <row r="13021">
      <c r="C13021" s="1"/>
    </row>
    <row r="13022">
      <c r="C13022" s="1"/>
    </row>
    <row r="13023">
      <c r="C13023" s="1"/>
    </row>
    <row r="13024">
      <c r="C13024" s="1"/>
    </row>
    <row r="13025">
      <c r="C13025" s="1"/>
    </row>
    <row r="13026">
      <c r="C13026" s="1"/>
    </row>
    <row r="13027">
      <c r="C13027" s="1"/>
    </row>
    <row r="13028">
      <c r="C13028" s="1"/>
    </row>
    <row r="13029">
      <c r="C13029" s="1"/>
    </row>
    <row r="13030">
      <c r="C13030" s="1"/>
    </row>
    <row r="13031">
      <c r="C13031" s="1"/>
    </row>
    <row r="13032">
      <c r="C13032" s="1"/>
    </row>
    <row r="13033">
      <c r="C13033" s="1"/>
    </row>
    <row r="13034">
      <c r="C13034" s="1"/>
    </row>
    <row r="13035">
      <c r="C13035" s="1"/>
    </row>
    <row r="13036">
      <c r="C13036" s="1"/>
    </row>
    <row r="13037">
      <c r="C13037" s="1"/>
    </row>
    <row r="13038">
      <c r="C13038" s="1"/>
    </row>
    <row r="13039">
      <c r="C13039" s="1"/>
    </row>
    <row r="13040">
      <c r="C13040" s="1"/>
    </row>
    <row r="13041">
      <c r="C13041" s="1"/>
    </row>
    <row r="13042">
      <c r="C13042" s="1"/>
    </row>
    <row r="13043">
      <c r="C13043" s="1"/>
    </row>
    <row r="13044">
      <c r="C13044" s="1"/>
    </row>
    <row r="13045">
      <c r="C13045" s="1"/>
    </row>
    <row r="13046">
      <c r="C13046" s="1"/>
    </row>
    <row r="13047">
      <c r="C13047" s="1"/>
    </row>
    <row r="13048">
      <c r="C13048" s="1"/>
    </row>
    <row r="13049">
      <c r="C13049" s="1"/>
    </row>
    <row r="13050">
      <c r="C13050" s="1"/>
    </row>
    <row r="13051">
      <c r="C13051" s="1"/>
    </row>
    <row r="13052">
      <c r="C13052" s="1"/>
    </row>
    <row r="13053">
      <c r="C13053" s="1"/>
    </row>
    <row r="13054">
      <c r="C13054" s="1"/>
    </row>
    <row r="13055">
      <c r="C13055" s="1"/>
    </row>
    <row r="13056">
      <c r="C13056" s="1"/>
    </row>
    <row r="13057">
      <c r="C13057" s="1"/>
    </row>
    <row r="13058">
      <c r="C13058" s="1"/>
    </row>
    <row r="13059">
      <c r="C13059" s="1"/>
    </row>
    <row r="13060">
      <c r="C13060" s="1"/>
    </row>
    <row r="13061">
      <c r="C13061" s="1"/>
    </row>
    <row r="13062">
      <c r="C13062" s="1"/>
    </row>
    <row r="13063">
      <c r="C13063" s="1"/>
    </row>
    <row r="13064">
      <c r="C13064" s="1"/>
    </row>
    <row r="13065">
      <c r="C13065" s="1"/>
    </row>
    <row r="13066">
      <c r="C13066" s="1"/>
    </row>
    <row r="13067">
      <c r="C13067" s="1"/>
    </row>
    <row r="13068">
      <c r="C13068" s="1"/>
    </row>
    <row r="13069">
      <c r="C13069" s="1"/>
    </row>
    <row r="13070">
      <c r="C13070" s="1"/>
    </row>
    <row r="13071">
      <c r="C13071" s="1"/>
    </row>
    <row r="13072">
      <c r="C13072" s="1"/>
    </row>
    <row r="13073">
      <c r="C13073" s="1"/>
    </row>
    <row r="13074">
      <c r="C13074" s="1"/>
    </row>
    <row r="13075">
      <c r="C13075" s="1"/>
    </row>
    <row r="13076">
      <c r="C13076" s="1"/>
    </row>
    <row r="13077">
      <c r="C13077" s="1"/>
    </row>
    <row r="13078">
      <c r="C13078" s="1"/>
    </row>
    <row r="13079">
      <c r="C13079" s="1"/>
    </row>
    <row r="13080">
      <c r="C13080" s="1"/>
    </row>
    <row r="13081">
      <c r="C13081" s="1"/>
    </row>
    <row r="13082">
      <c r="C13082" s="1"/>
    </row>
    <row r="13083">
      <c r="C13083" s="1"/>
    </row>
    <row r="13084">
      <c r="C13084" s="1"/>
    </row>
    <row r="13085">
      <c r="C13085" s="1"/>
    </row>
    <row r="13086">
      <c r="C13086" s="1"/>
    </row>
    <row r="13087">
      <c r="C13087" s="1"/>
    </row>
    <row r="13088">
      <c r="C13088" s="1"/>
    </row>
    <row r="13089">
      <c r="C13089" s="1"/>
    </row>
    <row r="13090">
      <c r="C13090" s="1"/>
    </row>
    <row r="13091">
      <c r="C13091" s="1"/>
    </row>
    <row r="13092">
      <c r="C13092" s="1"/>
    </row>
    <row r="13093">
      <c r="C13093" s="1"/>
    </row>
    <row r="13094">
      <c r="C13094" s="1"/>
    </row>
    <row r="13095">
      <c r="C13095" s="1"/>
    </row>
    <row r="13096">
      <c r="C13096" s="1"/>
    </row>
    <row r="13097">
      <c r="C13097" s="1"/>
    </row>
    <row r="13098">
      <c r="C13098" s="1"/>
    </row>
    <row r="13099">
      <c r="C13099" s="1"/>
    </row>
    <row r="13100">
      <c r="C13100" s="1"/>
    </row>
    <row r="13101">
      <c r="C13101" s="1"/>
    </row>
    <row r="13102">
      <c r="C13102" s="1"/>
    </row>
    <row r="13103">
      <c r="C13103" s="1"/>
    </row>
    <row r="13104">
      <c r="C13104" s="1"/>
    </row>
    <row r="13105">
      <c r="C13105" s="1"/>
    </row>
    <row r="13106">
      <c r="C13106" s="1"/>
    </row>
    <row r="13107">
      <c r="C13107" s="1"/>
    </row>
    <row r="13108">
      <c r="C13108" s="1"/>
    </row>
    <row r="13109">
      <c r="C13109" s="1"/>
    </row>
    <row r="13110">
      <c r="C13110" s="1"/>
    </row>
    <row r="13111">
      <c r="C13111" s="1"/>
    </row>
    <row r="13112">
      <c r="C13112" s="1"/>
    </row>
    <row r="13113">
      <c r="C13113" s="1"/>
    </row>
    <row r="13114">
      <c r="C13114" s="1"/>
    </row>
    <row r="13115">
      <c r="C13115" s="1"/>
    </row>
    <row r="13116">
      <c r="C13116" s="1"/>
    </row>
    <row r="13117">
      <c r="C13117" s="1"/>
    </row>
    <row r="13118">
      <c r="C13118" s="1"/>
    </row>
    <row r="13119">
      <c r="C13119" s="1"/>
    </row>
    <row r="13120">
      <c r="C13120" s="1"/>
    </row>
    <row r="13121">
      <c r="C13121" s="1"/>
    </row>
    <row r="13122">
      <c r="C13122" s="1"/>
    </row>
    <row r="13123">
      <c r="C13123" s="1"/>
    </row>
    <row r="13124">
      <c r="C13124" s="1"/>
    </row>
    <row r="13125">
      <c r="C13125" s="1"/>
    </row>
    <row r="13126">
      <c r="C13126" s="1"/>
    </row>
    <row r="13127">
      <c r="C13127" s="1"/>
    </row>
    <row r="13128">
      <c r="C13128" s="1"/>
    </row>
    <row r="13129">
      <c r="C13129" s="1"/>
    </row>
    <row r="13130">
      <c r="C13130" s="1"/>
    </row>
    <row r="13131">
      <c r="C13131" s="1"/>
    </row>
    <row r="13132">
      <c r="C13132" s="1"/>
    </row>
    <row r="13133">
      <c r="C13133" s="1"/>
    </row>
    <row r="13134">
      <c r="C13134" s="1"/>
    </row>
    <row r="13135">
      <c r="C13135" s="1"/>
    </row>
    <row r="13136">
      <c r="C13136" s="1"/>
    </row>
    <row r="13137">
      <c r="C13137" s="1"/>
    </row>
    <row r="13138">
      <c r="C13138" s="1"/>
    </row>
    <row r="13139">
      <c r="C13139" s="1"/>
    </row>
    <row r="13140">
      <c r="C13140" s="1"/>
    </row>
    <row r="13141">
      <c r="C13141" s="1"/>
    </row>
    <row r="13142">
      <c r="C13142" s="1"/>
    </row>
    <row r="13143">
      <c r="C13143" s="1"/>
    </row>
    <row r="13144">
      <c r="C13144" s="1"/>
    </row>
    <row r="13145">
      <c r="C13145" s="1"/>
    </row>
    <row r="13146">
      <c r="C13146" s="1"/>
    </row>
    <row r="13147">
      <c r="C13147" s="1"/>
    </row>
    <row r="13148">
      <c r="C13148" s="1"/>
    </row>
    <row r="13149">
      <c r="C13149" s="1"/>
    </row>
    <row r="13150">
      <c r="C13150" s="1"/>
    </row>
    <row r="13151">
      <c r="C13151" s="1"/>
    </row>
    <row r="13152">
      <c r="C13152" s="1"/>
    </row>
    <row r="13153">
      <c r="C13153" s="1"/>
    </row>
    <row r="13154">
      <c r="C13154" s="1"/>
    </row>
    <row r="13155">
      <c r="C13155" s="1"/>
    </row>
    <row r="13156">
      <c r="C13156" s="1"/>
    </row>
    <row r="13157">
      <c r="C13157" s="1"/>
    </row>
    <row r="13158">
      <c r="C13158" s="1"/>
    </row>
    <row r="13159">
      <c r="C13159" s="1"/>
    </row>
    <row r="13160">
      <c r="C13160" s="1"/>
    </row>
    <row r="13161">
      <c r="C13161" s="1"/>
    </row>
    <row r="13162">
      <c r="C13162" s="1"/>
    </row>
    <row r="13163">
      <c r="C13163" s="1"/>
    </row>
    <row r="13164">
      <c r="C13164" s="1"/>
    </row>
    <row r="13165">
      <c r="C13165" s="1"/>
    </row>
    <row r="13166">
      <c r="C13166" s="1"/>
    </row>
    <row r="13167">
      <c r="C13167" s="1"/>
    </row>
    <row r="13168">
      <c r="C13168" s="1"/>
    </row>
    <row r="13169">
      <c r="C13169" s="1"/>
    </row>
    <row r="13170">
      <c r="C13170" s="1"/>
    </row>
    <row r="13171">
      <c r="C13171" s="1"/>
    </row>
    <row r="13172">
      <c r="C13172" s="1"/>
    </row>
    <row r="13173">
      <c r="C13173" s="1"/>
    </row>
    <row r="13174">
      <c r="C13174" s="1"/>
    </row>
    <row r="13175">
      <c r="C13175" s="1"/>
    </row>
    <row r="13176">
      <c r="C13176" s="1"/>
    </row>
    <row r="13177">
      <c r="C13177" s="1"/>
    </row>
    <row r="13178">
      <c r="C13178" s="1"/>
    </row>
    <row r="13179">
      <c r="C13179" s="1"/>
    </row>
    <row r="13180">
      <c r="C13180" s="1"/>
    </row>
    <row r="13181">
      <c r="C13181" s="1"/>
    </row>
    <row r="13182">
      <c r="C13182" s="1"/>
    </row>
    <row r="13183">
      <c r="C13183" s="1"/>
    </row>
    <row r="13184">
      <c r="C13184" s="1"/>
    </row>
    <row r="13185">
      <c r="C13185" s="1"/>
    </row>
    <row r="13186">
      <c r="C13186" s="1"/>
    </row>
    <row r="13187">
      <c r="C13187" s="1"/>
    </row>
    <row r="13188">
      <c r="C13188" s="1"/>
    </row>
    <row r="13189">
      <c r="C13189" s="1"/>
    </row>
    <row r="13190">
      <c r="C13190" s="1"/>
    </row>
    <row r="13191">
      <c r="C13191" s="1"/>
    </row>
    <row r="13192">
      <c r="C13192" s="1"/>
    </row>
    <row r="13193">
      <c r="C13193" s="1"/>
    </row>
    <row r="13194">
      <c r="C13194" s="1"/>
    </row>
    <row r="13195">
      <c r="C13195" s="1"/>
    </row>
    <row r="13196">
      <c r="C13196" s="1"/>
    </row>
    <row r="13197">
      <c r="C13197" s="1"/>
    </row>
    <row r="13198">
      <c r="C13198" s="1"/>
    </row>
    <row r="13199">
      <c r="C13199" s="1"/>
    </row>
    <row r="13200">
      <c r="C13200" s="1"/>
    </row>
    <row r="13201">
      <c r="C13201" s="1"/>
    </row>
    <row r="13202">
      <c r="C13202" s="1"/>
    </row>
    <row r="13203">
      <c r="C13203" s="1"/>
    </row>
    <row r="13204">
      <c r="C13204" s="1"/>
    </row>
    <row r="13205">
      <c r="C13205" s="1"/>
    </row>
    <row r="13206">
      <c r="C13206" s="1"/>
    </row>
    <row r="13207">
      <c r="C13207" s="1"/>
    </row>
    <row r="13208">
      <c r="C13208" s="1"/>
    </row>
    <row r="13209">
      <c r="C13209" s="1"/>
    </row>
    <row r="13210">
      <c r="C13210" s="1"/>
    </row>
    <row r="13211">
      <c r="C13211" s="1"/>
    </row>
    <row r="13212">
      <c r="C13212" s="1"/>
    </row>
    <row r="13213">
      <c r="C13213" s="1"/>
    </row>
    <row r="13214">
      <c r="C13214" s="1"/>
    </row>
    <row r="13215">
      <c r="C13215" s="1"/>
    </row>
    <row r="13216">
      <c r="C13216" s="1"/>
    </row>
    <row r="13217">
      <c r="C13217" s="1"/>
    </row>
    <row r="13218">
      <c r="C13218" s="1"/>
    </row>
    <row r="13219">
      <c r="C13219" s="1"/>
    </row>
    <row r="13220">
      <c r="C13220" s="1"/>
    </row>
    <row r="13221">
      <c r="C13221" s="1"/>
    </row>
    <row r="13222">
      <c r="C13222" s="1"/>
    </row>
    <row r="13223">
      <c r="C13223" s="1"/>
    </row>
    <row r="13224">
      <c r="C13224" s="1"/>
    </row>
    <row r="13225">
      <c r="C13225" s="1"/>
    </row>
    <row r="13226">
      <c r="C13226" s="1"/>
    </row>
    <row r="13227">
      <c r="C13227" s="1"/>
    </row>
    <row r="13228">
      <c r="C13228" s="1"/>
    </row>
    <row r="13229">
      <c r="C13229" s="1"/>
    </row>
    <row r="13230">
      <c r="C13230" s="1"/>
    </row>
    <row r="13231">
      <c r="C13231" s="1"/>
    </row>
    <row r="13232">
      <c r="C13232" s="1"/>
    </row>
    <row r="13233">
      <c r="C13233" s="1"/>
    </row>
    <row r="13234">
      <c r="C13234" s="1"/>
    </row>
    <row r="13235">
      <c r="C13235" s="1"/>
    </row>
    <row r="13236">
      <c r="C13236" s="1"/>
    </row>
    <row r="13237">
      <c r="C13237" s="1"/>
    </row>
    <row r="13238">
      <c r="C13238" s="1"/>
    </row>
    <row r="13239">
      <c r="C13239" s="1"/>
    </row>
    <row r="13240">
      <c r="C13240" s="1"/>
    </row>
    <row r="13241">
      <c r="C13241" s="1"/>
    </row>
    <row r="13242">
      <c r="C13242" s="1"/>
    </row>
    <row r="13243">
      <c r="C13243" s="1"/>
    </row>
    <row r="13244">
      <c r="C13244" s="1"/>
    </row>
    <row r="13245">
      <c r="C13245" s="1"/>
    </row>
    <row r="13246">
      <c r="C13246" s="1"/>
    </row>
    <row r="13247">
      <c r="C13247" s="1"/>
    </row>
    <row r="13248">
      <c r="C13248" s="1"/>
    </row>
    <row r="13249">
      <c r="C13249" s="1"/>
    </row>
    <row r="13250">
      <c r="C13250" s="1"/>
    </row>
    <row r="13251">
      <c r="C13251" s="1"/>
    </row>
    <row r="13252">
      <c r="C13252" s="1"/>
    </row>
    <row r="13253">
      <c r="C13253" s="1"/>
    </row>
    <row r="13254">
      <c r="C13254" s="1"/>
    </row>
    <row r="13255">
      <c r="C13255" s="1"/>
    </row>
    <row r="13256">
      <c r="C13256" s="1"/>
    </row>
    <row r="13257">
      <c r="C13257" s="1"/>
    </row>
    <row r="13258">
      <c r="C13258" s="1"/>
    </row>
    <row r="13259">
      <c r="C13259" s="1"/>
    </row>
    <row r="13260">
      <c r="C13260" s="1"/>
    </row>
    <row r="13261">
      <c r="C13261" s="1"/>
    </row>
    <row r="13262">
      <c r="C13262" s="1"/>
    </row>
    <row r="13263">
      <c r="C13263" s="1"/>
    </row>
    <row r="13264">
      <c r="C13264" s="1"/>
    </row>
    <row r="13265">
      <c r="C13265" s="1"/>
    </row>
    <row r="13266">
      <c r="C13266" s="1"/>
    </row>
    <row r="13267">
      <c r="C13267" s="1"/>
    </row>
    <row r="13268">
      <c r="C13268" s="1"/>
    </row>
    <row r="13269">
      <c r="C13269" s="1"/>
    </row>
    <row r="13270">
      <c r="C13270" s="1"/>
    </row>
    <row r="13271">
      <c r="C13271" s="1"/>
    </row>
    <row r="13272">
      <c r="C13272" s="1"/>
    </row>
    <row r="13273">
      <c r="C13273" s="1"/>
    </row>
    <row r="13274">
      <c r="C13274" s="1"/>
    </row>
    <row r="13275">
      <c r="C13275" s="1"/>
    </row>
    <row r="13276">
      <c r="C13276" s="1"/>
    </row>
    <row r="13277">
      <c r="C13277" s="1"/>
    </row>
    <row r="13278">
      <c r="C13278" s="1"/>
    </row>
    <row r="13279">
      <c r="C13279" s="1"/>
    </row>
    <row r="13280">
      <c r="C13280" s="1"/>
    </row>
    <row r="13281">
      <c r="C13281" s="1"/>
    </row>
    <row r="13282">
      <c r="C13282" s="1"/>
    </row>
    <row r="13283">
      <c r="C13283" s="1"/>
    </row>
    <row r="13284">
      <c r="C13284" s="1"/>
    </row>
    <row r="13285">
      <c r="C13285" s="1"/>
    </row>
    <row r="13286">
      <c r="C13286" s="1"/>
    </row>
    <row r="13287">
      <c r="C13287" s="1"/>
    </row>
    <row r="13288">
      <c r="C13288" s="1"/>
    </row>
    <row r="13289">
      <c r="C13289" s="1"/>
    </row>
    <row r="13290">
      <c r="C13290" s="1"/>
    </row>
    <row r="13291">
      <c r="C13291" s="1"/>
    </row>
    <row r="13292">
      <c r="C13292" s="1"/>
    </row>
    <row r="13293">
      <c r="C13293" s="1"/>
    </row>
    <row r="13294">
      <c r="C13294" s="1"/>
    </row>
    <row r="13295">
      <c r="C13295" s="1"/>
    </row>
    <row r="13296">
      <c r="C13296" s="1"/>
    </row>
    <row r="13297">
      <c r="C13297" s="1"/>
    </row>
    <row r="13298">
      <c r="C13298" s="1"/>
    </row>
    <row r="13299">
      <c r="C13299" s="1"/>
    </row>
    <row r="13300">
      <c r="C13300" s="1"/>
    </row>
    <row r="13301">
      <c r="C13301" s="1"/>
    </row>
    <row r="13302">
      <c r="C13302" s="1"/>
    </row>
    <row r="13303">
      <c r="C13303" s="1"/>
    </row>
    <row r="13304">
      <c r="C13304" s="1"/>
    </row>
    <row r="13305">
      <c r="C13305" s="1"/>
    </row>
    <row r="13306">
      <c r="C13306" s="1"/>
    </row>
    <row r="13307">
      <c r="C13307" s="1"/>
    </row>
    <row r="13308">
      <c r="C13308" s="1"/>
    </row>
    <row r="13309">
      <c r="C13309" s="1"/>
    </row>
    <row r="13310">
      <c r="C13310" s="1"/>
    </row>
    <row r="13311">
      <c r="C13311" s="1"/>
    </row>
    <row r="13312">
      <c r="C13312" s="1"/>
    </row>
    <row r="13313">
      <c r="C13313" s="1"/>
    </row>
    <row r="13314">
      <c r="C13314" s="1"/>
    </row>
    <row r="13315">
      <c r="C13315" s="1"/>
    </row>
    <row r="13316">
      <c r="C13316" s="1"/>
    </row>
    <row r="13317">
      <c r="C13317" s="1"/>
    </row>
    <row r="13318">
      <c r="C13318" s="1"/>
    </row>
    <row r="13319">
      <c r="C13319" s="1"/>
    </row>
    <row r="13320">
      <c r="C13320" s="1"/>
    </row>
    <row r="13321">
      <c r="C13321" s="1"/>
    </row>
    <row r="13322">
      <c r="C13322" s="1"/>
    </row>
    <row r="13323">
      <c r="C13323" s="1"/>
    </row>
    <row r="13324">
      <c r="C13324" s="1"/>
    </row>
    <row r="13325">
      <c r="C13325" s="1"/>
    </row>
    <row r="13326">
      <c r="C13326" s="1"/>
    </row>
    <row r="13327">
      <c r="C13327" s="1"/>
    </row>
    <row r="13328">
      <c r="C13328" s="1"/>
    </row>
    <row r="13329">
      <c r="C13329" s="1"/>
    </row>
    <row r="13330">
      <c r="C13330" s="1"/>
    </row>
    <row r="13331">
      <c r="C13331" s="1"/>
    </row>
    <row r="13332">
      <c r="C13332" s="1"/>
    </row>
    <row r="13333">
      <c r="C13333" s="1"/>
    </row>
    <row r="13334">
      <c r="C13334" s="1"/>
    </row>
    <row r="13335">
      <c r="C13335" s="1"/>
    </row>
    <row r="13336">
      <c r="C13336" s="1"/>
    </row>
    <row r="13337">
      <c r="C13337" s="1"/>
    </row>
    <row r="13338">
      <c r="C13338" s="1"/>
    </row>
    <row r="13339">
      <c r="C13339" s="1"/>
    </row>
    <row r="13340">
      <c r="C13340" s="1"/>
    </row>
    <row r="13341">
      <c r="C13341" s="1"/>
    </row>
    <row r="13342">
      <c r="C13342" s="1"/>
    </row>
    <row r="13343">
      <c r="C13343" s="1"/>
    </row>
    <row r="13344">
      <c r="C13344" s="1"/>
    </row>
    <row r="13345">
      <c r="C13345" s="1"/>
    </row>
    <row r="13346">
      <c r="C13346" s="1"/>
    </row>
    <row r="13347">
      <c r="C13347" s="1"/>
    </row>
    <row r="13348">
      <c r="C13348" s="1"/>
    </row>
    <row r="13349">
      <c r="C13349" s="1"/>
    </row>
    <row r="13350">
      <c r="C13350" s="1"/>
    </row>
    <row r="13351">
      <c r="C13351" s="1"/>
    </row>
    <row r="13352">
      <c r="C13352" s="1"/>
    </row>
    <row r="13353">
      <c r="C13353" s="1"/>
    </row>
    <row r="13354">
      <c r="C13354" s="1"/>
    </row>
    <row r="13355">
      <c r="C13355" s="1"/>
    </row>
    <row r="13356">
      <c r="C13356" s="1"/>
    </row>
    <row r="13357">
      <c r="C13357" s="1"/>
    </row>
    <row r="13358">
      <c r="C13358" s="1"/>
    </row>
    <row r="13359">
      <c r="C13359" s="1"/>
    </row>
    <row r="13360">
      <c r="C13360" s="1"/>
    </row>
    <row r="13361">
      <c r="C13361" s="1"/>
    </row>
    <row r="13362">
      <c r="C13362" s="1"/>
    </row>
    <row r="13363">
      <c r="C13363" s="1"/>
    </row>
    <row r="13364">
      <c r="C13364" s="1"/>
    </row>
    <row r="13365">
      <c r="C13365" s="1"/>
    </row>
    <row r="13366">
      <c r="C13366" s="1"/>
    </row>
    <row r="13367">
      <c r="C13367" s="1"/>
    </row>
    <row r="13368">
      <c r="C13368" s="1"/>
    </row>
    <row r="13369">
      <c r="C13369" s="1"/>
    </row>
    <row r="13370">
      <c r="C13370" s="1"/>
    </row>
    <row r="13371">
      <c r="C13371" s="1"/>
    </row>
    <row r="13372">
      <c r="C13372" s="1"/>
    </row>
    <row r="13373">
      <c r="C13373" s="1"/>
    </row>
    <row r="13374">
      <c r="C13374" s="1"/>
    </row>
    <row r="13375">
      <c r="C13375" s="1"/>
    </row>
    <row r="13376">
      <c r="C13376" s="1"/>
    </row>
    <row r="13377">
      <c r="C13377" s="1"/>
    </row>
    <row r="13378">
      <c r="C13378" s="1"/>
    </row>
    <row r="13379">
      <c r="C13379" s="1"/>
    </row>
    <row r="13380">
      <c r="C13380" s="1"/>
    </row>
    <row r="13381">
      <c r="C13381" s="1"/>
    </row>
    <row r="13382">
      <c r="C13382" s="1"/>
    </row>
    <row r="13383">
      <c r="C13383" s="1"/>
    </row>
    <row r="13384">
      <c r="C13384" s="1"/>
    </row>
    <row r="13385">
      <c r="C13385" s="1"/>
    </row>
    <row r="13386">
      <c r="C13386" s="1"/>
    </row>
    <row r="13387">
      <c r="C13387" s="1"/>
    </row>
    <row r="13388">
      <c r="C13388" s="1"/>
    </row>
    <row r="13389">
      <c r="C13389" s="1"/>
    </row>
    <row r="13390">
      <c r="C13390" s="1"/>
    </row>
    <row r="13391">
      <c r="C13391" s="1"/>
    </row>
    <row r="13392">
      <c r="C13392" s="1"/>
    </row>
    <row r="13393">
      <c r="C13393" s="1"/>
    </row>
    <row r="13394">
      <c r="C13394" s="1"/>
    </row>
    <row r="13395">
      <c r="C13395" s="1"/>
    </row>
    <row r="13396">
      <c r="C13396" s="1"/>
    </row>
    <row r="13397">
      <c r="C13397" s="1"/>
    </row>
    <row r="13398">
      <c r="C13398" s="1"/>
    </row>
    <row r="13399">
      <c r="C13399" s="1"/>
    </row>
    <row r="13400">
      <c r="C13400" s="1"/>
    </row>
    <row r="13401">
      <c r="C13401" s="1"/>
    </row>
    <row r="13402">
      <c r="C13402" s="1"/>
    </row>
    <row r="13403">
      <c r="C13403" s="1"/>
    </row>
    <row r="13404">
      <c r="C13404" s="1"/>
    </row>
    <row r="13405">
      <c r="C13405" s="1"/>
    </row>
    <row r="13406">
      <c r="C13406" s="1"/>
    </row>
    <row r="13407">
      <c r="C13407" s="1"/>
    </row>
    <row r="13408">
      <c r="C13408" s="1"/>
    </row>
    <row r="13409">
      <c r="C13409" s="1"/>
    </row>
    <row r="13410">
      <c r="C13410" s="1"/>
    </row>
    <row r="13411">
      <c r="C13411" s="1"/>
    </row>
    <row r="13412">
      <c r="C13412" s="1"/>
    </row>
    <row r="13413">
      <c r="C13413" s="1"/>
    </row>
    <row r="13414">
      <c r="C13414" s="1"/>
    </row>
    <row r="13415">
      <c r="C13415" s="1"/>
    </row>
    <row r="13416">
      <c r="C13416" s="1"/>
    </row>
    <row r="13417">
      <c r="C13417" s="1"/>
    </row>
    <row r="13418">
      <c r="C13418" s="1"/>
    </row>
    <row r="13419">
      <c r="C13419" s="1"/>
    </row>
    <row r="13420">
      <c r="C13420" s="1"/>
    </row>
    <row r="13421">
      <c r="C13421" s="1"/>
    </row>
    <row r="13422">
      <c r="C13422" s="1"/>
    </row>
    <row r="13423">
      <c r="C13423" s="1"/>
    </row>
    <row r="13424">
      <c r="C13424" s="1"/>
    </row>
    <row r="13425">
      <c r="C13425" s="1"/>
    </row>
    <row r="13426">
      <c r="C13426" s="1"/>
    </row>
    <row r="13427">
      <c r="C13427" s="1"/>
    </row>
    <row r="13428">
      <c r="C13428" s="1"/>
    </row>
    <row r="13429">
      <c r="C13429" s="1"/>
    </row>
    <row r="13430">
      <c r="C13430" s="1"/>
    </row>
    <row r="13431">
      <c r="C13431" s="1"/>
    </row>
    <row r="13432">
      <c r="C13432" s="1"/>
    </row>
    <row r="13433">
      <c r="C13433" s="1"/>
    </row>
    <row r="13434">
      <c r="C13434" s="1"/>
    </row>
    <row r="13435">
      <c r="C13435" s="1"/>
    </row>
    <row r="13436">
      <c r="C13436" s="1"/>
    </row>
    <row r="13437">
      <c r="C13437" s="1"/>
    </row>
    <row r="13438">
      <c r="C13438" s="1"/>
    </row>
    <row r="13439">
      <c r="C13439" s="1"/>
    </row>
    <row r="13440">
      <c r="C13440" s="1"/>
    </row>
    <row r="13441">
      <c r="C13441" s="1"/>
    </row>
    <row r="13442">
      <c r="C13442" s="1"/>
    </row>
    <row r="13443">
      <c r="C13443" s="1"/>
    </row>
    <row r="13444">
      <c r="C13444" s="1"/>
    </row>
    <row r="13445">
      <c r="C13445" s="1"/>
    </row>
    <row r="13446">
      <c r="C13446" s="1"/>
    </row>
    <row r="13447">
      <c r="C13447" s="1"/>
    </row>
    <row r="13448">
      <c r="C13448" s="1"/>
    </row>
    <row r="13449">
      <c r="C13449" s="1"/>
    </row>
    <row r="13450">
      <c r="C13450" s="1"/>
    </row>
    <row r="13451">
      <c r="C13451" s="1"/>
    </row>
    <row r="13452">
      <c r="C13452" s="1"/>
    </row>
    <row r="13453">
      <c r="C13453" s="1"/>
    </row>
    <row r="13454">
      <c r="C13454" s="1"/>
    </row>
    <row r="13455">
      <c r="C13455" s="1"/>
    </row>
    <row r="13456">
      <c r="C13456" s="1"/>
    </row>
    <row r="13457">
      <c r="C13457" s="1"/>
    </row>
    <row r="13458">
      <c r="C13458" s="1"/>
    </row>
    <row r="13459">
      <c r="C13459" s="1"/>
    </row>
    <row r="13460">
      <c r="C13460" s="1"/>
    </row>
    <row r="13461">
      <c r="C13461" s="1"/>
    </row>
    <row r="13462">
      <c r="C13462" s="1"/>
    </row>
    <row r="13463">
      <c r="C13463" s="1"/>
    </row>
    <row r="13464">
      <c r="C13464" s="1"/>
    </row>
    <row r="13465">
      <c r="C13465" s="1"/>
    </row>
    <row r="13466">
      <c r="C13466" s="1"/>
    </row>
    <row r="13467">
      <c r="C13467" s="1"/>
    </row>
    <row r="13468">
      <c r="C13468" s="1"/>
    </row>
    <row r="13469">
      <c r="C13469" s="1"/>
    </row>
    <row r="13470">
      <c r="C13470" s="1"/>
    </row>
    <row r="13471">
      <c r="C13471" s="1"/>
    </row>
    <row r="13472">
      <c r="C13472" s="1"/>
    </row>
    <row r="13473">
      <c r="C13473" s="1"/>
    </row>
    <row r="13474">
      <c r="C13474" s="1"/>
    </row>
    <row r="13475">
      <c r="C13475" s="1"/>
    </row>
    <row r="13476">
      <c r="C13476" s="1"/>
    </row>
    <row r="13477">
      <c r="C13477" s="1"/>
    </row>
    <row r="13478">
      <c r="C13478" s="1"/>
    </row>
    <row r="13479">
      <c r="C13479" s="1"/>
    </row>
    <row r="13480">
      <c r="C13480" s="1"/>
    </row>
    <row r="13481">
      <c r="C13481" s="1"/>
    </row>
    <row r="13482">
      <c r="C13482" s="1"/>
    </row>
    <row r="13483">
      <c r="C13483" s="1"/>
    </row>
    <row r="13484">
      <c r="C13484" s="1"/>
    </row>
    <row r="13485">
      <c r="C13485" s="1"/>
    </row>
    <row r="13486">
      <c r="C13486" s="1"/>
    </row>
    <row r="13487">
      <c r="C13487" s="1"/>
    </row>
    <row r="13488">
      <c r="C13488" s="1"/>
    </row>
    <row r="13489">
      <c r="C13489" s="1"/>
    </row>
    <row r="13490">
      <c r="C13490" s="1"/>
    </row>
    <row r="13491">
      <c r="C13491" s="1"/>
    </row>
    <row r="13492">
      <c r="C13492" s="1"/>
    </row>
    <row r="13493">
      <c r="C13493" s="1"/>
    </row>
    <row r="13494">
      <c r="C13494" s="1"/>
    </row>
    <row r="13495">
      <c r="C13495" s="1"/>
    </row>
    <row r="13496">
      <c r="C13496" s="1"/>
    </row>
    <row r="13497">
      <c r="C13497" s="1"/>
    </row>
    <row r="13498">
      <c r="C13498" s="1"/>
    </row>
    <row r="13499">
      <c r="C13499" s="1"/>
    </row>
    <row r="13500">
      <c r="C13500" s="1"/>
    </row>
    <row r="13501">
      <c r="C13501" s="1"/>
    </row>
    <row r="13502">
      <c r="C13502" s="1"/>
    </row>
    <row r="13503">
      <c r="C13503" s="1"/>
    </row>
    <row r="13504">
      <c r="C13504" s="1"/>
    </row>
    <row r="13505">
      <c r="C13505" s="1"/>
    </row>
    <row r="13506">
      <c r="C13506" s="1"/>
    </row>
    <row r="13507">
      <c r="C13507" s="1"/>
    </row>
    <row r="13508">
      <c r="C13508" s="1"/>
    </row>
    <row r="13509">
      <c r="C13509" s="1"/>
    </row>
    <row r="13510">
      <c r="C13510" s="1"/>
    </row>
    <row r="13511">
      <c r="C13511" s="1"/>
    </row>
    <row r="13512">
      <c r="C13512" s="1"/>
    </row>
    <row r="13513">
      <c r="C13513" s="1"/>
    </row>
    <row r="13514">
      <c r="C13514" s="1"/>
    </row>
    <row r="13515">
      <c r="C13515" s="1"/>
    </row>
    <row r="13516">
      <c r="C13516" s="1"/>
    </row>
    <row r="13517">
      <c r="C13517" s="1"/>
    </row>
    <row r="13518">
      <c r="C13518" s="1"/>
    </row>
    <row r="13519">
      <c r="C13519" s="1"/>
    </row>
    <row r="13520">
      <c r="C13520" s="1"/>
    </row>
    <row r="13521">
      <c r="C13521" s="1"/>
    </row>
    <row r="13522">
      <c r="C13522" s="1"/>
    </row>
    <row r="13523">
      <c r="C13523" s="1"/>
    </row>
    <row r="13524">
      <c r="C13524" s="1"/>
    </row>
    <row r="13525">
      <c r="C13525" s="1"/>
    </row>
    <row r="13526">
      <c r="C13526" s="1"/>
    </row>
    <row r="13527">
      <c r="C13527" s="1"/>
    </row>
    <row r="13528">
      <c r="C13528" s="1"/>
    </row>
    <row r="13529">
      <c r="C13529" s="1"/>
    </row>
    <row r="13530">
      <c r="C13530" s="1"/>
    </row>
    <row r="13531">
      <c r="C13531" s="1"/>
    </row>
    <row r="13532">
      <c r="C13532" s="1"/>
    </row>
    <row r="13533">
      <c r="C13533" s="1"/>
    </row>
    <row r="13534">
      <c r="C13534" s="1"/>
    </row>
    <row r="13535">
      <c r="C13535" s="1"/>
    </row>
    <row r="13536">
      <c r="C13536" s="1"/>
    </row>
    <row r="13537">
      <c r="C13537" s="1"/>
    </row>
    <row r="13538">
      <c r="C13538" s="1"/>
    </row>
    <row r="13539">
      <c r="C13539" s="1"/>
    </row>
    <row r="13540">
      <c r="C13540" s="1"/>
    </row>
    <row r="13541">
      <c r="C13541" s="1"/>
    </row>
    <row r="13542">
      <c r="C13542" s="1"/>
    </row>
    <row r="13543">
      <c r="C13543" s="1"/>
    </row>
    <row r="13544">
      <c r="C13544" s="1"/>
    </row>
    <row r="13545">
      <c r="C13545" s="1"/>
    </row>
    <row r="13546">
      <c r="C13546" s="1"/>
    </row>
    <row r="13547">
      <c r="C13547" s="1"/>
    </row>
    <row r="13548">
      <c r="C13548" s="1"/>
    </row>
    <row r="13549">
      <c r="C13549" s="1"/>
    </row>
    <row r="13550">
      <c r="C13550" s="1"/>
    </row>
    <row r="13551">
      <c r="C13551" s="1"/>
    </row>
    <row r="13552">
      <c r="C13552" s="1"/>
    </row>
    <row r="13553">
      <c r="C13553" s="1"/>
    </row>
    <row r="13554">
      <c r="C13554" s="1"/>
    </row>
    <row r="13555">
      <c r="C13555" s="1"/>
    </row>
    <row r="13556">
      <c r="C13556" s="1"/>
    </row>
    <row r="13557">
      <c r="C13557" s="1"/>
    </row>
    <row r="13558">
      <c r="C13558" s="1"/>
    </row>
    <row r="13559">
      <c r="C13559" s="1"/>
    </row>
    <row r="13560">
      <c r="C13560" s="1"/>
    </row>
    <row r="13561">
      <c r="C13561" s="1"/>
    </row>
    <row r="13562">
      <c r="C13562" s="1"/>
    </row>
    <row r="13563">
      <c r="C13563" s="1"/>
    </row>
    <row r="13564">
      <c r="C13564" s="1"/>
    </row>
    <row r="13565">
      <c r="C13565" s="1"/>
    </row>
    <row r="13566">
      <c r="C13566" s="1"/>
    </row>
    <row r="13567">
      <c r="C13567" s="1"/>
    </row>
    <row r="13568">
      <c r="C13568" s="1"/>
    </row>
    <row r="13569">
      <c r="C13569" s="1"/>
    </row>
    <row r="13570">
      <c r="C13570" s="1"/>
    </row>
    <row r="13571">
      <c r="C13571" s="1"/>
    </row>
    <row r="13572">
      <c r="C13572" s="1"/>
    </row>
    <row r="13573">
      <c r="C13573" s="1"/>
    </row>
    <row r="13574">
      <c r="C13574" s="1"/>
    </row>
    <row r="13575">
      <c r="C13575" s="1"/>
    </row>
    <row r="13576">
      <c r="C13576" s="1"/>
    </row>
    <row r="13577">
      <c r="C13577" s="1"/>
    </row>
    <row r="13578">
      <c r="C13578" s="1"/>
    </row>
    <row r="13579">
      <c r="C13579" s="1"/>
    </row>
    <row r="13580">
      <c r="C13580" s="1"/>
    </row>
    <row r="13581">
      <c r="C13581" s="1"/>
    </row>
    <row r="13582">
      <c r="C13582" s="1"/>
    </row>
    <row r="13583">
      <c r="C13583" s="1"/>
    </row>
    <row r="13584">
      <c r="C13584" s="1"/>
    </row>
    <row r="13585">
      <c r="C13585" s="1"/>
    </row>
    <row r="13586">
      <c r="C13586" s="1"/>
    </row>
    <row r="13587">
      <c r="C13587" s="1"/>
    </row>
    <row r="13588">
      <c r="C13588" s="1"/>
    </row>
    <row r="13589">
      <c r="C13589" s="1"/>
    </row>
    <row r="13590">
      <c r="C13590" s="1"/>
    </row>
    <row r="13591">
      <c r="C13591" s="1"/>
    </row>
    <row r="13592">
      <c r="C13592" s="1"/>
    </row>
    <row r="13593">
      <c r="C13593" s="1"/>
    </row>
    <row r="13594">
      <c r="C13594" s="1"/>
    </row>
    <row r="13595">
      <c r="C13595" s="1"/>
    </row>
    <row r="13596">
      <c r="C13596" s="1"/>
    </row>
    <row r="13597">
      <c r="C13597" s="1"/>
    </row>
    <row r="13598">
      <c r="C13598" s="1"/>
    </row>
    <row r="13599">
      <c r="C13599" s="1"/>
    </row>
    <row r="13600">
      <c r="C13600" s="1"/>
    </row>
    <row r="13601">
      <c r="C13601" s="1"/>
    </row>
    <row r="13602">
      <c r="C13602" s="1"/>
    </row>
    <row r="13603">
      <c r="C13603" s="1"/>
    </row>
    <row r="13604">
      <c r="C13604" s="1"/>
    </row>
    <row r="13605">
      <c r="C13605" s="1"/>
    </row>
    <row r="13606">
      <c r="C13606" s="1"/>
    </row>
    <row r="13607">
      <c r="C13607" s="1"/>
    </row>
    <row r="13608">
      <c r="C13608" s="1"/>
    </row>
    <row r="13609">
      <c r="C13609" s="1"/>
    </row>
    <row r="13610">
      <c r="C13610" s="1"/>
    </row>
    <row r="13611">
      <c r="C13611" s="1"/>
    </row>
    <row r="13612">
      <c r="C13612" s="1"/>
    </row>
    <row r="13613">
      <c r="C13613" s="1"/>
    </row>
    <row r="13614">
      <c r="C13614" s="1"/>
    </row>
    <row r="13615">
      <c r="C13615" s="1"/>
    </row>
    <row r="13616">
      <c r="C13616" s="1"/>
    </row>
    <row r="13617">
      <c r="C13617" s="1"/>
    </row>
    <row r="13618">
      <c r="C13618" s="1"/>
    </row>
    <row r="13619">
      <c r="C13619" s="1"/>
    </row>
    <row r="13620">
      <c r="C13620" s="1"/>
    </row>
    <row r="13621">
      <c r="C13621" s="1"/>
    </row>
    <row r="13622">
      <c r="C13622" s="1"/>
    </row>
    <row r="13623">
      <c r="C13623" s="1"/>
    </row>
    <row r="13624">
      <c r="C13624" s="1"/>
    </row>
    <row r="13625">
      <c r="C13625" s="1"/>
    </row>
    <row r="13626">
      <c r="C13626" s="1"/>
    </row>
    <row r="13627">
      <c r="C13627" s="1"/>
    </row>
    <row r="13628">
      <c r="C13628" s="1"/>
    </row>
    <row r="13629">
      <c r="C13629" s="1"/>
    </row>
    <row r="13630">
      <c r="C13630" s="1"/>
    </row>
    <row r="13631">
      <c r="C13631" s="1"/>
    </row>
    <row r="13632">
      <c r="C13632" s="1"/>
    </row>
    <row r="13633">
      <c r="C13633" s="1"/>
    </row>
    <row r="13634">
      <c r="C13634" s="1"/>
    </row>
    <row r="13635">
      <c r="C13635" s="1"/>
    </row>
    <row r="13636">
      <c r="C13636" s="1"/>
    </row>
    <row r="13637">
      <c r="C13637" s="1"/>
    </row>
    <row r="13638">
      <c r="C13638" s="1"/>
    </row>
    <row r="13639">
      <c r="C13639" s="1"/>
    </row>
    <row r="13640">
      <c r="C13640" s="1"/>
    </row>
    <row r="13641">
      <c r="C13641" s="1"/>
    </row>
    <row r="13642">
      <c r="C13642" s="1"/>
    </row>
    <row r="13643">
      <c r="C13643" s="1"/>
    </row>
    <row r="13644">
      <c r="C13644" s="1"/>
    </row>
    <row r="13645">
      <c r="C13645" s="1"/>
    </row>
    <row r="13646">
      <c r="C13646" s="1"/>
    </row>
    <row r="13647">
      <c r="C13647" s="1"/>
    </row>
    <row r="13648">
      <c r="C13648" s="1"/>
    </row>
    <row r="13649">
      <c r="C13649" s="1"/>
    </row>
    <row r="13650">
      <c r="C13650" s="1"/>
    </row>
    <row r="13651">
      <c r="C13651" s="1"/>
    </row>
    <row r="13652">
      <c r="C13652" s="1"/>
    </row>
    <row r="13653">
      <c r="C13653" s="1"/>
    </row>
    <row r="13654">
      <c r="C13654" s="1"/>
    </row>
    <row r="13655">
      <c r="C13655" s="1"/>
    </row>
    <row r="13656">
      <c r="C13656" s="1"/>
    </row>
    <row r="13657">
      <c r="C13657" s="1"/>
    </row>
    <row r="13658">
      <c r="C13658" s="1"/>
    </row>
    <row r="13659">
      <c r="C13659" s="1"/>
    </row>
    <row r="13660">
      <c r="C13660" s="1"/>
    </row>
    <row r="13661">
      <c r="C13661" s="1"/>
    </row>
    <row r="13662">
      <c r="C13662" s="1"/>
    </row>
    <row r="13663">
      <c r="C13663" s="1"/>
    </row>
    <row r="13664">
      <c r="C13664" s="1"/>
    </row>
    <row r="13665">
      <c r="C13665" s="1"/>
    </row>
    <row r="13666">
      <c r="C13666" s="1"/>
    </row>
    <row r="13667">
      <c r="C13667" s="1"/>
    </row>
    <row r="13668">
      <c r="C13668" s="1"/>
    </row>
    <row r="13669">
      <c r="C13669" s="1"/>
    </row>
    <row r="13670">
      <c r="C13670" s="1"/>
    </row>
    <row r="13671">
      <c r="C13671" s="1"/>
    </row>
    <row r="13672">
      <c r="C13672" s="1"/>
    </row>
    <row r="13673">
      <c r="C13673" s="1"/>
    </row>
    <row r="13674">
      <c r="C13674" s="1"/>
    </row>
    <row r="13675">
      <c r="C13675" s="1"/>
    </row>
    <row r="13676">
      <c r="C13676" s="1"/>
    </row>
    <row r="13677">
      <c r="C13677" s="1"/>
    </row>
    <row r="13678">
      <c r="C13678" s="1"/>
    </row>
    <row r="13679">
      <c r="C13679" s="1"/>
    </row>
    <row r="13680">
      <c r="C13680" s="1"/>
    </row>
    <row r="13681">
      <c r="C13681" s="1"/>
    </row>
    <row r="13682">
      <c r="C13682" s="1"/>
    </row>
    <row r="13683">
      <c r="C13683" s="1"/>
    </row>
    <row r="13684">
      <c r="C13684" s="1"/>
    </row>
    <row r="13685">
      <c r="C13685" s="1"/>
    </row>
    <row r="13686">
      <c r="C13686" s="1"/>
    </row>
    <row r="13687">
      <c r="C13687" s="1"/>
    </row>
    <row r="13688">
      <c r="C13688" s="1"/>
    </row>
    <row r="13689">
      <c r="C13689" s="1"/>
    </row>
    <row r="13690">
      <c r="C13690" s="1"/>
    </row>
    <row r="13691">
      <c r="C13691" s="1"/>
    </row>
    <row r="13692">
      <c r="C13692" s="1"/>
    </row>
    <row r="13693">
      <c r="C13693" s="1"/>
    </row>
    <row r="13694">
      <c r="C13694" s="1"/>
    </row>
    <row r="13695">
      <c r="C13695" s="1"/>
    </row>
    <row r="13696">
      <c r="C13696" s="1"/>
    </row>
    <row r="13697">
      <c r="C13697" s="1"/>
    </row>
    <row r="13698">
      <c r="C13698" s="1"/>
    </row>
    <row r="13699">
      <c r="C13699" s="1"/>
    </row>
    <row r="13700">
      <c r="C13700" s="1"/>
    </row>
    <row r="13701">
      <c r="C13701" s="1"/>
    </row>
    <row r="13702">
      <c r="C13702" s="1"/>
    </row>
    <row r="13703">
      <c r="C13703" s="1"/>
    </row>
    <row r="13704">
      <c r="C13704" s="1"/>
    </row>
    <row r="13705">
      <c r="C13705" s="1"/>
    </row>
    <row r="13706">
      <c r="C13706" s="1"/>
    </row>
    <row r="13707">
      <c r="C13707" s="1"/>
    </row>
    <row r="13708">
      <c r="C13708" s="1"/>
    </row>
    <row r="13709">
      <c r="C13709" s="1"/>
    </row>
    <row r="13710">
      <c r="C13710" s="1"/>
    </row>
    <row r="13711">
      <c r="C13711" s="1"/>
    </row>
    <row r="13712">
      <c r="C13712" s="1"/>
    </row>
    <row r="13713">
      <c r="C13713" s="1"/>
    </row>
    <row r="13714">
      <c r="C13714" s="1"/>
    </row>
    <row r="13715">
      <c r="C13715" s="1"/>
    </row>
    <row r="13716">
      <c r="C13716" s="1"/>
    </row>
    <row r="13717">
      <c r="C13717" s="1"/>
    </row>
    <row r="13718">
      <c r="C13718" s="1"/>
    </row>
    <row r="13719">
      <c r="C13719" s="1"/>
    </row>
    <row r="13720">
      <c r="C13720" s="1"/>
    </row>
    <row r="13721">
      <c r="C13721" s="1"/>
    </row>
    <row r="13722">
      <c r="C13722" s="1"/>
    </row>
    <row r="13723">
      <c r="C13723" s="1"/>
    </row>
    <row r="13724">
      <c r="C13724" s="1"/>
    </row>
    <row r="13725">
      <c r="C13725" s="1"/>
    </row>
    <row r="13726">
      <c r="C13726" s="1"/>
    </row>
    <row r="13727">
      <c r="C13727" s="1"/>
    </row>
    <row r="13728">
      <c r="C13728" s="1"/>
    </row>
    <row r="13729">
      <c r="C13729" s="1"/>
    </row>
    <row r="13730">
      <c r="C13730" s="1"/>
    </row>
    <row r="13731">
      <c r="C13731" s="1"/>
    </row>
    <row r="13732">
      <c r="C13732" s="1"/>
    </row>
    <row r="13733">
      <c r="C13733" s="1"/>
    </row>
    <row r="13734">
      <c r="C13734" s="1"/>
    </row>
    <row r="13735">
      <c r="C13735" s="1"/>
    </row>
    <row r="13736">
      <c r="C13736" s="1"/>
    </row>
    <row r="13737">
      <c r="C13737" s="1"/>
    </row>
    <row r="13738">
      <c r="C13738" s="1"/>
    </row>
    <row r="13739">
      <c r="C13739" s="1"/>
    </row>
    <row r="13740">
      <c r="C13740" s="1"/>
    </row>
    <row r="13741">
      <c r="C13741" s="1"/>
    </row>
    <row r="13742">
      <c r="C13742" s="1"/>
    </row>
    <row r="13743">
      <c r="C13743" s="1"/>
    </row>
    <row r="13744">
      <c r="C13744" s="1"/>
    </row>
    <row r="13745">
      <c r="C13745" s="1"/>
    </row>
    <row r="13746">
      <c r="C13746" s="1"/>
    </row>
    <row r="13747">
      <c r="C13747" s="1"/>
    </row>
    <row r="13748">
      <c r="C13748" s="1"/>
    </row>
    <row r="13749">
      <c r="C13749" s="1"/>
    </row>
    <row r="13750">
      <c r="C13750" s="1"/>
    </row>
    <row r="13751">
      <c r="C13751" s="1"/>
    </row>
    <row r="13752">
      <c r="C13752" s="1"/>
    </row>
    <row r="13753">
      <c r="C13753" s="1"/>
    </row>
    <row r="13754">
      <c r="C13754" s="1"/>
    </row>
    <row r="13755">
      <c r="C13755" s="1"/>
    </row>
    <row r="13756">
      <c r="C13756" s="1"/>
    </row>
    <row r="13757">
      <c r="C13757" s="1"/>
    </row>
    <row r="13758">
      <c r="C13758" s="1"/>
    </row>
    <row r="13759">
      <c r="C13759" s="1"/>
    </row>
    <row r="13760">
      <c r="C13760" s="1"/>
    </row>
    <row r="13761">
      <c r="C13761" s="1"/>
    </row>
    <row r="13762">
      <c r="C13762" s="1"/>
    </row>
    <row r="13763">
      <c r="C13763" s="1"/>
    </row>
    <row r="13764">
      <c r="C13764" s="1"/>
    </row>
    <row r="13765">
      <c r="C13765" s="1"/>
    </row>
    <row r="13766">
      <c r="C13766" s="1"/>
    </row>
    <row r="13767">
      <c r="C13767" s="1"/>
    </row>
    <row r="13768">
      <c r="C13768" s="1"/>
    </row>
    <row r="13769">
      <c r="C13769" s="1"/>
    </row>
    <row r="13770">
      <c r="C13770" s="1"/>
    </row>
    <row r="13771">
      <c r="C13771" s="1"/>
    </row>
    <row r="13772">
      <c r="C13772" s="1"/>
    </row>
    <row r="13773">
      <c r="C13773" s="1"/>
    </row>
    <row r="13774">
      <c r="C13774" s="1"/>
    </row>
    <row r="13775">
      <c r="C13775" s="1"/>
    </row>
    <row r="13776">
      <c r="C13776" s="1"/>
    </row>
    <row r="13777">
      <c r="C13777" s="1"/>
    </row>
    <row r="13778">
      <c r="C13778" s="1"/>
    </row>
    <row r="13779">
      <c r="C13779" s="1"/>
    </row>
    <row r="13780">
      <c r="C13780" s="1"/>
    </row>
    <row r="13781">
      <c r="C13781" s="1"/>
    </row>
    <row r="13782">
      <c r="C13782" s="1"/>
    </row>
    <row r="13783">
      <c r="C13783" s="1"/>
    </row>
    <row r="13784">
      <c r="C13784" s="1"/>
    </row>
    <row r="13785">
      <c r="C13785" s="1"/>
    </row>
    <row r="13786">
      <c r="C13786" s="1"/>
    </row>
    <row r="13787">
      <c r="C13787" s="1"/>
    </row>
    <row r="13788">
      <c r="C13788" s="1"/>
    </row>
    <row r="13789">
      <c r="C13789" s="1"/>
    </row>
    <row r="13790">
      <c r="C13790" s="1"/>
    </row>
    <row r="13791">
      <c r="C13791" s="1"/>
    </row>
    <row r="13792">
      <c r="C13792" s="1"/>
    </row>
    <row r="13793">
      <c r="C13793" s="1"/>
    </row>
    <row r="13794">
      <c r="C13794" s="1"/>
    </row>
    <row r="13795">
      <c r="C13795" s="1"/>
    </row>
    <row r="13796">
      <c r="C13796" s="1"/>
    </row>
    <row r="13797">
      <c r="C13797" s="1"/>
    </row>
    <row r="13798">
      <c r="C13798" s="1"/>
    </row>
    <row r="13799">
      <c r="C13799" s="1"/>
    </row>
    <row r="13800">
      <c r="C13800" s="1"/>
    </row>
    <row r="13801">
      <c r="C13801" s="1"/>
    </row>
    <row r="13802">
      <c r="C13802" s="1"/>
    </row>
    <row r="13803">
      <c r="C13803" s="1"/>
    </row>
    <row r="13804">
      <c r="C13804" s="1"/>
    </row>
    <row r="13805">
      <c r="C13805" s="1"/>
    </row>
    <row r="13806">
      <c r="C13806" s="1"/>
    </row>
    <row r="13807">
      <c r="C13807" s="1"/>
    </row>
    <row r="13808">
      <c r="C13808" s="1"/>
    </row>
    <row r="13809">
      <c r="C13809" s="1"/>
    </row>
    <row r="13810">
      <c r="C13810" s="1"/>
    </row>
    <row r="13811">
      <c r="C13811" s="1"/>
    </row>
    <row r="13812">
      <c r="C13812" s="1"/>
    </row>
    <row r="13813">
      <c r="C13813" s="1"/>
    </row>
    <row r="13814">
      <c r="C13814" s="1"/>
    </row>
    <row r="13815">
      <c r="C13815" s="1"/>
    </row>
    <row r="13816">
      <c r="C13816" s="1"/>
    </row>
    <row r="13817">
      <c r="C13817" s="1"/>
    </row>
    <row r="13818">
      <c r="C13818" s="1"/>
    </row>
    <row r="13819">
      <c r="C13819" s="1"/>
    </row>
    <row r="13820">
      <c r="C13820" s="1"/>
    </row>
    <row r="13821">
      <c r="C13821" s="1"/>
    </row>
    <row r="13822">
      <c r="C13822" s="1"/>
    </row>
    <row r="13823">
      <c r="C13823" s="1"/>
    </row>
    <row r="13824">
      <c r="C13824" s="1"/>
    </row>
    <row r="13825">
      <c r="C13825" s="1"/>
    </row>
    <row r="13826">
      <c r="C13826" s="1"/>
    </row>
    <row r="13827">
      <c r="C13827" s="1"/>
    </row>
    <row r="13828">
      <c r="C13828" s="1"/>
    </row>
    <row r="13829">
      <c r="C13829" s="1"/>
    </row>
    <row r="13830">
      <c r="C13830" s="1"/>
    </row>
    <row r="13831">
      <c r="C13831" s="1"/>
    </row>
    <row r="13832">
      <c r="C13832" s="1"/>
    </row>
    <row r="13833">
      <c r="C13833" s="1"/>
    </row>
    <row r="13834">
      <c r="C13834" s="1"/>
    </row>
    <row r="13835">
      <c r="C13835" s="1"/>
    </row>
    <row r="13836">
      <c r="C13836" s="1"/>
    </row>
    <row r="13837">
      <c r="C13837" s="1"/>
    </row>
    <row r="13838">
      <c r="C13838" s="1"/>
    </row>
    <row r="13839">
      <c r="C13839" s="1"/>
    </row>
    <row r="13840">
      <c r="C13840" s="1"/>
    </row>
    <row r="13841">
      <c r="C13841" s="1"/>
    </row>
    <row r="13842">
      <c r="C13842" s="1"/>
    </row>
    <row r="13843">
      <c r="C13843" s="1"/>
    </row>
    <row r="13844">
      <c r="C13844" s="1"/>
    </row>
    <row r="13845">
      <c r="C13845" s="1"/>
    </row>
    <row r="13846">
      <c r="C13846" s="1"/>
    </row>
    <row r="13847">
      <c r="C13847" s="1"/>
    </row>
    <row r="13848">
      <c r="C13848" s="1"/>
    </row>
    <row r="13849">
      <c r="C13849" s="1"/>
    </row>
    <row r="13850">
      <c r="C13850" s="1"/>
    </row>
    <row r="13851">
      <c r="C13851" s="1"/>
    </row>
    <row r="13852">
      <c r="C13852" s="1"/>
    </row>
    <row r="13853">
      <c r="C13853" s="1"/>
    </row>
    <row r="13854">
      <c r="C13854" s="1"/>
    </row>
    <row r="13855">
      <c r="C13855" s="1"/>
    </row>
    <row r="13856">
      <c r="C13856" s="1"/>
    </row>
    <row r="13857">
      <c r="C13857" s="1"/>
    </row>
    <row r="13858">
      <c r="C13858" s="1"/>
    </row>
    <row r="13859">
      <c r="C13859" s="1"/>
    </row>
    <row r="13860">
      <c r="C13860" s="1"/>
    </row>
    <row r="13861">
      <c r="C13861" s="1"/>
    </row>
    <row r="13862">
      <c r="C13862" s="1"/>
    </row>
    <row r="13863">
      <c r="C13863" s="1"/>
    </row>
    <row r="13864">
      <c r="C13864" s="1"/>
    </row>
    <row r="13865">
      <c r="C13865" s="1"/>
    </row>
    <row r="13866">
      <c r="C13866" s="1"/>
    </row>
    <row r="13867">
      <c r="C13867" s="1"/>
    </row>
    <row r="13868">
      <c r="C13868" s="1"/>
    </row>
    <row r="13869">
      <c r="C13869" s="1"/>
    </row>
    <row r="13870">
      <c r="C13870" s="1"/>
    </row>
    <row r="13871">
      <c r="C13871" s="1"/>
    </row>
    <row r="13872">
      <c r="C13872" s="1"/>
    </row>
    <row r="13873">
      <c r="C13873" s="1"/>
    </row>
    <row r="13874">
      <c r="C13874" s="1"/>
    </row>
    <row r="13875">
      <c r="C13875" s="1"/>
    </row>
    <row r="13876">
      <c r="C13876" s="1"/>
    </row>
    <row r="13877">
      <c r="C13877" s="1"/>
    </row>
    <row r="13878">
      <c r="C13878" s="1"/>
    </row>
    <row r="13879">
      <c r="C13879" s="1"/>
    </row>
    <row r="13880">
      <c r="C13880" s="1"/>
    </row>
    <row r="13881">
      <c r="C13881" s="1"/>
    </row>
    <row r="13882">
      <c r="C13882" s="1"/>
    </row>
    <row r="13883">
      <c r="C13883" s="1"/>
    </row>
    <row r="13884">
      <c r="C13884" s="1"/>
    </row>
    <row r="13885">
      <c r="C13885" s="1"/>
    </row>
    <row r="13886">
      <c r="C13886" s="1"/>
    </row>
    <row r="13887">
      <c r="C13887" s="1"/>
    </row>
    <row r="13888">
      <c r="C13888" s="1"/>
    </row>
    <row r="13889">
      <c r="C13889" s="1"/>
    </row>
    <row r="13890">
      <c r="C13890" s="1"/>
    </row>
    <row r="13891">
      <c r="C13891" s="1"/>
    </row>
    <row r="13892">
      <c r="C13892" s="1"/>
    </row>
    <row r="13893">
      <c r="C13893" s="1"/>
    </row>
    <row r="13894">
      <c r="C13894" s="1"/>
    </row>
    <row r="13895">
      <c r="C13895" s="1"/>
    </row>
    <row r="13896">
      <c r="C13896" s="1"/>
    </row>
    <row r="13897">
      <c r="C13897" s="1"/>
    </row>
    <row r="13898">
      <c r="C13898" s="1"/>
    </row>
    <row r="13899">
      <c r="C13899" s="1"/>
    </row>
    <row r="13900">
      <c r="C13900" s="1"/>
    </row>
    <row r="13901">
      <c r="C13901" s="1"/>
    </row>
    <row r="13902">
      <c r="C13902" s="1"/>
    </row>
    <row r="13903">
      <c r="C13903" s="1"/>
    </row>
    <row r="13904">
      <c r="C13904" s="1"/>
    </row>
    <row r="13905">
      <c r="C13905" s="1"/>
    </row>
    <row r="13906">
      <c r="C13906" s="1"/>
    </row>
    <row r="13907">
      <c r="C13907" s="1"/>
    </row>
    <row r="13908">
      <c r="C13908" s="1"/>
    </row>
    <row r="13909">
      <c r="C13909" s="1"/>
    </row>
    <row r="13910">
      <c r="C13910" s="1"/>
    </row>
    <row r="13911">
      <c r="C13911" s="1"/>
    </row>
    <row r="13912">
      <c r="C13912" s="1"/>
    </row>
    <row r="13913">
      <c r="C13913" s="1"/>
    </row>
    <row r="13914">
      <c r="C13914" s="1"/>
    </row>
    <row r="13915">
      <c r="C13915" s="1"/>
    </row>
    <row r="13916">
      <c r="C13916" s="1"/>
    </row>
    <row r="13917">
      <c r="C13917" s="1"/>
    </row>
    <row r="13918">
      <c r="C13918" s="1"/>
    </row>
    <row r="13919">
      <c r="C13919" s="1"/>
    </row>
    <row r="13920">
      <c r="C13920" s="1"/>
    </row>
    <row r="13921">
      <c r="C13921" s="1"/>
    </row>
    <row r="13922">
      <c r="C13922" s="1"/>
    </row>
    <row r="13923">
      <c r="C13923" s="1"/>
    </row>
    <row r="13924">
      <c r="C13924" s="1"/>
    </row>
    <row r="13925">
      <c r="C13925" s="1"/>
    </row>
    <row r="13926">
      <c r="C13926" s="1"/>
    </row>
    <row r="13927">
      <c r="C13927" s="1"/>
    </row>
    <row r="13928">
      <c r="C13928" s="1"/>
    </row>
    <row r="13929">
      <c r="C13929" s="1"/>
    </row>
    <row r="13930">
      <c r="C13930" s="1"/>
    </row>
    <row r="13931">
      <c r="C13931" s="1"/>
    </row>
    <row r="13932">
      <c r="C13932" s="1"/>
    </row>
    <row r="13933">
      <c r="C13933" s="1"/>
    </row>
    <row r="13934">
      <c r="C13934" s="1"/>
    </row>
    <row r="13935">
      <c r="C13935" s="1"/>
    </row>
    <row r="13936">
      <c r="C13936" s="1"/>
    </row>
    <row r="13937">
      <c r="C13937" s="1"/>
    </row>
    <row r="13938">
      <c r="C13938" s="1"/>
    </row>
    <row r="13939">
      <c r="C13939" s="1"/>
    </row>
    <row r="13940">
      <c r="C13940" s="1"/>
    </row>
    <row r="13941">
      <c r="C13941" s="1"/>
    </row>
    <row r="13942">
      <c r="C13942" s="1"/>
    </row>
    <row r="13943">
      <c r="C13943" s="1"/>
    </row>
    <row r="13944">
      <c r="C13944" s="1"/>
    </row>
    <row r="13945">
      <c r="C13945" s="1"/>
    </row>
    <row r="13946">
      <c r="C13946" s="1"/>
    </row>
    <row r="13947">
      <c r="C13947" s="1"/>
    </row>
    <row r="13948">
      <c r="C13948" s="1"/>
    </row>
    <row r="13949">
      <c r="C13949" s="1"/>
    </row>
    <row r="13950">
      <c r="C13950" s="1"/>
    </row>
    <row r="13951">
      <c r="C13951" s="1"/>
    </row>
    <row r="13952">
      <c r="C13952" s="1"/>
    </row>
    <row r="13953">
      <c r="C13953" s="1"/>
    </row>
    <row r="13954">
      <c r="C13954" s="1"/>
    </row>
    <row r="13955">
      <c r="C13955" s="1"/>
    </row>
    <row r="13956">
      <c r="C13956" s="1"/>
    </row>
    <row r="13957">
      <c r="C13957" s="1"/>
    </row>
    <row r="13958">
      <c r="C13958" s="1"/>
    </row>
    <row r="13959">
      <c r="C13959" s="1"/>
    </row>
    <row r="13960">
      <c r="C13960" s="1"/>
    </row>
    <row r="13961">
      <c r="C13961" s="1"/>
    </row>
    <row r="13962">
      <c r="C13962" s="1"/>
    </row>
    <row r="13963">
      <c r="C13963" s="1"/>
    </row>
    <row r="13964">
      <c r="C13964" s="1"/>
    </row>
    <row r="13965">
      <c r="C13965" s="1"/>
    </row>
    <row r="13966">
      <c r="C13966" s="1"/>
    </row>
    <row r="13967">
      <c r="C13967" s="1"/>
    </row>
    <row r="13968">
      <c r="C13968" s="1"/>
    </row>
    <row r="13969">
      <c r="C13969" s="1"/>
    </row>
    <row r="13970">
      <c r="C13970" s="1"/>
    </row>
    <row r="13971">
      <c r="C13971" s="1"/>
    </row>
    <row r="13972">
      <c r="C13972" s="1"/>
    </row>
    <row r="13973">
      <c r="C13973" s="1"/>
    </row>
    <row r="13974">
      <c r="C13974" s="1"/>
    </row>
    <row r="13975">
      <c r="C13975" s="1"/>
    </row>
    <row r="13976">
      <c r="C13976" s="1"/>
    </row>
    <row r="13977">
      <c r="C13977" s="1"/>
    </row>
    <row r="13978">
      <c r="C13978" s="1"/>
    </row>
    <row r="13979">
      <c r="C13979" s="1"/>
    </row>
    <row r="13980">
      <c r="C13980" s="1"/>
    </row>
    <row r="13981">
      <c r="C13981" s="1"/>
    </row>
    <row r="13982">
      <c r="C13982" s="1"/>
    </row>
    <row r="13983">
      <c r="C13983" s="1"/>
    </row>
    <row r="13984">
      <c r="C13984" s="1"/>
    </row>
    <row r="13985">
      <c r="C13985" s="1"/>
    </row>
    <row r="13986">
      <c r="C13986" s="1"/>
    </row>
    <row r="13987">
      <c r="C13987" s="1"/>
    </row>
    <row r="13988">
      <c r="C13988" s="1"/>
    </row>
    <row r="13989">
      <c r="C13989" s="1"/>
    </row>
    <row r="13990">
      <c r="C13990" s="1"/>
    </row>
    <row r="13991">
      <c r="C13991" s="1"/>
    </row>
    <row r="13992">
      <c r="C13992" s="1"/>
    </row>
    <row r="13993">
      <c r="C13993" s="1"/>
    </row>
    <row r="13994">
      <c r="C13994" s="1"/>
    </row>
    <row r="13995">
      <c r="C13995" s="1"/>
    </row>
    <row r="13996">
      <c r="C13996" s="1"/>
    </row>
    <row r="13997">
      <c r="C13997" s="1"/>
    </row>
    <row r="13998">
      <c r="C13998" s="1"/>
    </row>
    <row r="13999">
      <c r="C13999" s="1"/>
    </row>
    <row r="14000">
      <c r="C14000" s="1"/>
    </row>
    <row r="14001">
      <c r="C14001" s="1"/>
    </row>
    <row r="14002">
      <c r="C14002" s="1"/>
    </row>
    <row r="14003">
      <c r="C14003" s="1"/>
    </row>
    <row r="14004">
      <c r="C14004" s="1"/>
    </row>
    <row r="14005">
      <c r="C14005" s="1"/>
    </row>
    <row r="14006">
      <c r="C14006" s="1"/>
    </row>
    <row r="14007">
      <c r="C14007" s="1"/>
    </row>
    <row r="14008">
      <c r="C14008" s="1"/>
    </row>
    <row r="14009">
      <c r="C14009" s="1"/>
    </row>
    <row r="14010">
      <c r="C14010" s="1"/>
    </row>
    <row r="14011">
      <c r="C14011" s="1"/>
    </row>
    <row r="14012">
      <c r="C14012" s="1"/>
    </row>
    <row r="14013">
      <c r="C14013" s="1"/>
    </row>
    <row r="14014">
      <c r="C14014" s="1"/>
    </row>
    <row r="14015">
      <c r="C14015" s="1"/>
    </row>
    <row r="14016">
      <c r="C14016" s="1"/>
    </row>
    <row r="14017">
      <c r="C14017" s="1"/>
    </row>
    <row r="14018">
      <c r="C14018" s="1"/>
    </row>
    <row r="14019">
      <c r="C14019" s="1"/>
    </row>
    <row r="14020">
      <c r="C14020" s="1"/>
    </row>
    <row r="14021">
      <c r="C14021" s="1"/>
    </row>
    <row r="14022">
      <c r="C14022" s="1"/>
    </row>
    <row r="14023">
      <c r="C14023" s="1"/>
    </row>
    <row r="14024">
      <c r="C14024" s="1"/>
    </row>
    <row r="14025">
      <c r="C14025" s="1"/>
    </row>
    <row r="14026">
      <c r="C14026" s="1"/>
    </row>
    <row r="14027">
      <c r="C14027" s="1"/>
    </row>
    <row r="14028">
      <c r="C14028" s="1"/>
    </row>
    <row r="14029">
      <c r="C14029" s="1"/>
    </row>
    <row r="14030">
      <c r="C14030" s="1"/>
    </row>
    <row r="14031">
      <c r="C14031" s="1"/>
    </row>
    <row r="14032">
      <c r="C14032" s="1"/>
    </row>
    <row r="14033">
      <c r="C14033" s="1"/>
    </row>
    <row r="14034">
      <c r="C14034" s="1"/>
    </row>
    <row r="14035">
      <c r="C14035" s="1"/>
    </row>
    <row r="14036">
      <c r="C14036" s="1"/>
    </row>
    <row r="14037">
      <c r="C14037" s="1"/>
    </row>
    <row r="14038">
      <c r="C14038" s="1"/>
    </row>
    <row r="14039">
      <c r="C14039" s="1"/>
    </row>
    <row r="14040">
      <c r="C14040" s="1"/>
    </row>
    <row r="14041">
      <c r="C14041" s="1"/>
    </row>
    <row r="14042">
      <c r="C14042" s="1"/>
    </row>
    <row r="14043">
      <c r="C14043" s="1"/>
    </row>
    <row r="14044">
      <c r="C14044" s="1"/>
    </row>
    <row r="14045">
      <c r="C14045" s="1"/>
    </row>
    <row r="14046">
      <c r="C14046" s="1"/>
    </row>
    <row r="14047">
      <c r="C14047" s="1"/>
    </row>
    <row r="14048">
      <c r="C14048" s="1"/>
    </row>
    <row r="14049">
      <c r="C14049" s="1"/>
    </row>
    <row r="14050">
      <c r="C14050" s="1"/>
    </row>
    <row r="14051">
      <c r="C14051" s="1"/>
    </row>
    <row r="14052">
      <c r="C14052" s="1"/>
    </row>
    <row r="14053">
      <c r="C14053" s="1"/>
    </row>
    <row r="14054">
      <c r="C14054" s="1"/>
    </row>
    <row r="14055">
      <c r="C14055" s="1"/>
    </row>
    <row r="14056">
      <c r="C14056" s="1"/>
    </row>
    <row r="14057">
      <c r="C14057" s="1"/>
    </row>
    <row r="14058">
      <c r="C14058" s="1"/>
    </row>
    <row r="14059">
      <c r="C14059" s="1"/>
    </row>
    <row r="14060">
      <c r="C14060" s="1"/>
    </row>
    <row r="14061">
      <c r="C14061" s="1"/>
    </row>
    <row r="14062">
      <c r="C14062" s="1"/>
    </row>
    <row r="14063">
      <c r="C14063" s="1"/>
    </row>
    <row r="14064">
      <c r="C14064" s="1"/>
    </row>
    <row r="14065">
      <c r="C14065" s="1"/>
    </row>
    <row r="14066">
      <c r="C14066" s="1"/>
    </row>
    <row r="14067">
      <c r="C14067" s="1"/>
    </row>
    <row r="14068">
      <c r="C14068" s="1"/>
    </row>
    <row r="14069">
      <c r="C14069" s="1"/>
    </row>
    <row r="14070">
      <c r="C14070" s="1"/>
    </row>
    <row r="14071">
      <c r="C14071" s="1"/>
    </row>
    <row r="14072">
      <c r="C14072" s="1"/>
    </row>
    <row r="14073">
      <c r="C14073" s="1"/>
    </row>
    <row r="14074">
      <c r="C14074" s="1"/>
    </row>
    <row r="14075">
      <c r="C14075" s="1"/>
    </row>
    <row r="14076">
      <c r="C14076" s="1"/>
    </row>
    <row r="14077">
      <c r="C14077" s="1"/>
    </row>
    <row r="14078">
      <c r="C14078" s="1"/>
    </row>
    <row r="14079">
      <c r="C14079" s="1"/>
    </row>
    <row r="14080">
      <c r="C14080" s="1"/>
    </row>
    <row r="14081">
      <c r="C14081" s="1"/>
    </row>
    <row r="14082">
      <c r="C14082" s="1"/>
    </row>
    <row r="14083">
      <c r="C14083" s="1"/>
    </row>
    <row r="14084">
      <c r="C14084" s="1"/>
    </row>
    <row r="14085">
      <c r="C14085" s="1"/>
    </row>
    <row r="14086">
      <c r="C14086" s="1"/>
    </row>
    <row r="14087">
      <c r="C14087" s="1"/>
    </row>
    <row r="14088">
      <c r="C14088" s="1"/>
    </row>
    <row r="14089">
      <c r="C14089" s="1"/>
    </row>
    <row r="14090">
      <c r="C14090" s="1"/>
    </row>
    <row r="14091">
      <c r="C14091" s="1"/>
    </row>
    <row r="14092">
      <c r="C14092" s="1"/>
    </row>
    <row r="14093">
      <c r="C14093" s="1"/>
    </row>
    <row r="14094">
      <c r="C14094" s="1"/>
    </row>
    <row r="14095">
      <c r="C14095" s="1"/>
    </row>
    <row r="14096">
      <c r="C14096" s="1"/>
    </row>
    <row r="14097">
      <c r="C14097" s="1"/>
    </row>
    <row r="14098">
      <c r="C14098" s="1"/>
    </row>
    <row r="14099">
      <c r="C14099" s="1"/>
    </row>
    <row r="14100">
      <c r="C14100" s="1"/>
    </row>
    <row r="14101">
      <c r="C14101" s="1"/>
    </row>
    <row r="14102">
      <c r="C14102" s="1"/>
    </row>
    <row r="14103">
      <c r="C14103" s="1"/>
    </row>
    <row r="14104">
      <c r="C14104" s="1"/>
    </row>
    <row r="14105">
      <c r="C14105" s="1"/>
    </row>
    <row r="14106">
      <c r="C14106" s="1"/>
    </row>
    <row r="14107">
      <c r="C14107" s="1"/>
    </row>
    <row r="14108">
      <c r="C14108" s="1"/>
    </row>
    <row r="14109">
      <c r="C14109" s="1"/>
    </row>
    <row r="14110">
      <c r="C14110" s="1"/>
    </row>
    <row r="14111">
      <c r="C14111" s="1"/>
    </row>
    <row r="14112">
      <c r="C14112" s="1"/>
    </row>
    <row r="14113">
      <c r="C14113" s="1"/>
    </row>
    <row r="14114">
      <c r="C14114" s="1"/>
    </row>
    <row r="14115">
      <c r="C14115" s="1"/>
    </row>
    <row r="14116">
      <c r="C14116" s="1"/>
    </row>
    <row r="14117">
      <c r="C14117" s="1"/>
    </row>
    <row r="14118">
      <c r="C14118" s="1"/>
    </row>
    <row r="14119">
      <c r="C14119" s="1"/>
    </row>
    <row r="14120">
      <c r="C14120" s="1"/>
    </row>
    <row r="14121">
      <c r="C14121" s="1"/>
    </row>
    <row r="14122">
      <c r="C14122" s="1"/>
    </row>
    <row r="14123">
      <c r="C14123" s="1"/>
    </row>
    <row r="14124">
      <c r="C14124" s="1"/>
    </row>
    <row r="14125">
      <c r="C14125" s="1"/>
    </row>
    <row r="14126">
      <c r="C14126" s="1"/>
    </row>
    <row r="14127">
      <c r="C14127" s="1"/>
    </row>
    <row r="14128">
      <c r="C14128" s="1"/>
    </row>
    <row r="14129">
      <c r="C14129" s="1"/>
    </row>
    <row r="14130">
      <c r="C14130" s="1"/>
    </row>
    <row r="14131">
      <c r="C14131" s="1"/>
    </row>
    <row r="14132">
      <c r="C14132" s="1"/>
    </row>
    <row r="14133">
      <c r="C14133" s="1"/>
    </row>
    <row r="14134">
      <c r="C14134" s="1"/>
    </row>
    <row r="14135">
      <c r="C14135" s="1"/>
    </row>
    <row r="14136">
      <c r="C14136" s="1"/>
    </row>
    <row r="14137">
      <c r="C14137" s="1"/>
    </row>
    <row r="14138">
      <c r="C14138" s="1"/>
    </row>
    <row r="14139">
      <c r="C14139" s="1"/>
    </row>
    <row r="14140">
      <c r="C14140" s="1"/>
    </row>
    <row r="14141">
      <c r="C14141" s="1"/>
    </row>
    <row r="14142">
      <c r="C14142" s="1"/>
    </row>
    <row r="14143">
      <c r="C14143" s="1"/>
    </row>
    <row r="14144">
      <c r="C14144" s="1"/>
    </row>
    <row r="14145">
      <c r="C14145" s="1"/>
    </row>
    <row r="14146">
      <c r="C14146" s="1"/>
    </row>
    <row r="14147">
      <c r="C14147" s="1"/>
    </row>
    <row r="14148">
      <c r="C14148" s="1"/>
    </row>
    <row r="14149">
      <c r="C14149" s="1"/>
    </row>
    <row r="14150">
      <c r="C14150" s="1"/>
    </row>
    <row r="14151">
      <c r="C14151" s="1"/>
    </row>
    <row r="14152">
      <c r="C14152" s="1"/>
    </row>
    <row r="14153">
      <c r="C14153" s="1"/>
    </row>
    <row r="14154">
      <c r="C14154" s="1"/>
    </row>
    <row r="14155">
      <c r="C14155" s="1"/>
    </row>
    <row r="14156">
      <c r="C14156" s="1"/>
    </row>
    <row r="14157">
      <c r="C14157" s="1"/>
    </row>
    <row r="14158">
      <c r="C14158" s="1"/>
    </row>
    <row r="14159">
      <c r="C14159" s="1"/>
    </row>
    <row r="14160">
      <c r="C14160" s="1"/>
    </row>
    <row r="14161">
      <c r="C14161" s="1"/>
    </row>
    <row r="14162">
      <c r="C14162" s="1"/>
    </row>
    <row r="14163">
      <c r="C14163" s="1"/>
    </row>
    <row r="14164">
      <c r="C14164" s="1"/>
    </row>
    <row r="14165">
      <c r="C14165" s="1"/>
    </row>
    <row r="14166">
      <c r="C14166" s="1"/>
    </row>
    <row r="14167">
      <c r="C14167" s="1"/>
    </row>
    <row r="14168">
      <c r="C14168" s="1"/>
    </row>
    <row r="14169">
      <c r="C14169" s="1"/>
    </row>
    <row r="14170">
      <c r="C14170" s="1"/>
    </row>
    <row r="14171">
      <c r="C14171" s="1"/>
    </row>
    <row r="14172">
      <c r="C14172" s="1"/>
    </row>
    <row r="14173">
      <c r="C14173" s="1"/>
    </row>
    <row r="14174">
      <c r="C14174" s="1"/>
    </row>
    <row r="14175">
      <c r="C14175" s="1"/>
    </row>
    <row r="14176">
      <c r="C14176" s="1"/>
    </row>
    <row r="14177">
      <c r="C14177" s="1"/>
    </row>
    <row r="14178">
      <c r="C14178" s="1"/>
    </row>
    <row r="14179">
      <c r="C14179" s="1"/>
    </row>
    <row r="14180">
      <c r="C14180" s="1"/>
    </row>
    <row r="14181">
      <c r="C14181" s="1"/>
    </row>
    <row r="14182">
      <c r="C14182" s="1"/>
    </row>
    <row r="14183">
      <c r="C14183" s="1"/>
    </row>
    <row r="14184">
      <c r="C14184" s="1"/>
    </row>
    <row r="14185">
      <c r="C14185" s="1"/>
    </row>
    <row r="14186">
      <c r="C14186" s="1"/>
    </row>
    <row r="14187">
      <c r="C14187" s="1"/>
    </row>
    <row r="14188">
      <c r="C14188" s="1"/>
    </row>
    <row r="14189">
      <c r="C14189" s="1"/>
    </row>
    <row r="14190">
      <c r="C14190" s="1"/>
    </row>
    <row r="14191">
      <c r="C14191" s="1"/>
    </row>
    <row r="14192">
      <c r="C14192" s="1"/>
    </row>
    <row r="14193">
      <c r="C14193" s="1"/>
    </row>
    <row r="14194">
      <c r="C14194" s="1"/>
    </row>
    <row r="14195">
      <c r="C14195" s="1"/>
    </row>
    <row r="14196">
      <c r="C14196" s="1"/>
    </row>
    <row r="14197">
      <c r="C14197" s="1"/>
    </row>
    <row r="14198">
      <c r="C14198" s="1"/>
    </row>
    <row r="14199">
      <c r="C14199" s="1"/>
    </row>
    <row r="14200">
      <c r="C14200" s="1"/>
    </row>
    <row r="14201">
      <c r="C14201" s="1"/>
    </row>
    <row r="14202">
      <c r="C14202" s="1"/>
    </row>
    <row r="14203">
      <c r="C14203" s="1"/>
    </row>
    <row r="14204">
      <c r="C14204" s="1"/>
    </row>
    <row r="14205">
      <c r="C14205" s="1"/>
    </row>
    <row r="14206">
      <c r="C14206" s="1"/>
    </row>
    <row r="14207">
      <c r="C14207" s="1"/>
    </row>
    <row r="14208">
      <c r="C14208" s="1"/>
    </row>
    <row r="14209">
      <c r="C14209" s="1"/>
    </row>
    <row r="14210">
      <c r="C14210" s="1"/>
    </row>
    <row r="14211">
      <c r="C14211" s="1"/>
    </row>
    <row r="14212">
      <c r="C14212" s="1"/>
    </row>
    <row r="14213">
      <c r="C14213" s="1"/>
    </row>
    <row r="14214">
      <c r="C14214" s="1"/>
    </row>
    <row r="14215">
      <c r="C14215" s="1"/>
    </row>
    <row r="14216">
      <c r="C14216" s="1"/>
    </row>
    <row r="14217">
      <c r="C14217" s="1"/>
    </row>
    <row r="14218">
      <c r="C14218" s="1"/>
    </row>
    <row r="14219">
      <c r="C14219" s="1"/>
    </row>
    <row r="14220">
      <c r="C14220" s="1"/>
    </row>
    <row r="14221">
      <c r="C14221" s="1"/>
    </row>
    <row r="14222">
      <c r="C14222" s="1"/>
    </row>
    <row r="14223">
      <c r="C14223" s="1"/>
    </row>
    <row r="14224">
      <c r="C14224" s="1"/>
    </row>
    <row r="14225">
      <c r="C14225" s="1"/>
    </row>
    <row r="14226">
      <c r="C14226" s="1"/>
    </row>
    <row r="14227">
      <c r="C14227" s="1"/>
    </row>
    <row r="14228">
      <c r="C14228" s="1"/>
    </row>
    <row r="14229">
      <c r="C14229" s="1"/>
    </row>
    <row r="14230">
      <c r="C14230" s="1"/>
    </row>
    <row r="14231">
      <c r="C14231" s="1"/>
    </row>
    <row r="14232">
      <c r="C14232" s="1"/>
    </row>
    <row r="14233">
      <c r="C14233" s="1"/>
    </row>
    <row r="14234">
      <c r="C14234" s="1"/>
    </row>
    <row r="14235">
      <c r="C14235" s="1"/>
    </row>
    <row r="14236">
      <c r="C14236" s="1"/>
    </row>
    <row r="14237">
      <c r="C14237" s="1"/>
    </row>
    <row r="14238">
      <c r="C14238" s="1"/>
    </row>
    <row r="14239">
      <c r="C14239" s="1"/>
    </row>
    <row r="14240">
      <c r="C14240" s="1"/>
    </row>
    <row r="14241">
      <c r="C14241" s="1"/>
    </row>
    <row r="14242">
      <c r="C14242" s="1"/>
    </row>
    <row r="14243">
      <c r="C14243" s="1"/>
    </row>
    <row r="14244">
      <c r="C14244" s="1"/>
    </row>
    <row r="14245">
      <c r="C14245" s="1"/>
    </row>
    <row r="14246">
      <c r="C14246" s="1"/>
    </row>
    <row r="14247">
      <c r="C14247" s="1"/>
    </row>
    <row r="14248">
      <c r="C14248" s="1"/>
    </row>
    <row r="14249">
      <c r="C14249" s="1"/>
    </row>
    <row r="14250">
      <c r="C14250" s="1"/>
    </row>
    <row r="14251">
      <c r="C14251" s="1"/>
    </row>
    <row r="14252">
      <c r="C14252" s="1"/>
    </row>
    <row r="14253">
      <c r="C14253" s="1"/>
    </row>
    <row r="14254">
      <c r="C14254" s="1"/>
    </row>
    <row r="14255">
      <c r="C14255" s="1"/>
    </row>
    <row r="14256">
      <c r="C14256" s="1"/>
    </row>
    <row r="14257">
      <c r="C14257" s="1"/>
    </row>
    <row r="14258">
      <c r="C14258" s="1"/>
    </row>
    <row r="14259">
      <c r="C14259" s="1"/>
    </row>
    <row r="14260">
      <c r="C14260" s="1"/>
    </row>
    <row r="14261">
      <c r="C14261" s="1"/>
    </row>
    <row r="14262">
      <c r="C14262" s="1"/>
    </row>
    <row r="14263">
      <c r="C14263" s="1"/>
    </row>
    <row r="14264">
      <c r="C14264" s="1"/>
    </row>
    <row r="14265">
      <c r="C14265" s="1"/>
    </row>
    <row r="14266">
      <c r="C14266" s="1"/>
    </row>
    <row r="14267">
      <c r="C14267" s="1"/>
    </row>
    <row r="14268">
      <c r="C14268" s="1"/>
    </row>
    <row r="14269">
      <c r="C14269" s="1"/>
    </row>
    <row r="14270">
      <c r="C14270" s="1"/>
    </row>
    <row r="14271">
      <c r="C14271" s="1"/>
    </row>
    <row r="14272">
      <c r="C14272" s="1"/>
    </row>
    <row r="14273">
      <c r="C14273" s="1"/>
    </row>
    <row r="14274">
      <c r="C14274" s="1"/>
    </row>
    <row r="14275">
      <c r="C14275" s="1"/>
    </row>
    <row r="14276">
      <c r="C14276" s="1"/>
    </row>
    <row r="14277">
      <c r="C14277" s="1"/>
    </row>
    <row r="14278">
      <c r="C14278" s="1"/>
    </row>
    <row r="14279">
      <c r="C14279" s="1"/>
    </row>
    <row r="14280">
      <c r="C14280" s="1"/>
    </row>
    <row r="14281">
      <c r="C14281" s="1"/>
    </row>
    <row r="14282">
      <c r="C14282" s="1"/>
    </row>
    <row r="14283">
      <c r="C14283" s="1"/>
    </row>
    <row r="14284">
      <c r="C14284" s="1"/>
    </row>
    <row r="14285">
      <c r="C14285" s="1"/>
    </row>
    <row r="14286">
      <c r="C14286" s="1"/>
    </row>
    <row r="14287">
      <c r="C14287" s="1"/>
    </row>
    <row r="14288">
      <c r="C14288" s="1"/>
    </row>
    <row r="14289">
      <c r="C14289" s="1"/>
    </row>
    <row r="14290">
      <c r="C14290" s="1"/>
    </row>
    <row r="14291">
      <c r="C14291" s="1"/>
    </row>
    <row r="14292">
      <c r="C14292" s="1"/>
    </row>
    <row r="14293">
      <c r="C14293" s="1"/>
    </row>
    <row r="14294">
      <c r="C14294" s="1"/>
    </row>
    <row r="14295">
      <c r="C14295" s="1"/>
    </row>
    <row r="14296">
      <c r="C14296" s="1"/>
    </row>
    <row r="14297">
      <c r="C14297" s="1"/>
    </row>
    <row r="14298">
      <c r="C14298" s="1"/>
    </row>
    <row r="14299">
      <c r="C14299" s="1"/>
    </row>
    <row r="14300">
      <c r="C14300" s="1"/>
    </row>
    <row r="14301">
      <c r="C14301" s="1"/>
    </row>
    <row r="14302">
      <c r="C14302" s="1"/>
    </row>
    <row r="14303">
      <c r="C14303" s="1"/>
    </row>
    <row r="14304">
      <c r="C14304" s="1"/>
    </row>
    <row r="14305">
      <c r="C14305" s="1"/>
    </row>
    <row r="14306">
      <c r="C14306" s="1"/>
    </row>
    <row r="14307">
      <c r="C14307" s="1"/>
    </row>
    <row r="14308">
      <c r="C14308" s="1"/>
    </row>
    <row r="14309">
      <c r="C14309" s="1"/>
    </row>
    <row r="14310">
      <c r="C14310" s="1"/>
    </row>
    <row r="14311">
      <c r="C14311" s="1"/>
    </row>
    <row r="14312">
      <c r="C14312" s="1"/>
    </row>
    <row r="14313">
      <c r="C14313" s="1"/>
    </row>
    <row r="14314">
      <c r="C14314" s="1"/>
    </row>
    <row r="14315">
      <c r="C14315" s="1"/>
    </row>
    <row r="14316">
      <c r="C14316" s="1"/>
    </row>
    <row r="14317">
      <c r="C14317" s="1"/>
    </row>
    <row r="14318">
      <c r="C14318" s="1"/>
    </row>
    <row r="14319">
      <c r="C14319" s="1"/>
    </row>
    <row r="14320">
      <c r="C14320" s="1"/>
    </row>
    <row r="14321">
      <c r="C14321" s="1"/>
    </row>
    <row r="14322">
      <c r="C14322" s="1"/>
    </row>
    <row r="14323">
      <c r="C14323" s="1"/>
    </row>
    <row r="14324">
      <c r="C14324" s="1"/>
    </row>
    <row r="14325">
      <c r="C14325" s="1"/>
    </row>
    <row r="14326">
      <c r="C14326" s="1"/>
    </row>
    <row r="14327">
      <c r="C14327" s="1"/>
    </row>
    <row r="14328">
      <c r="C14328" s="1"/>
    </row>
    <row r="14329">
      <c r="C14329" s="1"/>
    </row>
    <row r="14330">
      <c r="C14330" s="1"/>
    </row>
    <row r="14331">
      <c r="C14331" s="1"/>
    </row>
    <row r="14332">
      <c r="C14332" s="1"/>
    </row>
    <row r="14333">
      <c r="C14333" s="1"/>
    </row>
    <row r="14334">
      <c r="C14334" s="1"/>
    </row>
    <row r="14335">
      <c r="C14335" s="1"/>
    </row>
    <row r="14336">
      <c r="C14336" s="1"/>
    </row>
    <row r="14337">
      <c r="C14337" s="1"/>
    </row>
    <row r="14338">
      <c r="C14338" s="1"/>
    </row>
    <row r="14339">
      <c r="C14339" s="1"/>
    </row>
    <row r="14340">
      <c r="C14340" s="1"/>
    </row>
    <row r="14341">
      <c r="C14341" s="1"/>
    </row>
    <row r="14342">
      <c r="C14342" s="1"/>
    </row>
    <row r="14343">
      <c r="C14343" s="1"/>
    </row>
    <row r="14344">
      <c r="C14344" s="1"/>
    </row>
    <row r="14345">
      <c r="C14345" s="1"/>
    </row>
    <row r="14346">
      <c r="C14346" s="1"/>
    </row>
    <row r="14347">
      <c r="C14347" s="1"/>
    </row>
    <row r="14348">
      <c r="C14348" s="1"/>
    </row>
    <row r="14349">
      <c r="C14349" s="1"/>
    </row>
    <row r="14350">
      <c r="C14350" s="1"/>
    </row>
    <row r="14351">
      <c r="C14351" s="1"/>
    </row>
    <row r="14352">
      <c r="C14352" s="1"/>
    </row>
    <row r="14353">
      <c r="C14353" s="1"/>
    </row>
    <row r="14354">
      <c r="C14354" s="1"/>
    </row>
    <row r="14355">
      <c r="C14355" s="1"/>
    </row>
    <row r="14356">
      <c r="C14356" s="1"/>
    </row>
    <row r="14357">
      <c r="C14357" s="1"/>
    </row>
    <row r="14358">
      <c r="C14358" s="1"/>
    </row>
    <row r="14359">
      <c r="C14359" s="1"/>
    </row>
    <row r="14360">
      <c r="C14360" s="1"/>
    </row>
    <row r="14361">
      <c r="C14361" s="1"/>
    </row>
    <row r="14362">
      <c r="C14362" s="1"/>
    </row>
    <row r="14363">
      <c r="C14363" s="1"/>
    </row>
    <row r="14364">
      <c r="C14364" s="1"/>
    </row>
    <row r="14365">
      <c r="C14365" s="1"/>
    </row>
    <row r="14366">
      <c r="C14366" s="1"/>
    </row>
    <row r="14367">
      <c r="C14367" s="1"/>
    </row>
    <row r="14368">
      <c r="C14368" s="1"/>
    </row>
    <row r="14369">
      <c r="C14369" s="1"/>
    </row>
    <row r="14370">
      <c r="C14370" s="1"/>
    </row>
    <row r="14371">
      <c r="C14371" s="1"/>
    </row>
    <row r="14372">
      <c r="C14372" s="1"/>
    </row>
    <row r="14373">
      <c r="C14373" s="1"/>
    </row>
    <row r="14374">
      <c r="C14374" s="1"/>
    </row>
    <row r="14375">
      <c r="C14375" s="1"/>
    </row>
    <row r="14376">
      <c r="C14376" s="1"/>
    </row>
    <row r="14377">
      <c r="C14377" s="1"/>
    </row>
    <row r="14378">
      <c r="C14378" s="1"/>
    </row>
    <row r="14379">
      <c r="C14379" s="1"/>
    </row>
    <row r="14380">
      <c r="C14380" s="1"/>
    </row>
    <row r="14381">
      <c r="C14381" s="1"/>
    </row>
    <row r="14382">
      <c r="C14382" s="1"/>
    </row>
    <row r="14383">
      <c r="C14383" s="1"/>
    </row>
    <row r="14384">
      <c r="C14384" s="1"/>
    </row>
    <row r="14385">
      <c r="C14385" s="1"/>
    </row>
    <row r="14386">
      <c r="C14386" s="1"/>
    </row>
    <row r="14387">
      <c r="C14387" s="1"/>
    </row>
    <row r="14388">
      <c r="C14388" s="1"/>
    </row>
    <row r="14389">
      <c r="C14389" s="1"/>
    </row>
    <row r="14390">
      <c r="C14390" s="1"/>
    </row>
    <row r="14391">
      <c r="C14391" s="1"/>
    </row>
    <row r="14392">
      <c r="C14392" s="1"/>
    </row>
    <row r="14393">
      <c r="C14393" s="1"/>
    </row>
    <row r="14394">
      <c r="C14394" s="1"/>
    </row>
    <row r="14395">
      <c r="C14395" s="1"/>
    </row>
    <row r="14396">
      <c r="C14396" s="1"/>
    </row>
    <row r="14397">
      <c r="C14397" s="1"/>
    </row>
    <row r="14398">
      <c r="C14398" s="1"/>
    </row>
    <row r="14399">
      <c r="C14399" s="1"/>
    </row>
    <row r="14400">
      <c r="C14400" s="1"/>
    </row>
    <row r="14401">
      <c r="C14401" s="1"/>
    </row>
    <row r="14402">
      <c r="C14402" s="1"/>
    </row>
    <row r="14403">
      <c r="C14403" s="1"/>
    </row>
    <row r="14404">
      <c r="C14404" s="1"/>
    </row>
    <row r="14405">
      <c r="C14405" s="1"/>
    </row>
    <row r="14406">
      <c r="C14406" s="1"/>
    </row>
    <row r="14407">
      <c r="C14407" s="1"/>
    </row>
    <row r="14408">
      <c r="C14408" s="1"/>
    </row>
    <row r="14409">
      <c r="C14409" s="1"/>
    </row>
    <row r="14410">
      <c r="C14410" s="1"/>
    </row>
    <row r="14411">
      <c r="C14411" s="1"/>
    </row>
    <row r="14412">
      <c r="C14412" s="1"/>
    </row>
    <row r="14413">
      <c r="C14413" s="1"/>
    </row>
    <row r="14414">
      <c r="C14414" s="1"/>
    </row>
    <row r="14415">
      <c r="C14415" s="1"/>
    </row>
    <row r="14416">
      <c r="C14416" s="1"/>
    </row>
    <row r="14417">
      <c r="C14417" s="1"/>
    </row>
    <row r="14418">
      <c r="C14418" s="1"/>
    </row>
    <row r="14419">
      <c r="C14419" s="1"/>
    </row>
    <row r="14420">
      <c r="C14420" s="1"/>
    </row>
    <row r="14421">
      <c r="C14421" s="1"/>
    </row>
    <row r="14422">
      <c r="C14422" s="1"/>
    </row>
    <row r="14423">
      <c r="C14423" s="1"/>
    </row>
    <row r="14424">
      <c r="C14424" s="1"/>
    </row>
    <row r="14425">
      <c r="C14425" s="1"/>
    </row>
    <row r="14426">
      <c r="C14426" s="1"/>
    </row>
    <row r="14427">
      <c r="C14427" s="1"/>
    </row>
    <row r="14428">
      <c r="C14428" s="1"/>
    </row>
    <row r="14429">
      <c r="C14429" s="1"/>
    </row>
    <row r="14430">
      <c r="C14430" s="1"/>
    </row>
    <row r="14431">
      <c r="C14431" s="1"/>
    </row>
    <row r="14432">
      <c r="C14432" s="1"/>
    </row>
    <row r="14433">
      <c r="C14433" s="1"/>
    </row>
    <row r="14434">
      <c r="C14434" s="1"/>
    </row>
    <row r="14435">
      <c r="C14435" s="1"/>
    </row>
    <row r="14436">
      <c r="C14436" s="1"/>
    </row>
    <row r="14437">
      <c r="C14437" s="1"/>
    </row>
    <row r="14438">
      <c r="C14438" s="1"/>
    </row>
    <row r="14439">
      <c r="C14439" s="1"/>
    </row>
    <row r="14440">
      <c r="C14440" s="1"/>
    </row>
    <row r="14441">
      <c r="C14441" s="1"/>
    </row>
    <row r="14442">
      <c r="C14442" s="1"/>
    </row>
    <row r="14443">
      <c r="C14443" s="1"/>
    </row>
    <row r="14444">
      <c r="C14444" s="1"/>
    </row>
    <row r="14445">
      <c r="C14445" s="1"/>
    </row>
    <row r="14446">
      <c r="C14446" s="1"/>
    </row>
    <row r="14447">
      <c r="C14447" s="1"/>
    </row>
    <row r="14448">
      <c r="C14448" s="1"/>
    </row>
    <row r="14449">
      <c r="C14449" s="1"/>
    </row>
    <row r="14450">
      <c r="C14450" s="1"/>
    </row>
    <row r="14451">
      <c r="C14451" s="1"/>
    </row>
    <row r="14452">
      <c r="C14452" s="1"/>
    </row>
    <row r="14453">
      <c r="C14453" s="1"/>
    </row>
    <row r="14454">
      <c r="C14454" s="1"/>
    </row>
    <row r="14455">
      <c r="C14455" s="1"/>
    </row>
    <row r="14456">
      <c r="C14456" s="1"/>
    </row>
    <row r="14457">
      <c r="C14457" s="1"/>
    </row>
    <row r="14458">
      <c r="C14458" s="1"/>
    </row>
    <row r="14459">
      <c r="C14459" s="1"/>
    </row>
    <row r="14460">
      <c r="C14460" s="1"/>
    </row>
    <row r="14461">
      <c r="C14461" s="1"/>
    </row>
    <row r="14462">
      <c r="C14462" s="1"/>
    </row>
    <row r="14463">
      <c r="C14463" s="1"/>
    </row>
    <row r="14464">
      <c r="C14464" s="1"/>
    </row>
    <row r="14465">
      <c r="C14465" s="1"/>
    </row>
    <row r="14466">
      <c r="C14466" s="1"/>
    </row>
    <row r="14467">
      <c r="C14467" s="1"/>
    </row>
    <row r="14468">
      <c r="C14468" s="1"/>
    </row>
    <row r="14469">
      <c r="C14469" s="1"/>
    </row>
    <row r="14470">
      <c r="C14470" s="1"/>
    </row>
    <row r="14471">
      <c r="C14471" s="1"/>
    </row>
    <row r="14472">
      <c r="C14472" s="1"/>
    </row>
    <row r="14473">
      <c r="C14473" s="1"/>
    </row>
    <row r="14474">
      <c r="C14474" s="1"/>
    </row>
    <row r="14475">
      <c r="C14475" s="1"/>
    </row>
    <row r="14476">
      <c r="C14476" s="1"/>
    </row>
    <row r="14477">
      <c r="C14477" s="1"/>
    </row>
    <row r="14478">
      <c r="C14478" s="1"/>
    </row>
    <row r="14479">
      <c r="C14479" s="1"/>
    </row>
    <row r="14480">
      <c r="C14480" s="1"/>
    </row>
    <row r="14481">
      <c r="C14481" s="1"/>
    </row>
    <row r="14482">
      <c r="C14482" s="1"/>
    </row>
    <row r="14483">
      <c r="C14483" s="1"/>
    </row>
    <row r="14484">
      <c r="C14484" s="1"/>
    </row>
    <row r="14485">
      <c r="C14485" s="1"/>
    </row>
    <row r="14486">
      <c r="C14486" s="1"/>
    </row>
    <row r="14487">
      <c r="C14487" s="1"/>
    </row>
    <row r="14488">
      <c r="C14488" s="1"/>
    </row>
    <row r="14489">
      <c r="C14489" s="1"/>
    </row>
    <row r="14490">
      <c r="C14490" s="1"/>
    </row>
    <row r="14491">
      <c r="C14491" s="1"/>
    </row>
    <row r="14492">
      <c r="C14492" s="1"/>
    </row>
    <row r="14493">
      <c r="C14493" s="1"/>
    </row>
    <row r="14494">
      <c r="C14494" s="1"/>
    </row>
    <row r="14495">
      <c r="C14495" s="1"/>
    </row>
    <row r="14496">
      <c r="C14496" s="1"/>
    </row>
    <row r="14497">
      <c r="C14497" s="1"/>
    </row>
    <row r="14498">
      <c r="C14498" s="1"/>
    </row>
    <row r="14499">
      <c r="C14499" s="1"/>
    </row>
    <row r="14500">
      <c r="C14500" s="1"/>
    </row>
    <row r="14501">
      <c r="C14501" s="1"/>
    </row>
    <row r="14502">
      <c r="C14502" s="1"/>
    </row>
    <row r="14503">
      <c r="C14503" s="1"/>
    </row>
    <row r="14504">
      <c r="C14504" s="1"/>
    </row>
    <row r="14505">
      <c r="C14505" s="1"/>
    </row>
    <row r="14506">
      <c r="C14506" s="1"/>
    </row>
    <row r="14507">
      <c r="C14507" s="1"/>
    </row>
    <row r="14508">
      <c r="C14508" s="1"/>
    </row>
    <row r="14509">
      <c r="C14509" s="1"/>
    </row>
    <row r="14510">
      <c r="C14510" s="1"/>
    </row>
    <row r="14511">
      <c r="C14511" s="1"/>
    </row>
    <row r="14512">
      <c r="C14512" s="1"/>
    </row>
    <row r="14513">
      <c r="C14513" s="1"/>
    </row>
    <row r="14514">
      <c r="C14514" s="1"/>
    </row>
    <row r="14515">
      <c r="C14515" s="1"/>
    </row>
    <row r="14516">
      <c r="C14516" s="1"/>
    </row>
    <row r="14517">
      <c r="C14517" s="1"/>
    </row>
    <row r="14518">
      <c r="C14518" s="1"/>
    </row>
    <row r="14519">
      <c r="C14519" s="1"/>
    </row>
    <row r="14520">
      <c r="C14520" s="1"/>
    </row>
    <row r="14521">
      <c r="C14521" s="1"/>
    </row>
    <row r="14522">
      <c r="C14522" s="1"/>
    </row>
    <row r="14523">
      <c r="C14523" s="1"/>
    </row>
    <row r="14524">
      <c r="C14524" s="1"/>
    </row>
    <row r="14525">
      <c r="C14525" s="1"/>
    </row>
    <row r="14526">
      <c r="C14526" s="1"/>
    </row>
    <row r="14527">
      <c r="C14527" s="1"/>
    </row>
    <row r="14528">
      <c r="C14528" s="1"/>
    </row>
    <row r="14529">
      <c r="C14529" s="1"/>
    </row>
    <row r="14530">
      <c r="C14530" s="1"/>
    </row>
    <row r="14531">
      <c r="C14531" s="1"/>
    </row>
    <row r="14532">
      <c r="C14532" s="1"/>
    </row>
    <row r="14533">
      <c r="C14533" s="1"/>
    </row>
    <row r="14534">
      <c r="C14534" s="1"/>
    </row>
    <row r="14535">
      <c r="C14535" s="1"/>
    </row>
    <row r="14536">
      <c r="C14536" s="1"/>
    </row>
    <row r="14537">
      <c r="C14537" s="1"/>
    </row>
    <row r="14538">
      <c r="C14538" s="1"/>
    </row>
    <row r="14539">
      <c r="C14539" s="1"/>
    </row>
    <row r="14540">
      <c r="C14540" s="1"/>
    </row>
    <row r="14541">
      <c r="C14541" s="1"/>
    </row>
    <row r="14542">
      <c r="C14542" s="1"/>
    </row>
    <row r="14543">
      <c r="C14543" s="1"/>
    </row>
    <row r="14544">
      <c r="C14544" s="1"/>
    </row>
    <row r="14545">
      <c r="C14545" s="1"/>
    </row>
    <row r="14546">
      <c r="C14546" s="1"/>
    </row>
    <row r="14547">
      <c r="C14547" s="1"/>
    </row>
    <row r="14548">
      <c r="C14548" s="1"/>
    </row>
    <row r="14549">
      <c r="C14549" s="1"/>
    </row>
    <row r="14550">
      <c r="C14550" s="1"/>
    </row>
    <row r="14551">
      <c r="C14551" s="1"/>
    </row>
    <row r="14552">
      <c r="C14552" s="1"/>
    </row>
    <row r="14553">
      <c r="C14553" s="1"/>
    </row>
    <row r="14554">
      <c r="C14554" s="1"/>
    </row>
    <row r="14555">
      <c r="C14555" s="1"/>
    </row>
    <row r="14556">
      <c r="C14556" s="1"/>
    </row>
    <row r="14557">
      <c r="C14557" s="1"/>
    </row>
    <row r="14558">
      <c r="C14558" s="1"/>
    </row>
    <row r="14559">
      <c r="C14559" s="1"/>
    </row>
    <row r="14560">
      <c r="C14560" s="1"/>
    </row>
    <row r="14561">
      <c r="C14561" s="1"/>
    </row>
    <row r="14562">
      <c r="C14562" s="1"/>
    </row>
    <row r="14563">
      <c r="C14563" s="1"/>
    </row>
    <row r="14564">
      <c r="C14564" s="1"/>
    </row>
    <row r="14565">
      <c r="C14565" s="1"/>
    </row>
    <row r="14566">
      <c r="C14566" s="1"/>
    </row>
    <row r="14567">
      <c r="C14567" s="1"/>
    </row>
    <row r="14568">
      <c r="C14568" s="1"/>
    </row>
    <row r="14569">
      <c r="C14569" s="1"/>
    </row>
    <row r="14570">
      <c r="C14570" s="1"/>
    </row>
    <row r="14571">
      <c r="C14571" s="1"/>
    </row>
    <row r="14572">
      <c r="C14572" s="1"/>
    </row>
    <row r="14573">
      <c r="C14573" s="1"/>
    </row>
    <row r="14574">
      <c r="C14574" s="1"/>
    </row>
    <row r="14575">
      <c r="C14575" s="1"/>
    </row>
    <row r="14576">
      <c r="C14576" s="1"/>
    </row>
    <row r="14577">
      <c r="C14577" s="1"/>
    </row>
    <row r="14578">
      <c r="C14578" s="1"/>
    </row>
    <row r="14579">
      <c r="C14579" s="1"/>
    </row>
    <row r="14580">
      <c r="C14580" s="1"/>
    </row>
    <row r="14581">
      <c r="C14581" s="1"/>
    </row>
    <row r="14582">
      <c r="C14582" s="1"/>
    </row>
    <row r="14583">
      <c r="C14583" s="1"/>
    </row>
    <row r="14584">
      <c r="C14584" s="1"/>
    </row>
    <row r="14585">
      <c r="C14585" s="1"/>
    </row>
    <row r="14586">
      <c r="C14586" s="1"/>
    </row>
    <row r="14587">
      <c r="C14587" s="1"/>
    </row>
    <row r="14588">
      <c r="C14588" s="1"/>
    </row>
    <row r="14589">
      <c r="C14589" s="1"/>
    </row>
    <row r="14590">
      <c r="C14590" s="1"/>
    </row>
    <row r="14591">
      <c r="C14591" s="1"/>
    </row>
    <row r="14592">
      <c r="C14592" s="1"/>
    </row>
    <row r="14593">
      <c r="C14593" s="1"/>
    </row>
    <row r="14594">
      <c r="C14594" s="1"/>
    </row>
    <row r="14595">
      <c r="C14595" s="1"/>
    </row>
    <row r="14596">
      <c r="C14596" s="1"/>
    </row>
    <row r="14597">
      <c r="C14597" s="1"/>
    </row>
    <row r="14598">
      <c r="C14598" s="1"/>
    </row>
    <row r="14599">
      <c r="C14599" s="1"/>
    </row>
    <row r="14600">
      <c r="C14600" s="1"/>
    </row>
    <row r="14601">
      <c r="C14601" s="1"/>
    </row>
    <row r="14602">
      <c r="C14602" s="1"/>
    </row>
    <row r="14603">
      <c r="C14603" s="1"/>
    </row>
    <row r="14604">
      <c r="C14604" s="1"/>
    </row>
    <row r="14605">
      <c r="C14605" s="1"/>
    </row>
    <row r="14606">
      <c r="C14606" s="1"/>
    </row>
    <row r="14607">
      <c r="C14607" s="1"/>
    </row>
    <row r="14608">
      <c r="C14608" s="1"/>
    </row>
    <row r="14609">
      <c r="C14609" s="1"/>
    </row>
    <row r="14610">
      <c r="C14610" s="1"/>
    </row>
    <row r="14611">
      <c r="C14611" s="1"/>
    </row>
    <row r="14612">
      <c r="C14612" s="1"/>
    </row>
    <row r="14613">
      <c r="C14613" s="1"/>
    </row>
    <row r="14614">
      <c r="C14614" s="1"/>
    </row>
    <row r="14615">
      <c r="C14615" s="1"/>
    </row>
    <row r="14616">
      <c r="C14616" s="1"/>
    </row>
    <row r="14617">
      <c r="C14617" s="1"/>
    </row>
    <row r="14618">
      <c r="C14618" s="1"/>
    </row>
    <row r="14619">
      <c r="C14619" s="1"/>
    </row>
    <row r="14620">
      <c r="C14620" s="1"/>
    </row>
    <row r="14621">
      <c r="C14621" s="1"/>
    </row>
    <row r="14622">
      <c r="C14622" s="1"/>
    </row>
    <row r="14623">
      <c r="C14623" s="1"/>
    </row>
    <row r="14624">
      <c r="C14624" s="1"/>
    </row>
    <row r="14625">
      <c r="C14625" s="1"/>
    </row>
    <row r="14626">
      <c r="C14626" s="1"/>
    </row>
    <row r="14627">
      <c r="C14627" s="1"/>
    </row>
    <row r="14628">
      <c r="C14628" s="1"/>
    </row>
    <row r="14629">
      <c r="C14629" s="1"/>
    </row>
    <row r="14630">
      <c r="C14630" s="1"/>
    </row>
    <row r="14631">
      <c r="C14631" s="1"/>
    </row>
    <row r="14632">
      <c r="C14632" s="1"/>
    </row>
    <row r="14633">
      <c r="C14633" s="1"/>
    </row>
    <row r="14634">
      <c r="C14634" s="1"/>
    </row>
    <row r="14635">
      <c r="C14635" s="1"/>
    </row>
    <row r="14636">
      <c r="C14636" s="1"/>
    </row>
    <row r="14637">
      <c r="C14637" s="1"/>
    </row>
    <row r="14638">
      <c r="C14638" s="1"/>
    </row>
    <row r="14639">
      <c r="C14639" s="1"/>
    </row>
    <row r="14640">
      <c r="C14640" s="1"/>
    </row>
    <row r="14641">
      <c r="C14641" s="1"/>
    </row>
    <row r="14642">
      <c r="C14642" s="1"/>
    </row>
    <row r="14643">
      <c r="C14643" s="1"/>
    </row>
    <row r="14644">
      <c r="C14644" s="1"/>
    </row>
    <row r="14645">
      <c r="C14645" s="1"/>
    </row>
    <row r="14646">
      <c r="C14646" s="1"/>
    </row>
    <row r="14647">
      <c r="C14647" s="1"/>
    </row>
    <row r="14648">
      <c r="C14648" s="1"/>
    </row>
    <row r="14649">
      <c r="C14649" s="1"/>
    </row>
    <row r="14650">
      <c r="C14650" s="1"/>
    </row>
    <row r="14651">
      <c r="C14651" s="1"/>
    </row>
    <row r="14652">
      <c r="C14652" s="1"/>
    </row>
    <row r="14653">
      <c r="C14653" s="1"/>
    </row>
    <row r="14654">
      <c r="C14654" s="1"/>
    </row>
    <row r="14655">
      <c r="C14655" s="1"/>
    </row>
    <row r="14656">
      <c r="C14656" s="1"/>
    </row>
    <row r="14657">
      <c r="C14657" s="1"/>
    </row>
    <row r="14658">
      <c r="C14658" s="1"/>
    </row>
    <row r="14659">
      <c r="C14659" s="1"/>
    </row>
    <row r="14660">
      <c r="C14660" s="1"/>
    </row>
    <row r="14661">
      <c r="C14661" s="1"/>
    </row>
    <row r="14662">
      <c r="C14662" s="1"/>
    </row>
    <row r="14663">
      <c r="C14663" s="1"/>
    </row>
    <row r="14664">
      <c r="C14664" s="1"/>
    </row>
    <row r="14665">
      <c r="C14665" s="1"/>
    </row>
    <row r="14666">
      <c r="C14666" s="1"/>
    </row>
    <row r="14667">
      <c r="C14667" s="1"/>
    </row>
    <row r="14668">
      <c r="C14668" s="1"/>
    </row>
    <row r="14669">
      <c r="C14669" s="1"/>
    </row>
    <row r="14670">
      <c r="C14670" s="1"/>
    </row>
    <row r="14671">
      <c r="C14671" s="1"/>
    </row>
    <row r="14672">
      <c r="C14672" s="1"/>
    </row>
    <row r="14673">
      <c r="C14673" s="1"/>
    </row>
    <row r="14674">
      <c r="C14674" s="1"/>
    </row>
    <row r="14675">
      <c r="C14675" s="1"/>
    </row>
    <row r="14676">
      <c r="C14676" s="1"/>
    </row>
    <row r="14677">
      <c r="C14677" s="1"/>
    </row>
    <row r="14678">
      <c r="C14678" s="1"/>
    </row>
    <row r="14679">
      <c r="C14679" s="1"/>
    </row>
    <row r="14680">
      <c r="C14680" s="1"/>
    </row>
    <row r="14681">
      <c r="C14681" s="1"/>
    </row>
    <row r="14682">
      <c r="C14682" s="1"/>
    </row>
    <row r="14683">
      <c r="C14683" s="1"/>
    </row>
    <row r="14684">
      <c r="C14684" s="1"/>
    </row>
    <row r="14685">
      <c r="C14685" s="1"/>
    </row>
    <row r="14686">
      <c r="C14686" s="1"/>
    </row>
    <row r="14687">
      <c r="C14687" s="1"/>
    </row>
    <row r="14688">
      <c r="C14688" s="1"/>
    </row>
    <row r="14689">
      <c r="C14689" s="1"/>
    </row>
    <row r="14690">
      <c r="C14690" s="1"/>
    </row>
    <row r="14691">
      <c r="C14691" s="1"/>
    </row>
    <row r="14692">
      <c r="C14692" s="1"/>
    </row>
    <row r="14693">
      <c r="C14693" s="1"/>
    </row>
    <row r="14694">
      <c r="C14694" s="1"/>
    </row>
    <row r="14695">
      <c r="C14695" s="1"/>
    </row>
    <row r="14696">
      <c r="C14696" s="1"/>
    </row>
    <row r="14697">
      <c r="C14697" s="1"/>
    </row>
    <row r="14698">
      <c r="C14698" s="1"/>
    </row>
    <row r="14699">
      <c r="C14699" s="1"/>
    </row>
    <row r="14700">
      <c r="C14700" s="1"/>
    </row>
    <row r="14701">
      <c r="C14701" s="1"/>
    </row>
    <row r="14702">
      <c r="C14702" s="1"/>
    </row>
    <row r="14703">
      <c r="C14703" s="1"/>
    </row>
    <row r="14704">
      <c r="C14704" s="1"/>
    </row>
    <row r="14705">
      <c r="C14705" s="1"/>
    </row>
    <row r="14706">
      <c r="C14706" s="1"/>
    </row>
    <row r="14707">
      <c r="C14707" s="1"/>
    </row>
    <row r="14708">
      <c r="C14708" s="1"/>
    </row>
    <row r="14709">
      <c r="C14709" s="1"/>
    </row>
    <row r="14710">
      <c r="C14710" s="1"/>
    </row>
    <row r="14711">
      <c r="C14711" s="1"/>
    </row>
    <row r="14712">
      <c r="C14712" s="1"/>
    </row>
    <row r="14713">
      <c r="C14713" s="1"/>
    </row>
    <row r="14714">
      <c r="C14714" s="1"/>
    </row>
    <row r="14715">
      <c r="C14715" s="1"/>
    </row>
    <row r="14716">
      <c r="C14716" s="1"/>
    </row>
    <row r="14717">
      <c r="C14717" s="1"/>
    </row>
    <row r="14718">
      <c r="C14718" s="1"/>
    </row>
    <row r="14719">
      <c r="C14719" s="1"/>
    </row>
    <row r="14720">
      <c r="C14720" s="1"/>
    </row>
    <row r="14721">
      <c r="C14721" s="1"/>
    </row>
    <row r="14722">
      <c r="C14722" s="1"/>
    </row>
    <row r="14723">
      <c r="C14723" s="1"/>
    </row>
    <row r="14724">
      <c r="C14724" s="1"/>
    </row>
    <row r="14725">
      <c r="C14725" s="1"/>
    </row>
    <row r="14726">
      <c r="C14726" s="1"/>
    </row>
    <row r="14727">
      <c r="C14727" s="1"/>
    </row>
    <row r="14728">
      <c r="C14728" s="1"/>
    </row>
    <row r="14729">
      <c r="C14729" s="1"/>
    </row>
    <row r="14730">
      <c r="C14730" s="1"/>
    </row>
    <row r="14731">
      <c r="C14731" s="1"/>
    </row>
    <row r="14732">
      <c r="C14732" s="1"/>
    </row>
    <row r="14733">
      <c r="C14733" s="1"/>
    </row>
    <row r="14734">
      <c r="C14734" s="1"/>
    </row>
    <row r="14735">
      <c r="C14735" s="1"/>
    </row>
    <row r="14736">
      <c r="C14736" s="1"/>
    </row>
    <row r="14737">
      <c r="C14737" s="1"/>
    </row>
    <row r="14738">
      <c r="C14738" s="1"/>
    </row>
    <row r="14739">
      <c r="C14739" s="1"/>
    </row>
    <row r="14740">
      <c r="C14740" s="1"/>
    </row>
    <row r="14741">
      <c r="C14741" s="1"/>
    </row>
    <row r="14742">
      <c r="C14742" s="1"/>
    </row>
    <row r="14743">
      <c r="C14743" s="1"/>
    </row>
    <row r="14744">
      <c r="C14744" s="1"/>
    </row>
    <row r="14745">
      <c r="C14745" s="1"/>
    </row>
    <row r="14746">
      <c r="C14746" s="1"/>
    </row>
    <row r="14747">
      <c r="C14747" s="1"/>
    </row>
    <row r="14748">
      <c r="C14748" s="1"/>
    </row>
    <row r="14749">
      <c r="C14749" s="1"/>
    </row>
    <row r="14750">
      <c r="C14750" s="1"/>
    </row>
    <row r="14751">
      <c r="C14751" s="1"/>
    </row>
    <row r="14752">
      <c r="C14752" s="1"/>
    </row>
    <row r="14753">
      <c r="C14753" s="1"/>
    </row>
    <row r="14754">
      <c r="C14754" s="1"/>
    </row>
    <row r="14755">
      <c r="C14755" s="1"/>
    </row>
    <row r="14756">
      <c r="C14756" s="1"/>
    </row>
    <row r="14757">
      <c r="C14757" s="1"/>
    </row>
    <row r="14758">
      <c r="C14758" s="1"/>
    </row>
    <row r="14759">
      <c r="C14759" s="1"/>
    </row>
    <row r="14760">
      <c r="C14760" s="1"/>
    </row>
    <row r="14761">
      <c r="C14761" s="1"/>
    </row>
    <row r="14762">
      <c r="C14762" s="1"/>
    </row>
    <row r="14763">
      <c r="C14763" s="1"/>
    </row>
    <row r="14764">
      <c r="C14764" s="1"/>
    </row>
    <row r="14765">
      <c r="C14765" s="1"/>
    </row>
    <row r="14766">
      <c r="C14766" s="1"/>
    </row>
    <row r="14767">
      <c r="C14767" s="1"/>
    </row>
    <row r="14768">
      <c r="C14768" s="1"/>
    </row>
    <row r="14769">
      <c r="C14769" s="1"/>
    </row>
    <row r="14770">
      <c r="C14770" s="1"/>
    </row>
    <row r="14771">
      <c r="C14771" s="1"/>
    </row>
    <row r="14772">
      <c r="C14772" s="1"/>
    </row>
    <row r="14773">
      <c r="C14773" s="1"/>
    </row>
    <row r="14774">
      <c r="C14774" s="1"/>
    </row>
    <row r="14775">
      <c r="C14775" s="1"/>
    </row>
    <row r="14776">
      <c r="C14776" s="1"/>
    </row>
    <row r="14777">
      <c r="C14777" s="1"/>
    </row>
    <row r="14778">
      <c r="C14778" s="1"/>
    </row>
    <row r="14779">
      <c r="C14779" s="1"/>
    </row>
    <row r="14780">
      <c r="C14780" s="1"/>
    </row>
    <row r="14781">
      <c r="C14781" s="1"/>
    </row>
    <row r="14782">
      <c r="C14782" s="1"/>
    </row>
    <row r="14783">
      <c r="C14783" s="1"/>
    </row>
    <row r="14784">
      <c r="C14784" s="1"/>
    </row>
    <row r="14785">
      <c r="C14785" s="1"/>
    </row>
    <row r="14786">
      <c r="C14786" s="1"/>
    </row>
    <row r="14787">
      <c r="C14787" s="1"/>
    </row>
    <row r="14788">
      <c r="C14788" s="1"/>
    </row>
    <row r="14789">
      <c r="C14789" s="1"/>
    </row>
    <row r="14790">
      <c r="C14790" s="1"/>
    </row>
    <row r="14791">
      <c r="C14791" s="1"/>
    </row>
    <row r="14792">
      <c r="C14792" s="1"/>
    </row>
    <row r="14793">
      <c r="C14793" s="1"/>
    </row>
    <row r="14794">
      <c r="C14794" s="1"/>
    </row>
    <row r="14795">
      <c r="C14795" s="1"/>
    </row>
    <row r="14796">
      <c r="C14796" s="1"/>
    </row>
    <row r="14797">
      <c r="C14797" s="1"/>
    </row>
    <row r="14798">
      <c r="C14798" s="1"/>
    </row>
    <row r="14799">
      <c r="C14799" s="1"/>
    </row>
    <row r="14800">
      <c r="C14800" s="1"/>
    </row>
    <row r="14801">
      <c r="C14801" s="1"/>
    </row>
    <row r="14802">
      <c r="C14802" s="1"/>
    </row>
    <row r="14803">
      <c r="C14803" s="1"/>
    </row>
    <row r="14804">
      <c r="C14804" s="1"/>
    </row>
    <row r="14805">
      <c r="C14805" s="1"/>
    </row>
    <row r="14806">
      <c r="C14806" s="1"/>
    </row>
    <row r="14807">
      <c r="C14807" s="1"/>
    </row>
    <row r="14808">
      <c r="C14808" s="1"/>
    </row>
    <row r="14809">
      <c r="C14809" s="1"/>
    </row>
    <row r="14810">
      <c r="C14810" s="1"/>
    </row>
    <row r="14811">
      <c r="C14811" s="1"/>
    </row>
    <row r="14812">
      <c r="C14812" s="1"/>
    </row>
    <row r="14813">
      <c r="C14813" s="1"/>
    </row>
    <row r="14814">
      <c r="C14814" s="1"/>
    </row>
    <row r="14815">
      <c r="C14815" s="1"/>
    </row>
    <row r="14816">
      <c r="C14816" s="1"/>
    </row>
    <row r="14817">
      <c r="C14817" s="1"/>
    </row>
    <row r="14818">
      <c r="C14818" s="1"/>
    </row>
    <row r="14819">
      <c r="C14819" s="1"/>
    </row>
    <row r="14820">
      <c r="C14820" s="1"/>
    </row>
    <row r="14821">
      <c r="C14821" s="1"/>
    </row>
    <row r="14822">
      <c r="C14822" s="1"/>
    </row>
    <row r="14823">
      <c r="C14823" s="1"/>
    </row>
    <row r="14824">
      <c r="C14824" s="1"/>
    </row>
    <row r="14825">
      <c r="C14825" s="1"/>
    </row>
    <row r="14826">
      <c r="C14826" s="1"/>
    </row>
    <row r="14827">
      <c r="C14827" s="1"/>
    </row>
    <row r="14828">
      <c r="C14828" s="1"/>
    </row>
    <row r="14829">
      <c r="C14829" s="1"/>
    </row>
    <row r="14830">
      <c r="C14830" s="1"/>
    </row>
    <row r="14831">
      <c r="C14831" s="1"/>
    </row>
    <row r="14832">
      <c r="C14832" s="1"/>
    </row>
    <row r="14833">
      <c r="C14833" s="1"/>
    </row>
    <row r="14834">
      <c r="C14834" s="1"/>
    </row>
    <row r="14835">
      <c r="C14835" s="1"/>
    </row>
    <row r="14836">
      <c r="C14836" s="1"/>
    </row>
    <row r="14837">
      <c r="C14837" s="1"/>
    </row>
    <row r="14838">
      <c r="C14838" s="1"/>
    </row>
    <row r="14839">
      <c r="C14839" s="1"/>
    </row>
    <row r="14840">
      <c r="C14840" s="1"/>
    </row>
    <row r="14841">
      <c r="C14841" s="1"/>
    </row>
    <row r="14842">
      <c r="C14842" s="1"/>
    </row>
    <row r="14843">
      <c r="C14843" s="1"/>
    </row>
    <row r="14844">
      <c r="C14844" s="1"/>
    </row>
    <row r="14845">
      <c r="C14845" s="1"/>
    </row>
    <row r="14846">
      <c r="C14846" s="1"/>
    </row>
    <row r="14847">
      <c r="C14847" s="1"/>
    </row>
    <row r="14848">
      <c r="C14848" s="1"/>
    </row>
    <row r="14849">
      <c r="C14849" s="1"/>
    </row>
    <row r="14850">
      <c r="C14850" s="1"/>
    </row>
    <row r="14851">
      <c r="C14851" s="1"/>
    </row>
    <row r="14852">
      <c r="C14852" s="1"/>
    </row>
    <row r="14853">
      <c r="C14853" s="1"/>
    </row>
    <row r="14854">
      <c r="C14854" s="1"/>
    </row>
    <row r="14855">
      <c r="C14855" s="1"/>
    </row>
    <row r="14856">
      <c r="C14856" s="1"/>
    </row>
    <row r="14857">
      <c r="C14857" s="1"/>
    </row>
    <row r="14858">
      <c r="C14858" s="1"/>
    </row>
    <row r="14859">
      <c r="C14859" s="1"/>
    </row>
    <row r="14860">
      <c r="C14860" s="1"/>
    </row>
    <row r="14861">
      <c r="C14861" s="1"/>
    </row>
    <row r="14862">
      <c r="C14862" s="1"/>
    </row>
    <row r="14863">
      <c r="C14863" s="1"/>
    </row>
    <row r="14864">
      <c r="C14864" s="1"/>
    </row>
    <row r="14865">
      <c r="C14865" s="1"/>
    </row>
    <row r="14866">
      <c r="C14866" s="1"/>
    </row>
    <row r="14867">
      <c r="C14867" s="1"/>
    </row>
    <row r="14868">
      <c r="C14868" s="1"/>
    </row>
    <row r="14869">
      <c r="C14869" s="1"/>
    </row>
    <row r="14870">
      <c r="C14870" s="1"/>
    </row>
    <row r="14871">
      <c r="C14871" s="1"/>
    </row>
    <row r="14872">
      <c r="C14872" s="1"/>
    </row>
    <row r="14873">
      <c r="C14873" s="1"/>
    </row>
    <row r="14874">
      <c r="C14874" s="1"/>
    </row>
    <row r="14875">
      <c r="C14875" s="1"/>
    </row>
    <row r="14876">
      <c r="C14876" s="1"/>
    </row>
    <row r="14877">
      <c r="C14877" s="1"/>
    </row>
    <row r="14878">
      <c r="C14878" s="1"/>
    </row>
    <row r="14879">
      <c r="C14879" s="1"/>
    </row>
    <row r="14880">
      <c r="C14880" s="1"/>
    </row>
    <row r="14881">
      <c r="C14881" s="1"/>
    </row>
    <row r="14882">
      <c r="C14882" s="1"/>
    </row>
    <row r="14883">
      <c r="C14883" s="1"/>
    </row>
    <row r="14884">
      <c r="C14884" s="1"/>
    </row>
    <row r="14885">
      <c r="C14885" s="1"/>
    </row>
    <row r="14886">
      <c r="C14886" s="1"/>
    </row>
    <row r="14887">
      <c r="C14887" s="1"/>
    </row>
    <row r="14888">
      <c r="C14888" s="1"/>
    </row>
    <row r="14889">
      <c r="C14889" s="1"/>
    </row>
    <row r="14890">
      <c r="C14890" s="1"/>
    </row>
    <row r="14891">
      <c r="C14891" s="1"/>
    </row>
    <row r="14892">
      <c r="C14892" s="1"/>
    </row>
    <row r="14893">
      <c r="C14893" s="1"/>
    </row>
    <row r="14894">
      <c r="C14894" s="1"/>
    </row>
    <row r="14895">
      <c r="C14895" s="1"/>
    </row>
    <row r="14896">
      <c r="C14896" s="1"/>
    </row>
    <row r="14897">
      <c r="C14897" s="1"/>
    </row>
    <row r="14898">
      <c r="C14898" s="1"/>
    </row>
    <row r="14899">
      <c r="C14899" s="1"/>
    </row>
    <row r="14900">
      <c r="C14900" s="1"/>
    </row>
    <row r="14901">
      <c r="C14901" s="1"/>
    </row>
    <row r="14902">
      <c r="C14902" s="1"/>
    </row>
    <row r="14903">
      <c r="C14903" s="1"/>
    </row>
    <row r="14904">
      <c r="C14904" s="1"/>
    </row>
    <row r="14905">
      <c r="C14905" s="1"/>
    </row>
    <row r="14906">
      <c r="C14906" s="1"/>
    </row>
    <row r="14907">
      <c r="C14907" s="1"/>
    </row>
    <row r="14908">
      <c r="C14908" s="1"/>
    </row>
    <row r="14909">
      <c r="C14909" s="1"/>
    </row>
    <row r="14910">
      <c r="C14910" s="1"/>
    </row>
    <row r="14911">
      <c r="C14911" s="1"/>
    </row>
    <row r="14912">
      <c r="C14912" s="1"/>
    </row>
    <row r="14913">
      <c r="C14913" s="1"/>
    </row>
    <row r="14914">
      <c r="C14914" s="1"/>
    </row>
    <row r="14915">
      <c r="C14915" s="1"/>
    </row>
    <row r="14916">
      <c r="C14916" s="1"/>
    </row>
    <row r="14917">
      <c r="C14917" s="1"/>
    </row>
    <row r="14918">
      <c r="C14918" s="1"/>
    </row>
    <row r="14919">
      <c r="C14919" s="1"/>
    </row>
    <row r="14920">
      <c r="C14920" s="1"/>
    </row>
    <row r="14921">
      <c r="C14921" s="1"/>
    </row>
    <row r="14922">
      <c r="C14922" s="1"/>
    </row>
    <row r="14923">
      <c r="C14923" s="1"/>
    </row>
    <row r="14924">
      <c r="C14924" s="1"/>
    </row>
    <row r="14925">
      <c r="C14925" s="1"/>
    </row>
    <row r="14926">
      <c r="C14926" s="1"/>
    </row>
    <row r="14927">
      <c r="C14927" s="1"/>
    </row>
    <row r="14928">
      <c r="C14928" s="1"/>
    </row>
    <row r="14929">
      <c r="C14929" s="1"/>
    </row>
    <row r="14930">
      <c r="C14930" s="1"/>
    </row>
    <row r="14931">
      <c r="C14931" s="1"/>
    </row>
    <row r="14932">
      <c r="C14932" s="1"/>
    </row>
    <row r="14933">
      <c r="C14933" s="1"/>
    </row>
    <row r="14934">
      <c r="C14934" s="1"/>
    </row>
    <row r="14935">
      <c r="C14935" s="1"/>
    </row>
    <row r="14936">
      <c r="C14936" s="1"/>
    </row>
    <row r="14937">
      <c r="C14937" s="1"/>
    </row>
    <row r="14938">
      <c r="C14938" s="1"/>
    </row>
    <row r="14939">
      <c r="C14939" s="1"/>
    </row>
    <row r="14940">
      <c r="C14940" s="1"/>
    </row>
    <row r="14941">
      <c r="C14941" s="1"/>
    </row>
    <row r="14942">
      <c r="C14942" s="1"/>
    </row>
    <row r="14943">
      <c r="C14943" s="1"/>
    </row>
    <row r="14944">
      <c r="C14944" s="1"/>
    </row>
    <row r="14945">
      <c r="C14945" s="1"/>
    </row>
    <row r="14946">
      <c r="C14946" s="1"/>
    </row>
    <row r="14947">
      <c r="C14947" s="1"/>
    </row>
    <row r="14948">
      <c r="C14948" s="1"/>
    </row>
    <row r="14949">
      <c r="C14949" s="1"/>
    </row>
    <row r="14950">
      <c r="C14950" s="1"/>
    </row>
    <row r="14951">
      <c r="C14951" s="1"/>
    </row>
    <row r="14952">
      <c r="C14952" s="1"/>
    </row>
    <row r="14953">
      <c r="C14953" s="1"/>
    </row>
    <row r="14954">
      <c r="C14954" s="1"/>
    </row>
    <row r="14955">
      <c r="C14955" s="1"/>
    </row>
    <row r="14956">
      <c r="C14956" s="1"/>
    </row>
    <row r="14957">
      <c r="C14957" s="1"/>
    </row>
    <row r="14958">
      <c r="C14958" s="1"/>
    </row>
    <row r="14959">
      <c r="C14959" s="1"/>
    </row>
    <row r="14960">
      <c r="C14960" s="1"/>
    </row>
    <row r="14961">
      <c r="C14961" s="1"/>
    </row>
    <row r="14962">
      <c r="C14962" s="1"/>
    </row>
    <row r="14963">
      <c r="C14963" s="1"/>
    </row>
    <row r="14964">
      <c r="C14964" s="1"/>
    </row>
    <row r="14965">
      <c r="C14965" s="1"/>
    </row>
    <row r="14966">
      <c r="C14966" s="1"/>
    </row>
    <row r="14967">
      <c r="C14967" s="1"/>
    </row>
    <row r="14968">
      <c r="C14968" s="1"/>
    </row>
    <row r="14969">
      <c r="C14969" s="1"/>
    </row>
    <row r="14970">
      <c r="C14970" s="1"/>
    </row>
    <row r="14971">
      <c r="C14971" s="1"/>
    </row>
    <row r="14972">
      <c r="C14972" s="1"/>
    </row>
    <row r="14973">
      <c r="C14973" s="1"/>
    </row>
    <row r="14974">
      <c r="C14974" s="1"/>
    </row>
    <row r="14975">
      <c r="C14975" s="1"/>
    </row>
    <row r="14976">
      <c r="C14976" s="1"/>
    </row>
    <row r="14977">
      <c r="C14977" s="1"/>
    </row>
    <row r="14978">
      <c r="C14978" s="1"/>
    </row>
    <row r="14979">
      <c r="C14979" s="1"/>
    </row>
    <row r="14980">
      <c r="C14980" s="1"/>
    </row>
    <row r="14981">
      <c r="C14981" s="1"/>
    </row>
    <row r="14982">
      <c r="C14982" s="1"/>
    </row>
    <row r="14983">
      <c r="C14983" s="1"/>
    </row>
    <row r="14984">
      <c r="C14984" s="1"/>
    </row>
    <row r="14985">
      <c r="C14985" s="1"/>
    </row>
    <row r="14986">
      <c r="C14986" s="1"/>
    </row>
    <row r="14987">
      <c r="C14987" s="1"/>
    </row>
    <row r="14988">
      <c r="C14988" s="1"/>
    </row>
    <row r="14989">
      <c r="C14989" s="1"/>
    </row>
    <row r="14990">
      <c r="C14990" s="1"/>
    </row>
    <row r="14991">
      <c r="C14991" s="1"/>
    </row>
    <row r="14992">
      <c r="C14992" s="1"/>
    </row>
    <row r="14993">
      <c r="C14993" s="1"/>
    </row>
    <row r="14994">
      <c r="C14994" s="1"/>
    </row>
    <row r="14995">
      <c r="C14995" s="1"/>
    </row>
    <row r="14996">
      <c r="C14996" s="1"/>
    </row>
    <row r="14997">
      <c r="C14997" s="1"/>
    </row>
    <row r="14998">
      <c r="C14998" s="1"/>
    </row>
    <row r="14999">
      <c r="C14999" s="1"/>
    </row>
    <row r="15000">
      <c r="C15000" s="1"/>
    </row>
    <row r="15001">
      <c r="C15001" s="1"/>
    </row>
    <row r="15002">
      <c r="C15002" s="1"/>
    </row>
    <row r="15003">
      <c r="C15003" s="1"/>
    </row>
    <row r="15004">
      <c r="C15004" s="1"/>
    </row>
    <row r="15005">
      <c r="C15005" s="1"/>
    </row>
    <row r="15006">
      <c r="C15006" s="1"/>
    </row>
    <row r="15007">
      <c r="C15007" s="1"/>
    </row>
    <row r="15008">
      <c r="C15008" s="1"/>
    </row>
    <row r="15009">
      <c r="C15009" s="1"/>
    </row>
    <row r="15010">
      <c r="C15010" s="1"/>
    </row>
    <row r="15011">
      <c r="C15011" s="1"/>
    </row>
    <row r="15012">
      <c r="C15012" s="1"/>
    </row>
    <row r="15013">
      <c r="C15013" s="1"/>
    </row>
    <row r="15014">
      <c r="C15014" s="1"/>
    </row>
    <row r="15015">
      <c r="C15015" s="1"/>
    </row>
    <row r="15016">
      <c r="C15016" s="1"/>
    </row>
    <row r="15017">
      <c r="C15017" s="1"/>
    </row>
    <row r="15018">
      <c r="C15018" s="1"/>
    </row>
    <row r="15019">
      <c r="C15019" s="1"/>
    </row>
    <row r="15020">
      <c r="C15020" s="1"/>
    </row>
    <row r="15021">
      <c r="C15021" s="1"/>
    </row>
    <row r="15022">
      <c r="C15022" s="1"/>
    </row>
    <row r="15023">
      <c r="C15023" s="1"/>
    </row>
    <row r="15024">
      <c r="C15024" s="1"/>
    </row>
    <row r="15025">
      <c r="C15025" s="1"/>
    </row>
    <row r="15026">
      <c r="C15026" s="1"/>
    </row>
    <row r="15027">
      <c r="C15027" s="1"/>
    </row>
    <row r="15028">
      <c r="C15028" s="1"/>
    </row>
    <row r="15029">
      <c r="C15029" s="1"/>
    </row>
    <row r="15030">
      <c r="C15030" s="1"/>
    </row>
    <row r="15031">
      <c r="C15031" s="1"/>
    </row>
    <row r="15032">
      <c r="C15032" s="1"/>
    </row>
    <row r="15033">
      <c r="C15033" s="1"/>
    </row>
    <row r="15034">
      <c r="C15034" s="1"/>
    </row>
    <row r="15035">
      <c r="C15035" s="1"/>
    </row>
    <row r="15036">
      <c r="C15036" s="1"/>
    </row>
    <row r="15037">
      <c r="C15037" s="1"/>
    </row>
    <row r="15038">
      <c r="C15038" s="1"/>
    </row>
    <row r="15039">
      <c r="C15039" s="1"/>
    </row>
    <row r="15040">
      <c r="C15040" s="1"/>
    </row>
    <row r="15041">
      <c r="C15041" s="1"/>
    </row>
    <row r="15042">
      <c r="C15042" s="1"/>
    </row>
    <row r="15043">
      <c r="C15043" s="1"/>
    </row>
    <row r="15044">
      <c r="C15044" s="1"/>
    </row>
    <row r="15045">
      <c r="C15045" s="1"/>
    </row>
    <row r="15046">
      <c r="C15046" s="1"/>
    </row>
    <row r="15047">
      <c r="C15047" s="1"/>
    </row>
    <row r="15048">
      <c r="C15048" s="1"/>
    </row>
    <row r="15049">
      <c r="C15049" s="1"/>
    </row>
    <row r="15050">
      <c r="C15050" s="1"/>
    </row>
    <row r="15051">
      <c r="C15051" s="1"/>
    </row>
    <row r="15052">
      <c r="C15052" s="1"/>
    </row>
    <row r="15053">
      <c r="C15053" s="1"/>
    </row>
    <row r="15054">
      <c r="C15054" s="1"/>
    </row>
    <row r="15055">
      <c r="C15055" s="1"/>
    </row>
    <row r="15056">
      <c r="C15056" s="1"/>
    </row>
    <row r="15057">
      <c r="C15057" s="1"/>
    </row>
    <row r="15058">
      <c r="C15058" s="1"/>
    </row>
    <row r="15059">
      <c r="C15059" s="1"/>
    </row>
    <row r="15060">
      <c r="C15060" s="1"/>
    </row>
    <row r="15061">
      <c r="C15061" s="1"/>
    </row>
    <row r="15062">
      <c r="C15062" s="1"/>
    </row>
    <row r="15063">
      <c r="C15063" s="1"/>
    </row>
    <row r="15064">
      <c r="C15064" s="1"/>
    </row>
    <row r="15065">
      <c r="C15065" s="1"/>
    </row>
    <row r="15066">
      <c r="C15066" s="1"/>
    </row>
    <row r="15067">
      <c r="C15067" s="1"/>
    </row>
    <row r="15068">
      <c r="C15068" s="1"/>
    </row>
    <row r="15069">
      <c r="C15069" s="1"/>
    </row>
    <row r="15070">
      <c r="C15070" s="1"/>
    </row>
    <row r="15071">
      <c r="C15071" s="1"/>
    </row>
    <row r="15072">
      <c r="C15072" s="1"/>
    </row>
    <row r="15073">
      <c r="C15073" s="1"/>
    </row>
    <row r="15074">
      <c r="C15074" s="1"/>
    </row>
    <row r="15075">
      <c r="C15075" s="1"/>
    </row>
    <row r="15076">
      <c r="C15076" s="1"/>
    </row>
    <row r="15077">
      <c r="C15077" s="1"/>
    </row>
    <row r="15078">
      <c r="C15078" s="1"/>
    </row>
    <row r="15079">
      <c r="C15079" s="1"/>
    </row>
    <row r="15080">
      <c r="C15080" s="1"/>
    </row>
    <row r="15081">
      <c r="C15081" s="1"/>
    </row>
    <row r="15082">
      <c r="C15082" s="1"/>
    </row>
    <row r="15083">
      <c r="C15083" s="1"/>
    </row>
    <row r="15084">
      <c r="C15084" s="1"/>
    </row>
    <row r="15085">
      <c r="C15085" s="1"/>
    </row>
    <row r="15086">
      <c r="C15086" s="1"/>
    </row>
    <row r="15087">
      <c r="C15087" s="1"/>
    </row>
    <row r="15088">
      <c r="C15088" s="1"/>
    </row>
    <row r="15089">
      <c r="C15089" s="1"/>
    </row>
    <row r="15090">
      <c r="C15090" s="1"/>
    </row>
    <row r="15091">
      <c r="C15091" s="1"/>
    </row>
    <row r="15092">
      <c r="C15092" s="1"/>
    </row>
    <row r="15093">
      <c r="C15093" s="1"/>
    </row>
    <row r="15094">
      <c r="C15094" s="1"/>
    </row>
    <row r="15095">
      <c r="C15095" s="1"/>
    </row>
    <row r="15096">
      <c r="C15096" s="1"/>
    </row>
    <row r="15097">
      <c r="C15097" s="1"/>
    </row>
    <row r="15098">
      <c r="C15098" s="1"/>
    </row>
    <row r="15099">
      <c r="C15099" s="1"/>
    </row>
    <row r="15100">
      <c r="C15100" s="1"/>
    </row>
    <row r="15101">
      <c r="C15101" s="1"/>
    </row>
    <row r="15102">
      <c r="C15102" s="1"/>
    </row>
    <row r="15103">
      <c r="C15103" s="1"/>
    </row>
    <row r="15104">
      <c r="C15104" s="1"/>
    </row>
    <row r="15105">
      <c r="C15105" s="1"/>
    </row>
    <row r="15106">
      <c r="C15106" s="1"/>
    </row>
    <row r="15107">
      <c r="C15107" s="1"/>
    </row>
    <row r="15108">
      <c r="C15108" s="1"/>
    </row>
    <row r="15109">
      <c r="C15109" s="1"/>
    </row>
    <row r="15110">
      <c r="C15110" s="1"/>
    </row>
    <row r="15111">
      <c r="C15111" s="1"/>
    </row>
    <row r="15112">
      <c r="C15112" s="1"/>
    </row>
    <row r="15113">
      <c r="C15113" s="1"/>
    </row>
    <row r="15114">
      <c r="C15114" s="1"/>
    </row>
    <row r="15115">
      <c r="C15115" s="1"/>
    </row>
    <row r="15116">
      <c r="C15116" s="1"/>
    </row>
    <row r="15117">
      <c r="C15117" s="1"/>
    </row>
    <row r="15118">
      <c r="C15118" s="1"/>
    </row>
    <row r="15119">
      <c r="C15119" s="1"/>
    </row>
    <row r="15120">
      <c r="C15120" s="1"/>
    </row>
    <row r="15121">
      <c r="C15121" s="1"/>
    </row>
    <row r="15122">
      <c r="C15122" s="1"/>
    </row>
    <row r="15123">
      <c r="C15123" s="1"/>
    </row>
    <row r="15124">
      <c r="C15124" s="1"/>
    </row>
    <row r="15125">
      <c r="C15125" s="1"/>
    </row>
    <row r="15126">
      <c r="C15126" s="1"/>
    </row>
    <row r="15127">
      <c r="C15127" s="1"/>
    </row>
    <row r="15128">
      <c r="C15128" s="1"/>
    </row>
    <row r="15129">
      <c r="C15129" s="1"/>
    </row>
    <row r="15130">
      <c r="C15130" s="1"/>
    </row>
    <row r="15131">
      <c r="C15131" s="1"/>
    </row>
    <row r="15132">
      <c r="C15132" s="1"/>
    </row>
    <row r="15133">
      <c r="C15133" s="1"/>
    </row>
    <row r="15134">
      <c r="C15134" s="1"/>
    </row>
    <row r="15135">
      <c r="C15135" s="1"/>
    </row>
    <row r="15136">
      <c r="C15136" s="1"/>
    </row>
    <row r="15137">
      <c r="C15137" s="1"/>
    </row>
    <row r="15138">
      <c r="C15138" s="1"/>
    </row>
    <row r="15139">
      <c r="C15139" s="1"/>
    </row>
    <row r="15140">
      <c r="C15140" s="1"/>
    </row>
    <row r="15141">
      <c r="C15141" s="1"/>
    </row>
    <row r="15142">
      <c r="C15142" s="1"/>
    </row>
    <row r="15143">
      <c r="C15143" s="1"/>
    </row>
    <row r="15144">
      <c r="C15144" s="1"/>
    </row>
    <row r="15145">
      <c r="C15145" s="1"/>
    </row>
    <row r="15146">
      <c r="C15146" s="1"/>
    </row>
    <row r="15147">
      <c r="C15147" s="1"/>
    </row>
    <row r="15148">
      <c r="C15148" s="1"/>
    </row>
    <row r="15149">
      <c r="C15149" s="1"/>
    </row>
    <row r="15150">
      <c r="C15150" s="1"/>
    </row>
    <row r="15151">
      <c r="C15151" s="1"/>
    </row>
    <row r="15152">
      <c r="C15152" s="1"/>
    </row>
    <row r="15153">
      <c r="C15153" s="1"/>
    </row>
    <row r="15154">
      <c r="C15154" s="1"/>
    </row>
    <row r="15155">
      <c r="C15155" s="1"/>
    </row>
    <row r="15156">
      <c r="C15156" s="1"/>
    </row>
    <row r="15157">
      <c r="C15157" s="1"/>
    </row>
    <row r="15158">
      <c r="C15158" s="1"/>
    </row>
    <row r="15159">
      <c r="C15159" s="1"/>
    </row>
    <row r="15160">
      <c r="C15160" s="1"/>
    </row>
    <row r="15161">
      <c r="C15161" s="1"/>
    </row>
    <row r="15162">
      <c r="C15162" s="1"/>
    </row>
    <row r="15163">
      <c r="C15163" s="1"/>
    </row>
    <row r="15164">
      <c r="C15164" s="1"/>
    </row>
    <row r="15165">
      <c r="C15165" s="1"/>
    </row>
    <row r="15166">
      <c r="C15166" s="1"/>
    </row>
    <row r="15167">
      <c r="C15167" s="1"/>
    </row>
    <row r="15168">
      <c r="C15168" s="1"/>
    </row>
    <row r="15169">
      <c r="C15169" s="1"/>
    </row>
    <row r="15170">
      <c r="C15170" s="1"/>
    </row>
    <row r="15171">
      <c r="C15171" s="1"/>
    </row>
    <row r="15172">
      <c r="C15172" s="1"/>
    </row>
    <row r="15173">
      <c r="C15173" s="1"/>
    </row>
    <row r="15174">
      <c r="C15174" s="1"/>
    </row>
    <row r="15175">
      <c r="C15175" s="1"/>
    </row>
    <row r="15176">
      <c r="C15176" s="1"/>
    </row>
    <row r="15177">
      <c r="C15177" s="1"/>
    </row>
    <row r="15178">
      <c r="C15178" s="1"/>
    </row>
    <row r="15179">
      <c r="C15179" s="1"/>
    </row>
    <row r="15180">
      <c r="C15180" s="1"/>
    </row>
    <row r="15181">
      <c r="C15181" s="1"/>
    </row>
    <row r="15182">
      <c r="C15182" s="1"/>
    </row>
    <row r="15183">
      <c r="C15183" s="1"/>
    </row>
    <row r="15184">
      <c r="C15184" s="1"/>
    </row>
    <row r="15185">
      <c r="C15185" s="1"/>
    </row>
    <row r="15186">
      <c r="C15186" s="1"/>
    </row>
    <row r="15187">
      <c r="C15187" s="1"/>
    </row>
    <row r="15188">
      <c r="C15188" s="1"/>
    </row>
    <row r="15189">
      <c r="C15189" s="1"/>
    </row>
    <row r="15190">
      <c r="C15190" s="1"/>
    </row>
    <row r="15191">
      <c r="C15191" s="1"/>
    </row>
    <row r="15192">
      <c r="C15192" s="1"/>
    </row>
    <row r="15193">
      <c r="C15193" s="1"/>
    </row>
    <row r="15194">
      <c r="C15194" s="1"/>
    </row>
    <row r="15195">
      <c r="C15195" s="1"/>
    </row>
    <row r="15196">
      <c r="C15196" s="1"/>
    </row>
    <row r="15197">
      <c r="C15197" s="1"/>
    </row>
    <row r="15198">
      <c r="C15198" s="1"/>
    </row>
    <row r="15199">
      <c r="C15199" s="1"/>
    </row>
    <row r="15200">
      <c r="C15200" s="1"/>
    </row>
    <row r="15201">
      <c r="C15201" s="1"/>
    </row>
    <row r="15202">
      <c r="C15202" s="1"/>
    </row>
    <row r="15203">
      <c r="C15203" s="1"/>
    </row>
    <row r="15204">
      <c r="C15204" s="1"/>
    </row>
    <row r="15205">
      <c r="C15205" s="1"/>
    </row>
    <row r="15206">
      <c r="C15206" s="1"/>
    </row>
    <row r="15207">
      <c r="C15207" s="1"/>
    </row>
    <row r="15208">
      <c r="C15208" s="1"/>
    </row>
    <row r="15209">
      <c r="C15209" s="1"/>
    </row>
    <row r="15210">
      <c r="C15210" s="1"/>
    </row>
    <row r="15211">
      <c r="C15211" s="1"/>
    </row>
    <row r="15212">
      <c r="C15212" s="1"/>
    </row>
    <row r="15213">
      <c r="C15213" s="1"/>
    </row>
    <row r="15214">
      <c r="C15214" s="1"/>
    </row>
    <row r="15215">
      <c r="C15215" s="1"/>
    </row>
    <row r="15216">
      <c r="C15216" s="1"/>
    </row>
    <row r="15217">
      <c r="C15217" s="1"/>
    </row>
    <row r="15218">
      <c r="C15218" s="1"/>
    </row>
    <row r="15219">
      <c r="C15219" s="1"/>
    </row>
    <row r="15220">
      <c r="C15220" s="1"/>
    </row>
    <row r="15221">
      <c r="C15221" s="1"/>
    </row>
    <row r="15222">
      <c r="C15222" s="1"/>
    </row>
    <row r="15223">
      <c r="C15223" s="1"/>
    </row>
    <row r="15224">
      <c r="C15224" s="1"/>
    </row>
    <row r="15225">
      <c r="C15225" s="1"/>
    </row>
    <row r="15226">
      <c r="C15226" s="1"/>
    </row>
    <row r="15227">
      <c r="C15227" s="1"/>
    </row>
    <row r="15228">
      <c r="C15228" s="1"/>
    </row>
    <row r="15229">
      <c r="C15229" s="1"/>
    </row>
    <row r="15230">
      <c r="C15230" s="1"/>
    </row>
    <row r="15231">
      <c r="C15231" s="1"/>
    </row>
    <row r="15232">
      <c r="C15232" s="1"/>
    </row>
    <row r="15233">
      <c r="C15233" s="1"/>
    </row>
    <row r="15234">
      <c r="C15234" s="1"/>
    </row>
    <row r="15235">
      <c r="C15235" s="1"/>
    </row>
    <row r="15236">
      <c r="C15236" s="1"/>
    </row>
    <row r="15237">
      <c r="C15237" s="1"/>
    </row>
    <row r="15238">
      <c r="C15238" s="1"/>
    </row>
    <row r="15239">
      <c r="C15239" s="1"/>
    </row>
    <row r="15240">
      <c r="C15240" s="1"/>
    </row>
    <row r="15241">
      <c r="C15241" s="1"/>
    </row>
    <row r="15242">
      <c r="C15242" s="1"/>
    </row>
    <row r="15243">
      <c r="C15243" s="1"/>
    </row>
    <row r="15244">
      <c r="C15244" s="1"/>
    </row>
    <row r="15245">
      <c r="C15245" s="1"/>
    </row>
    <row r="15246">
      <c r="C15246" s="1"/>
    </row>
    <row r="15247">
      <c r="C15247" s="1"/>
    </row>
    <row r="15248">
      <c r="C15248" s="1"/>
    </row>
    <row r="15249">
      <c r="C15249" s="1"/>
    </row>
    <row r="15250">
      <c r="C15250" s="1"/>
    </row>
    <row r="15251">
      <c r="C15251" s="1"/>
    </row>
    <row r="15252">
      <c r="C15252" s="1"/>
    </row>
    <row r="15253">
      <c r="C15253" s="1"/>
    </row>
    <row r="15254">
      <c r="C15254" s="1"/>
    </row>
    <row r="15255">
      <c r="C15255" s="1"/>
    </row>
    <row r="15256">
      <c r="C15256" s="1"/>
    </row>
    <row r="15257">
      <c r="C15257" s="1"/>
    </row>
    <row r="15258">
      <c r="C15258" s="1"/>
    </row>
    <row r="15259">
      <c r="C15259" s="1"/>
    </row>
    <row r="15260">
      <c r="C15260" s="1"/>
    </row>
    <row r="15261">
      <c r="C15261" s="1"/>
    </row>
    <row r="15262">
      <c r="C15262" s="1"/>
    </row>
    <row r="15263">
      <c r="C15263" s="1"/>
    </row>
    <row r="15264">
      <c r="C15264" s="1"/>
    </row>
    <row r="15265">
      <c r="C15265" s="1"/>
    </row>
    <row r="15266">
      <c r="C15266" s="1"/>
    </row>
    <row r="15267">
      <c r="C15267" s="1"/>
    </row>
    <row r="15268">
      <c r="C15268" s="1"/>
    </row>
    <row r="15269">
      <c r="C15269" s="1"/>
    </row>
    <row r="15270">
      <c r="C15270" s="1"/>
    </row>
    <row r="15271">
      <c r="C15271" s="1"/>
    </row>
    <row r="15272">
      <c r="C15272" s="1"/>
    </row>
    <row r="15273">
      <c r="C15273" s="1"/>
    </row>
    <row r="15274">
      <c r="C15274" s="1"/>
    </row>
    <row r="15275">
      <c r="C15275" s="1"/>
    </row>
    <row r="15276">
      <c r="C15276" s="1"/>
    </row>
    <row r="15277">
      <c r="C15277" s="1"/>
    </row>
    <row r="15278">
      <c r="C15278" s="1"/>
    </row>
    <row r="15279">
      <c r="C15279" s="1"/>
    </row>
    <row r="15280">
      <c r="C15280" s="1"/>
    </row>
    <row r="15281">
      <c r="C15281" s="1"/>
    </row>
    <row r="15282">
      <c r="C15282" s="1"/>
    </row>
    <row r="15283">
      <c r="C15283" s="1"/>
    </row>
    <row r="15284">
      <c r="C15284" s="1"/>
    </row>
    <row r="15285">
      <c r="C15285" s="1"/>
    </row>
    <row r="15286">
      <c r="C15286" s="1"/>
    </row>
    <row r="15287">
      <c r="C15287" s="1"/>
    </row>
    <row r="15288">
      <c r="C15288" s="1"/>
    </row>
    <row r="15289">
      <c r="C15289" s="1"/>
    </row>
    <row r="15290">
      <c r="C15290" s="1"/>
    </row>
    <row r="15291">
      <c r="C15291" s="1"/>
    </row>
    <row r="15292">
      <c r="C15292" s="1"/>
    </row>
    <row r="15293">
      <c r="C15293" s="1"/>
    </row>
    <row r="15294">
      <c r="C15294" s="1"/>
    </row>
    <row r="15295">
      <c r="C15295" s="1"/>
    </row>
    <row r="15296">
      <c r="C15296" s="1"/>
    </row>
    <row r="15297">
      <c r="C15297" s="1"/>
    </row>
    <row r="15298">
      <c r="C15298" s="1"/>
    </row>
    <row r="15299">
      <c r="C15299" s="1"/>
    </row>
    <row r="15300">
      <c r="C15300" s="1"/>
    </row>
    <row r="15301">
      <c r="C15301" s="1"/>
    </row>
    <row r="15302">
      <c r="C15302" s="1"/>
    </row>
    <row r="15303">
      <c r="C15303" s="1"/>
    </row>
    <row r="15304">
      <c r="C15304" s="1"/>
    </row>
    <row r="15305">
      <c r="C15305" s="1"/>
    </row>
    <row r="15306">
      <c r="C15306" s="1"/>
    </row>
    <row r="15307">
      <c r="C15307" s="1"/>
    </row>
    <row r="15308">
      <c r="C15308" s="1"/>
    </row>
    <row r="15309">
      <c r="C15309" s="1"/>
    </row>
    <row r="15310">
      <c r="C15310" s="1"/>
    </row>
    <row r="15311">
      <c r="C15311" s="1"/>
    </row>
    <row r="15312">
      <c r="C15312" s="1"/>
    </row>
    <row r="15313">
      <c r="C15313" s="1"/>
    </row>
    <row r="15314">
      <c r="C15314" s="1"/>
    </row>
    <row r="15315">
      <c r="C15315" s="1"/>
    </row>
    <row r="15316">
      <c r="C15316" s="1"/>
    </row>
    <row r="15317">
      <c r="C15317" s="1"/>
    </row>
    <row r="15318">
      <c r="C15318" s="1"/>
    </row>
    <row r="15319">
      <c r="C15319" s="1"/>
    </row>
    <row r="15320">
      <c r="C15320" s="1"/>
    </row>
    <row r="15321">
      <c r="C15321" s="1"/>
    </row>
    <row r="15322">
      <c r="C15322" s="1"/>
    </row>
    <row r="15323">
      <c r="C15323" s="1"/>
    </row>
    <row r="15324">
      <c r="C15324" s="1"/>
    </row>
    <row r="15325">
      <c r="C15325" s="1"/>
    </row>
    <row r="15326">
      <c r="C15326" s="1"/>
    </row>
    <row r="15327">
      <c r="C15327" s="1"/>
    </row>
    <row r="15328">
      <c r="C15328" s="1"/>
    </row>
    <row r="15329">
      <c r="C15329" s="1"/>
    </row>
    <row r="15330">
      <c r="C15330" s="1"/>
    </row>
    <row r="15331">
      <c r="C15331" s="1"/>
    </row>
    <row r="15332">
      <c r="C15332" s="1"/>
    </row>
    <row r="15333">
      <c r="C15333" s="1"/>
    </row>
    <row r="15334">
      <c r="C15334" s="1"/>
    </row>
    <row r="15335">
      <c r="C15335" s="1"/>
    </row>
    <row r="15336">
      <c r="C15336" s="1"/>
    </row>
    <row r="15337">
      <c r="C15337" s="1"/>
    </row>
    <row r="15338">
      <c r="C15338" s="1"/>
    </row>
    <row r="15339">
      <c r="C15339" s="1"/>
    </row>
    <row r="15340">
      <c r="C15340" s="1"/>
    </row>
    <row r="15341">
      <c r="C15341" s="1"/>
    </row>
    <row r="15342">
      <c r="C15342" s="1"/>
    </row>
    <row r="15343">
      <c r="C15343" s="1"/>
    </row>
    <row r="15344">
      <c r="C15344" s="1"/>
    </row>
    <row r="15345">
      <c r="C15345" s="1"/>
    </row>
    <row r="15346">
      <c r="C15346" s="1"/>
    </row>
    <row r="15347">
      <c r="C15347" s="1"/>
    </row>
    <row r="15348">
      <c r="C15348" s="1"/>
    </row>
    <row r="15349">
      <c r="C15349" s="1"/>
    </row>
    <row r="15350">
      <c r="C15350" s="1"/>
    </row>
    <row r="15351">
      <c r="C15351" s="1"/>
    </row>
    <row r="15352">
      <c r="C15352" s="1"/>
    </row>
    <row r="15353">
      <c r="C15353" s="1"/>
    </row>
    <row r="15354">
      <c r="C15354" s="1"/>
    </row>
    <row r="15355">
      <c r="C15355" s="1"/>
    </row>
    <row r="15356">
      <c r="C15356" s="1"/>
    </row>
    <row r="15357">
      <c r="C15357" s="1"/>
    </row>
    <row r="15358">
      <c r="C15358" s="1"/>
    </row>
    <row r="15359">
      <c r="C15359" s="1"/>
    </row>
    <row r="15360">
      <c r="C15360" s="1"/>
    </row>
    <row r="15361">
      <c r="C15361" s="1"/>
    </row>
    <row r="15362">
      <c r="C15362" s="1"/>
    </row>
    <row r="15363">
      <c r="C15363" s="1"/>
    </row>
    <row r="15364">
      <c r="C15364" s="1"/>
    </row>
    <row r="15365">
      <c r="C15365" s="1"/>
    </row>
    <row r="15366">
      <c r="C15366" s="1"/>
    </row>
    <row r="15367">
      <c r="C15367" s="1"/>
    </row>
    <row r="15368">
      <c r="C15368" s="1"/>
    </row>
    <row r="15369">
      <c r="C15369" s="1"/>
    </row>
    <row r="15370">
      <c r="C15370" s="1"/>
    </row>
    <row r="15371">
      <c r="C15371" s="1"/>
    </row>
    <row r="15372">
      <c r="C15372" s="1"/>
    </row>
    <row r="15373">
      <c r="C15373" s="1"/>
    </row>
    <row r="15374">
      <c r="C15374" s="1"/>
    </row>
    <row r="15375">
      <c r="C15375" s="1"/>
    </row>
    <row r="15376">
      <c r="C15376" s="1"/>
    </row>
    <row r="15377">
      <c r="C15377" s="1"/>
    </row>
    <row r="15378">
      <c r="C15378" s="1"/>
    </row>
    <row r="15379">
      <c r="C15379" s="1"/>
    </row>
    <row r="15380">
      <c r="C15380" s="1"/>
    </row>
    <row r="15381">
      <c r="C15381" s="1"/>
    </row>
    <row r="15382">
      <c r="C15382" s="1"/>
    </row>
    <row r="15383">
      <c r="C15383" s="1"/>
    </row>
    <row r="15384">
      <c r="C15384" s="1"/>
    </row>
    <row r="15385">
      <c r="C15385" s="1"/>
    </row>
    <row r="15386">
      <c r="C15386" s="1"/>
    </row>
    <row r="15387">
      <c r="C15387" s="1"/>
    </row>
    <row r="15388">
      <c r="C15388" s="1"/>
    </row>
    <row r="15389">
      <c r="C15389" s="1"/>
    </row>
    <row r="15390">
      <c r="C15390" s="1"/>
    </row>
    <row r="15391">
      <c r="C15391" s="1"/>
    </row>
    <row r="15392">
      <c r="C15392" s="1"/>
    </row>
    <row r="15393">
      <c r="C15393" s="1"/>
    </row>
    <row r="15394">
      <c r="C15394" s="1"/>
    </row>
    <row r="15395">
      <c r="C15395" s="1"/>
    </row>
    <row r="15396">
      <c r="C15396" s="1"/>
    </row>
    <row r="15397">
      <c r="C15397" s="1"/>
    </row>
    <row r="15398">
      <c r="C15398" s="1"/>
    </row>
    <row r="15399">
      <c r="C15399" s="1"/>
    </row>
    <row r="15400">
      <c r="C15400" s="1"/>
    </row>
    <row r="15401">
      <c r="C15401" s="1"/>
    </row>
    <row r="15402">
      <c r="C15402" s="1"/>
    </row>
    <row r="15403">
      <c r="C15403" s="1"/>
    </row>
    <row r="15404">
      <c r="C15404" s="1"/>
    </row>
    <row r="15405">
      <c r="C15405" s="1"/>
    </row>
    <row r="15406">
      <c r="C15406" s="1"/>
    </row>
    <row r="15407">
      <c r="C15407" s="1"/>
    </row>
    <row r="15408">
      <c r="C15408" s="1"/>
    </row>
    <row r="15409">
      <c r="C15409" s="1"/>
    </row>
    <row r="15410">
      <c r="C15410" s="1"/>
    </row>
    <row r="15411">
      <c r="C15411" s="1"/>
    </row>
    <row r="15412">
      <c r="C15412" s="1"/>
    </row>
    <row r="15413">
      <c r="C15413" s="1"/>
    </row>
    <row r="15414">
      <c r="C15414" s="1"/>
    </row>
    <row r="15415">
      <c r="C15415" s="1"/>
    </row>
    <row r="15416">
      <c r="C15416" s="1"/>
    </row>
    <row r="15417">
      <c r="C15417" s="1"/>
    </row>
    <row r="15418">
      <c r="C15418" s="1"/>
    </row>
    <row r="15419">
      <c r="C15419" s="1"/>
    </row>
    <row r="15420">
      <c r="C15420" s="1"/>
    </row>
    <row r="15421">
      <c r="C15421" s="1"/>
    </row>
    <row r="15422">
      <c r="C15422" s="1"/>
    </row>
    <row r="15423">
      <c r="C15423" s="1"/>
    </row>
    <row r="15424">
      <c r="C15424" s="1"/>
    </row>
    <row r="15425">
      <c r="C15425" s="1"/>
    </row>
    <row r="15426">
      <c r="C15426" s="1"/>
    </row>
    <row r="15427">
      <c r="C15427" s="1"/>
    </row>
    <row r="15428">
      <c r="C15428" s="1"/>
    </row>
    <row r="15429">
      <c r="C15429" s="1"/>
    </row>
    <row r="15430">
      <c r="C15430" s="1"/>
    </row>
    <row r="15431">
      <c r="C15431" s="1"/>
    </row>
    <row r="15432">
      <c r="C15432" s="1"/>
    </row>
    <row r="15433">
      <c r="C15433" s="1"/>
    </row>
    <row r="15434">
      <c r="C15434" s="1"/>
    </row>
    <row r="15435">
      <c r="C15435" s="1"/>
    </row>
    <row r="15436">
      <c r="C15436" s="1"/>
    </row>
    <row r="15437">
      <c r="C15437" s="1"/>
    </row>
    <row r="15438">
      <c r="C15438" s="1"/>
    </row>
    <row r="15439">
      <c r="C15439" s="1"/>
    </row>
    <row r="15440">
      <c r="C15440" s="1"/>
    </row>
    <row r="15441">
      <c r="C15441" s="1"/>
    </row>
    <row r="15442">
      <c r="C15442" s="1"/>
    </row>
    <row r="15443">
      <c r="C15443" s="1"/>
    </row>
    <row r="15444">
      <c r="C15444" s="1"/>
    </row>
    <row r="15445">
      <c r="C15445" s="1"/>
    </row>
    <row r="15446">
      <c r="C15446" s="1"/>
    </row>
    <row r="15447">
      <c r="C15447" s="1"/>
    </row>
    <row r="15448">
      <c r="C15448" s="1"/>
    </row>
    <row r="15449">
      <c r="C15449" s="1"/>
    </row>
    <row r="15450">
      <c r="C15450" s="1"/>
    </row>
    <row r="15451">
      <c r="C15451" s="1"/>
    </row>
    <row r="15452">
      <c r="C15452" s="1"/>
    </row>
    <row r="15453">
      <c r="C15453" s="1"/>
    </row>
    <row r="15454">
      <c r="C15454" s="1"/>
    </row>
    <row r="15455">
      <c r="C15455" s="1"/>
    </row>
    <row r="15456">
      <c r="C15456" s="1"/>
    </row>
    <row r="15457">
      <c r="C15457" s="1"/>
    </row>
    <row r="15458">
      <c r="C15458" s="1"/>
    </row>
    <row r="15459">
      <c r="C15459" s="1"/>
    </row>
    <row r="15460">
      <c r="C15460" s="1"/>
    </row>
    <row r="15461">
      <c r="C15461" s="1"/>
    </row>
    <row r="15462">
      <c r="C15462" s="1"/>
    </row>
    <row r="15463">
      <c r="C15463" s="1"/>
    </row>
    <row r="15464">
      <c r="C15464" s="1"/>
    </row>
    <row r="15465">
      <c r="C15465" s="1"/>
    </row>
    <row r="15466">
      <c r="C15466" s="1"/>
    </row>
    <row r="15467">
      <c r="C15467" s="1"/>
    </row>
    <row r="15468">
      <c r="C15468" s="1"/>
    </row>
    <row r="15469">
      <c r="C15469" s="1"/>
    </row>
    <row r="15470">
      <c r="C15470" s="1"/>
    </row>
    <row r="15471">
      <c r="C15471" s="1"/>
    </row>
    <row r="15472">
      <c r="C15472" s="1"/>
    </row>
    <row r="15473">
      <c r="C15473" s="1"/>
    </row>
    <row r="15474">
      <c r="C15474" s="1"/>
    </row>
    <row r="15475">
      <c r="C15475" s="1"/>
    </row>
    <row r="15476">
      <c r="C15476" s="1"/>
    </row>
    <row r="15477">
      <c r="C15477" s="1"/>
    </row>
    <row r="15478">
      <c r="C15478" s="1"/>
    </row>
    <row r="15479">
      <c r="C15479" s="1"/>
    </row>
    <row r="15480">
      <c r="C15480" s="1"/>
    </row>
    <row r="15481">
      <c r="C15481" s="1"/>
    </row>
    <row r="15482">
      <c r="C15482" s="1"/>
    </row>
    <row r="15483">
      <c r="C15483" s="1"/>
    </row>
    <row r="15484">
      <c r="C15484" s="1"/>
    </row>
    <row r="15485">
      <c r="C15485" s="1"/>
    </row>
    <row r="15486">
      <c r="C15486" s="1"/>
    </row>
    <row r="15487">
      <c r="C15487" s="1"/>
    </row>
    <row r="15488">
      <c r="C15488" s="1"/>
    </row>
    <row r="15489">
      <c r="C15489" s="1"/>
    </row>
    <row r="15490">
      <c r="C15490" s="1"/>
    </row>
    <row r="15491">
      <c r="C15491" s="1"/>
    </row>
    <row r="15492">
      <c r="C15492" s="1"/>
    </row>
    <row r="15493">
      <c r="C15493" s="1"/>
    </row>
    <row r="15494">
      <c r="C15494" s="1"/>
    </row>
    <row r="15495">
      <c r="C15495" s="1"/>
    </row>
    <row r="15496">
      <c r="C15496" s="1"/>
    </row>
    <row r="15497">
      <c r="C15497" s="1"/>
    </row>
    <row r="15498">
      <c r="C15498" s="1"/>
    </row>
    <row r="15499">
      <c r="C15499" s="1"/>
    </row>
    <row r="15500">
      <c r="C15500" s="1"/>
    </row>
    <row r="15501">
      <c r="C15501" s="1"/>
    </row>
    <row r="15502">
      <c r="C15502" s="1"/>
    </row>
    <row r="15503">
      <c r="C15503" s="1"/>
    </row>
    <row r="15504">
      <c r="C15504" s="1"/>
    </row>
    <row r="15505">
      <c r="C15505" s="1"/>
    </row>
    <row r="15506">
      <c r="C15506" s="1"/>
    </row>
    <row r="15507">
      <c r="C15507" s="1"/>
    </row>
    <row r="15508">
      <c r="C15508" s="1"/>
    </row>
    <row r="15509">
      <c r="C15509" s="1"/>
    </row>
    <row r="15510">
      <c r="C15510" s="1"/>
    </row>
    <row r="15511">
      <c r="C15511" s="1"/>
    </row>
    <row r="15512">
      <c r="C15512" s="1"/>
    </row>
    <row r="15513">
      <c r="C15513" s="1"/>
    </row>
    <row r="15514">
      <c r="C15514" s="1"/>
    </row>
    <row r="15515">
      <c r="C15515" s="1"/>
    </row>
    <row r="15516">
      <c r="C15516" s="1"/>
    </row>
    <row r="15517">
      <c r="C15517" s="1"/>
    </row>
    <row r="15518">
      <c r="C15518" s="1"/>
    </row>
    <row r="15519">
      <c r="C15519" s="1"/>
    </row>
    <row r="15520">
      <c r="C15520" s="1"/>
    </row>
    <row r="15521">
      <c r="C15521" s="1"/>
    </row>
    <row r="15522">
      <c r="C15522" s="1"/>
    </row>
    <row r="15523">
      <c r="C15523" s="1"/>
    </row>
    <row r="15524">
      <c r="C15524" s="1"/>
    </row>
    <row r="15525">
      <c r="C15525" s="1"/>
    </row>
    <row r="15526">
      <c r="C15526" s="1"/>
    </row>
    <row r="15527">
      <c r="C15527" s="1"/>
    </row>
    <row r="15528">
      <c r="C15528" s="1"/>
    </row>
    <row r="15529">
      <c r="C15529" s="1"/>
    </row>
    <row r="15530">
      <c r="C15530" s="1"/>
    </row>
    <row r="15531">
      <c r="C15531" s="1"/>
    </row>
    <row r="15532">
      <c r="C15532" s="1"/>
    </row>
    <row r="15533">
      <c r="C15533" s="1"/>
    </row>
    <row r="15534">
      <c r="C15534" s="1"/>
    </row>
    <row r="15535">
      <c r="C15535" s="1"/>
    </row>
    <row r="15536">
      <c r="C15536" s="1"/>
    </row>
    <row r="15537">
      <c r="C15537" s="1"/>
    </row>
    <row r="15538">
      <c r="C15538" s="1"/>
    </row>
    <row r="15539">
      <c r="C15539" s="1"/>
    </row>
    <row r="15540">
      <c r="C15540" s="1"/>
    </row>
    <row r="15541">
      <c r="C15541" s="1"/>
    </row>
    <row r="15542">
      <c r="C15542" s="1"/>
    </row>
    <row r="15543">
      <c r="C15543" s="1"/>
    </row>
    <row r="15544">
      <c r="C15544" s="1"/>
    </row>
    <row r="15545">
      <c r="C15545" s="1"/>
    </row>
    <row r="15546">
      <c r="C15546" s="1"/>
    </row>
    <row r="15547">
      <c r="C15547" s="1"/>
    </row>
    <row r="15548">
      <c r="C15548" s="1"/>
    </row>
    <row r="15549">
      <c r="C15549" s="1"/>
    </row>
    <row r="15550">
      <c r="C15550" s="1"/>
    </row>
    <row r="15551">
      <c r="C15551" s="1"/>
    </row>
    <row r="15552">
      <c r="C15552" s="1"/>
    </row>
    <row r="15553">
      <c r="C15553" s="1"/>
    </row>
    <row r="15554">
      <c r="C15554" s="1"/>
    </row>
    <row r="15555">
      <c r="C15555" s="1"/>
    </row>
    <row r="15556">
      <c r="C15556" s="1"/>
    </row>
    <row r="15557">
      <c r="C15557" s="1"/>
    </row>
    <row r="15558">
      <c r="C15558" s="1"/>
    </row>
    <row r="15559">
      <c r="C15559" s="1"/>
    </row>
    <row r="15560">
      <c r="C15560" s="1"/>
    </row>
    <row r="15561">
      <c r="C15561" s="1"/>
    </row>
    <row r="15562">
      <c r="C15562" s="1"/>
    </row>
    <row r="15563">
      <c r="C15563" s="1"/>
    </row>
    <row r="15564">
      <c r="C15564" s="1"/>
    </row>
    <row r="15565">
      <c r="C15565" s="1"/>
    </row>
    <row r="15566">
      <c r="C15566" s="1"/>
    </row>
    <row r="15567">
      <c r="C15567" s="1"/>
    </row>
    <row r="15568">
      <c r="C15568" s="1"/>
    </row>
    <row r="15569">
      <c r="C15569" s="1"/>
    </row>
    <row r="15570">
      <c r="C15570" s="1"/>
    </row>
    <row r="15571">
      <c r="C15571" s="1"/>
    </row>
    <row r="15572">
      <c r="C15572" s="1"/>
    </row>
    <row r="15573">
      <c r="C15573" s="1"/>
    </row>
    <row r="15574">
      <c r="C15574" s="1"/>
    </row>
    <row r="15575">
      <c r="C15575" s="1"/>
    </row>
    <row r="15576">
      <c r="C15576" s="1"/>
    </row>
    <row r="15577">
      <c r="C15577" s="1"/>
    </row>
    <row r="15578">
      <c r="C15578" s="1"/>
    </row>
    <row r="15579">
      <c r="C15579" s="1"/>
    </row>
    <row r="15580">
      <c r="C15580" s="1"/>
    </row>
    <row r="15581">
      <c r="C15581" s="1"/>
    </row>
    <row r="15582">
      <c r="C15582" s="1"/>
    </row>
    <row r="15583">
      <c r="C15583" s="1"/>
    </row>
    <row r="15584">
      <c r="C15584" s="1"/>
    </row>
    <row r="15585">
      <c r="C15585" s="1"/>
    </row>
    <row r="15586">
      <c r="C15586" s="1"/>
    </row>
    <row r="15587">
      <c r="C15587" s="1"/>
    </row>
    <row r="15588">
      <c r="C15588" s="1"/>
    </row>
    <row r="15589">
      <c r="C15589" s="1"/>
    </row>
    <row r="15590">
      <c r="C15590" s="1"/>
    </row>
    <row r="15591">
      <c r="C15591" s="1"/>
    </row>
    <row r="15592">
      <c r="C15592" s="1"/>
    </row>
    <row r="15593">
      <c r="C15593" s="1"/>
    </row>
    <row r="15594">
      <c r="C15594" s="1"/>
    </row>
    <row r="15595">
      <c r="C15595" s="1"/>
    </row>
    <row r="15596">
      <c r="C15596" s="1"/>
    </row>
    <row r="15597">
      <c r="C15597" s="1"/>
    </row>
    <row r="15598">
      <c r="C15598" s="1"/>
    </row>
    <row r="15599">
      <c r="C15599" s="1"/>
    </row>
    <row r="15600">
      <c r="C15600" s="1"/>
    </row>
    <row r="15601">
      <c r="C15601" s="1"/>
    </row>
    <row r="15602">
      <c r="C15602" s="1"/>
    </row>
    <row r="15603">
      <c r="C15603" s="1"/>
    </row>
    <row r="15604">
      <c r="C15604" s="1"/>
    </row>
    <row r="15605">
      <c r="C15605" s="1"/>
    </row>
    <row r="15606">
      <c r="C15606" s="1"/>
    </row>
    <row r="15607">
      <c r="C15607" s="1"/>
    </row>
    <row r="15608">
      <c r="C15608" s="1"/>
    </row>
    <row r="15609">
      <c r="C15609" s="1"/>
    </row>
    <row r="15610">
      <c r="C15610" s="1"/>
    </row>
    <row r="15611">
      <c r="C15611" s="1"/>
    </row>
    <row r="15612">
      <c r="C15612" s="1"/>
    </row>
    <row r="15613">
      <c r="C15613" s="1"/>
    </row>
    <row r="15614">
      <c r="C15614" s="1"/>
    </row>
    <row r="15615">
      <c r="C15615" s="1"/>
    </row>
    <row r="15616">
      <c r="C15616" s="1"/>
    </row>
    <row r="15617">
      <c r="C15617" s="1"/>
    </row>
    <row r="15618">
      <c r="C15618" s="1"/>
    </row>
    <row r="15619">
      <c r="C15619" s="1"/>
    </row>
    <row r="15620">
      <c r="C15620" s="1"/>
    </row>
    <row r="15621">
      <c r="C15621" s="1"/>
    </row>
    <row r="15622">
      <c r="C15622" s="1"/>
    </row>
    <row r="15623">
      <c r="C15623" s="1"/>
    </row>
    <row r="15624">
      <c r="C15624" s="1"/>
    </row>
    <row r="15625">
      <c r="C15625" s="1"/>
    </row>
    <row r="15626">
      <c r="C15626" s="1"/>
    </row>
    <row r="15627">
      <c r="C15627" s="1"/>
    </row>
    <row r="15628">
      <c r="C15628" s="1"/>
    </row>
    <row r="15629">
      <c r="C15629" s="1"/>
    </row>
    <row r="15630">
      <c r="C15630" s="1"/>
    </row>
    <row r="15631">
      <c r="C15631" s="1"/>
    </row>
    <row r="15632">
      <c r="C15632" s="1"/>
    </row>
    <row r="15633">
      <c r="C15633" s="1"/>
    </row>
    <row r="15634">
      <c r="C15634" s="1"/>
    </row>
    <row r="15635">
      <c r="C15635" s="1"/>
    </row>
    <row r="15636">
      <c r="C15636" s="1"/>
    </row>
    <row r="15637">
      <c r="C15637" s="1"/>
    </row>
    <row r="15638">
      <c r="C15638" s="1"/>
    </row>
    <row r="15639">
      <c r="C15639" s="1"/>
    </row>
    <row r="15640">
      <c r="C15640" s="1"/>
    </row>
    <row r="15641">
      <c r="C15641" s="1"/>
    </row>
    <row r="15642">
      <c r="C15642" s="1"/>
    </row>
    <row r="15643">
      <c r="C15643" s="1"/>
    </row>
    <row r="15644">
      <c r="C15644" s="1"/>
    </row>
    <row r="15645">
      <c r="C15645" s="1"/>
    </row>
    <row r="15646">
      <c r="C15646" s="1"/>
    </row>
    <row r="15647">
      <c r="C15647" s="1"/>
    </row>
    <row r="15648">
      <c r="C15648" s="1"/>
    </row>
    <row r="15649">
      <c r="C15649" s="1"/>
    </row>
    <row r="15650">
      <c r="C15650" s="1"/>
    </row>
    <row r="15651">
      <c r="C15651" s="1"/>
    </row>
    <row r="15652">
      <c r="C15652" s="1"/>
    </row>
    <row r="15653">
      <c r="C15653" s="1"/>
    </row>
    <row r="15654">
      <c r="C15654" s="1"/>
    </row>
    <row r="15655">
      <c r="C15655" s="5"/>
    </row>
    <row r="15656">
      <c r="C15656" s="1"/>
    </row>
    <row r="15657">
      <c r="C15657" s="1"/>
    </row>
    <row r="15658">
      <c r="C15658" s="1"/>
    </row>
    <row r="15659">
      <c r="C15659" s="1"/>
    </row>
    <row r="15660">
      <c r="C15660" s="1"/>
    </row>
    <row r="15661">
      <c r="C15661" s="1"/>
    </row>
    <row r="15662">
      <c r="C15662" s="1"/>
    </row>
    <row r="15663">
      <c r="C15663" s="1"/>
    </row>
    <row r="15664">
      <c r="C15664" s="1"/>
    </row>
    <row r="15665">
      <c r="C15665" s="1"/>
    </row>
    <row r="15666">
      <c r="C15666" s="1"/>
    </row>
    <row r="15667">
      <c r="C15667" s="1"/>
    </row>
    <row r="15668">
      <c r="C15668" s="1"/>
    </row>
    <row r="15669">
      <c r="C15669" s="1"/>
    </row>
    <row r="15670">
      <c r="C15670" s="1"/>
    </row>
    <row r="15671">
      <c r="C15671" s="1"/>
    </row>
    <row r="15672">
      <c r="C15672" s="1"/>
    </row>
    <row r="15673">
      <c r="C15673" s="1"/>
    </row>
    <row r="15674">
      <c r="C15674" s="1"/>
    </row>
    <row r="15675">
      <c r="C15675" s="1"/>
    </row>
    <row r="15676">
      <c r="C15676" s="1"/>
    </row>
    <row r="15677">
      <c r="C15677" s="1"/>
    </row>
    <row r="15678">
      <c r="C15678" s="1"/>
    </row>
    <row r="15679">
      <c r="C15679" s="1"/>
    </row>
    <row r="15680">
      <c r="C15680" s="1"/>
    </row>
    <row r="15681">
      <c r="C15681" s="1"/>
    </row>
    <row r="15682">
      <c r="C15682" s="1"/>
    </row>
    <row r="15683">
      <c r="C15683" s="1"/>
    </row>
    <row r="15684">
      <c r="C15684" s="1"/>
    </row>
    <row r="15685">
      <c r="C15685" s="1"/>
    </row>
    <row r="15686">
      <c r="C15686" s="1"/>
    </row>
    <row r="15687">
      <c r="C15687" s="1"/>
    </row>
    <row r="15688">
      <c r="C15688" s="1"/>
    </row>
    <row r="15689">
      <c r="C15689" s="1"/>
    </row>
    <row r="15690">
      <c r="C15690" s="1"/>
    </row>
    <row r="15691">
      <c r="C15691" s="1"/>
    </row>
    <row r="15692">
      <c r="C15692" s="1"/>
    </row>
    <row r="15693">
      <c r="C15693" s="1"/>
    </row>
    <row r="15694">
      <c r="C15694" s="1"/>
    </row>
    <row r="15695">
      <c r="C15695" s="1"/>
    </row>
    <row r="15696">
      <c r="C15696" s="1"/>
    </row>
    <row r="15697">
      <c r="C15697" s="1"/>
    </row>
    <row r="15698">
      <c r="C15698" s="1"/>
    </row>
    <row r="15699">
      <c r="C15699" s="1"/>
    </row>
    <row r="15700">
      <c r="C15700" s="1"/>
    </row>
    <row r="15701">
      <c r="C15701" s="1"/>
    </row>
    <row r="15702">
      <c r="C15702" s="1"/>
    </row>
    <row r="15703">
      <c r="C15703" s="1"/>
    </row>
    <row r="15704">
      <c r="C15704" s="1"/>
    </row>
    <row r="15705">
      <c r="C15705" s="1"/>
    </row>
    <row r="15706">
      <c r="C15706" s="1"/>
    </row>
    <row r="15707">
      <c r="C15707" s="1"/>
    </row>
    <row r="15708">
      <c r="C15708" s="1"/>
    </row>
    <row r="15709">
      <c r="C15709" s="1"/>
    </row>
    <row r="15710">
      <c r="C15710" s="1"/>
    </row>
    <row r="15711">
      <c r="C15711" s="1"/>
    </row>
    <row r="15712">
      <c r="C15712" s="1"/>
    </row>
    <row r="15713">
      <c r="C15713" s="1"/>
    </row>
    <row r="15714">
      <c r="C15714" s="1"/>
    </row>
    <row r="15715">
      <c r="C15715" s="1"/>
    </row>
    <row r="15716">
      <c r="C15716" s="1"/>
    </row>
    <row r="15717">
      <c r="C15717" s="1"/>
    </row>
    <row r="15718">
      <c r="C15718" s="1"/>
    </row>
    <row r="15719">
      <c r="C15719" s="1"/>
    </row>
    <row r="15720">
      <c r="C15720" s="1"/>
    </row>
    <row r="15721">
      <c r="C15721" s="1"/>
    </row>
    <row r="15722">
      <c r="C15722" s="1"/>
    </row>
    <row r="15723">
      <c r="C15723" s="1"/>
    </row>
    <row r="15724">
      <c r="C15724" s="1"/>
    </row>
    <row r="15725">
      <c r="C15725" s="1"/>
    </row>
    <row r="15726">
      <c r="C15726" s="1"/>
    </row>
    <row r="15727">
      <c r="C15727" s="1"/>
    </row>
    <row r="15728">
      <c r="C15728" s="1"/>
    </row>
    <row r="15729">
      <c r="C15729" s="1"/>
    </row>
    <row r="15730">
      <c r="C15730" s="1"/>
    </row>
    <row r="15731">
      <c r="C15731" s="1"/>
    </row>
    <row r="15732">
      <c r="C15732" s="1"/>
    </row>
    <row r="15733">
      <c r="C15733" s="1"/>
    </row>
    <row r="15734">
      <c r="C15734" s="1"/>
    </row>
    <row r="15735">
      <c r="C15735" s="1"/>
    </row>
    <row r="15736">
      <c r="C15736" s="1"/>
    </row>
    <row r="15737">
      <c r="C15737" s="1"/>
    </row>
    <row r="15738">
      <c r="C15738" s="1"/>
    </row>
    <row r="15739">
      <c r="C15739" s="1"/>
    </row>
    <row r="15740">
      <c r="C15740" s="1"/>
    </row>
    <row r="15741">
      <c r="C15741" s="1"/>
    </row>
    <row r="15742">
      <c r="C15742" s="1"/>
    </row>
    <row r="15743">
      <c r="C15743" s="1"/>
    </row>
    <row r="15744">
      <c r="C15744" s="1"/>
    </row>
    <row r="15745">
      <c r="C15745" s="1"/>
    </row>
    <row r="15746">
      <c r="C15746" s="1"/>
    </row>
    <row r="15747">
      <c r="C15747" s="1"/>
    </row>
    <row r="15748">
      <c r="C15748" s="1"/>
    </row>
    <row r="15749">
      <c r="C15749" s="1"/>
    </row>
    <row r="15750">
      <c r="C15750" s="1"/>
    </row>
    <row r="15751">
      <c r="C15751" s="1"/>
    </row>
    <row r="15752">
      <c r="C15752" s="1"/>
    </row>
    <row r="15753">
      <c r="C15753" s="1"/>
    </row>
    <row r="15754">
      <c r="C15754" s="1"/>
    </row>
    <row r="15755">
      <c r="C15755" s="1"/>
    </row>
    <row r="15756">
      <c r="C15756" s="1"/>
    </row>
    <row r="15757">
      <c r="C15757" s="1"/>
    </row>
    <row r="15758">
      <c r="C15758" s="1"/>
    </row>
    <row r="15759">
      <c r="C15759" s="1"/>
    </row>
    <row r="15760">
      <c r="C15760" s="1"/>
    </row>
    <row r="15761">
      <c r="C15761" s="1"/>
    </row>
    <row r="15762">
      <c r="C15762" s="1"/>
    </row>
    <row r="15763">
      <c r="C15763" s="1"/>
    </row>
    <row r="15764">
      <c r="C15764" s="1"/>
    </row>
    <row r="15765">
      <c r="C15765" s="1"/>
    </row>
    <row r="15766">
      <c r="C15766" s="1"/>
    </row>
    <row r="15767">
      <c r="C15767" s="1"/>
    </row>
    <row r="15768">
      <c r="C15768" s="1"/>
    </row>
    <row r="15769">
      <c r="C15769" s="1"/>
    </row>
    <row r="15770">
      <c r="C15770" s="1"/>
    </row>
    <row r="15771">
      <c r="C15771" s="1"/>
    </row>
    <row r="15772">
      <c r="C15772" s="1"/>
    </row>
    <row r="15773">
      <c r="C15773" s="1"/>
    </row>
    <row r="15774">
      <c r="C15774" s="1"/>
    </row>
    <row r="15775">
      <c r="C15775" s="1"/>
    </row>
    <row r="15776">
      <c r="C15776" s="1"/>
    </row>
    <row r="15777">
      <c r="C15777" s="1"/>
    </row>
    <row r="15778">
      <c r="C15778" s="1"/>
    </row>
    <row r="15779">
      <c r="C15779" s="1"/>
    </row>
    <row r="15780">
      <c r="C15780" s="1"/>
    </row>
    <row r="15781">
      <c r="C15781" s="1"/>
    </row>
    <row r="15782">
      <c r="C15782" s="1"/>
    </row>
    <row r="15783">
      <c r="C15783" s="1"/>
    </row>
    <row r="15784">
      <c r="C15784" s="1"/>
    </row>
    <row r="15785">
      <c r="C15785" s="1"/>
    </row>
    <row r="15786">
      <c r="C15786" s="1"/>
    </row>
    <row r="15787">
      <c r="C15787" s="1"/>
    </row>
    <row r="15788">
      <c r="C15788" s="1"/>
    </row>
    <row r="15789">
      <c r="C15789" s="1"/>
    </row>
    <row r="15790">
      <c r="C15790" s="1"/>
    </row>
    <row r="15791">
      <c r="C15791" s="1"/>
    </row>
    <row r="15792">
      <c r="C15792" s="1"/>
    </row>
    <row r="15793">
      <c r="C15793" s="1"/>
    </row>
    <row r="15794">
      <c r="C15794" s="1"/>
    </row>
    <row r="15795">
      <c r="C15795" s="1"/>
    </row>
    <row r="15796">
      <c r="C15796" s="1"/>
    </row>
    <row r="15797">
      <c r="C15797" s="1"/>
    </row>
    <row r="15798">
      <c r="C15798" s="1"/>
    </row>
    <row r="15799">
      <c r="C15799" s="1"/>
    </row>
    <row r="15800">
      <c r="C15800" s="1"/>
    </row>
    <row r="15801">
      <c r="C15801" s="1"/>
    </row>
    <row r="15802">
      <c r="C15802" s="1"/>
    </row>
    <row r="15803">
      <c r="C15803" s="1"/>
    </row>
    <row r="15804">
      <c r="C15804" s="1"/>
    </row>
    <row r="15805">
      <c r="C15805" s="1"/>
    </row>
    <row r="15806">
      <c r="C15806" s="1"/>
    </row>
    <row r="15807">
      <c r="C15807" s="1"/>
    </row>
    <row r="15808">
      <c r="C15808" s="1"/>
    </row>
    <row r="15809">
      <c r="C15809" s="1"/>
    </row>
    <row r="15810">
      <c r="C15810" s="1"/>
    </row>
    <row r="15811">
      <c r="C15811" s="1"/>
    </row>
    <row r="15812">
      <c r="C15812" s="1"/>
    </row>
    <row r="15813">
      <c r="C15813" s="1"/>
    </row>
    <row r="15814">
      <c r="C15814" s="1"/>
    </row>
    <row r="15815">
      <c r="C15815" s="1"/>
    </row>
    <row r="15816">
      <c r="C15816" s="1"/>
    </row>
    <row r="15817">
      <c r="C15817" s="1"/>
    </row>
    <row r="15818">
      <c r="C15818" s="1"/>
    </row>
    <row r="15819">
      <c r="C15819" s="1"/>
    </row>
    <row r="15820">
      <c r="C15820" s="1"/>
    </row>
    <row r="15821">
      <c r="C15821" s="1"/>
    </row>
    <row r="15822">
      <c r="C15822" s="1"/>
    </row>
    <row r="15823">
      <c r="C15823" s="1"/>
    </row>
    <row r="15824">
      <c r="C15824" s="1"/>
    </row>
    <row r="15825">
      <c r="C15825" s="1"/>
    </row>
    <row r="15826">
      <c r="C15826" s="1"/>
    </row>
    <row r="15827">
      <c r="C15827" s="1"/>
    </row>
    <row r="15828">
      <c r="C15828" s="1"/>
    </row>
    <row r="15829">
      <c r="C15829" s="1"/>
    </row>
    <row r="15830">
      <c r="C15830" s="1"/>
    </row>
    <row r="15831">
      <c r="C15831" s="1"/>
    </row>
    <row r="15832">
      <c r="C15832" s="1"/>
    </row>
    <row r="15833">
      <c r="C15833" s="1"/>
    </row>
    <row r="15834">
      <c r="C15834" s="1"/>
    </row>
    <row r="15835">
      <c r="C15835" s="1"/>
    </row>
    <row r="15836">
      <c r="C15836" s="1"/>
    </row>
    <row r="15837">
      <c r="C15837" s="1"/>
    </row>
    <row r="15838">
      <c r="C15838" s="1"/>
    </row>
    <row r="15839">
      <c r="C15839" s="1"/>
    </row>
    <row r="15840">
      <c r="C15840" s="1"/>
    </row>
    <row r="15841">
      <c r="C15841" s="1"/>
    </row>
    <row r="15842">
      <c r="C15842" s="1"/>
    </row>
    <row r="15843">
      <c r="C15843" s="1"/>
    </row>
    <row r="15844">
      <c r="C15844" s="1"/>
    </row>
    <row r="15845">
      <c r="C15845" s="1"/>
    </row>
    <row r="15846">
      <c r="C15846" s="1"/>
    </row>
    <row r="15847">
      <c r="C15847" s="1"/>
    </row>
    <row r="15848">
      <c r="C15848" s="1"/>
    </row>
    <row r="15849">
      <c r="C15849" s="1"/>
    </row>
    <row r="15850">
      <c r="C15850" s="1"/>
    </row>
    <row r="15851">
      <c r="C15851" s="1"/>
    </row>
    <row r="15852">
      <c r="C15852" s="1"/>
    </row>
    <row r="15853">
      <c r="C15853" s="1"/>
    </row>
    <row r="15854">
      <c r="C15854" s="1"/>
    </row>
    <row r="15855">
      <c r="C15855" s="1"/>
    </row>
    <row r="15856">
      <c r="C15856" s="1"/>
    </row>
    <row r="15857">
      <c r="C15857" s="1"/>
    </row>
    <row r="15858">
      <c r="C15858" s="1"/>
    </row>
    <row r="15859">
      <c r="C15859" s="1"/>
    </row>
    <row r="15860">
      <c r="C15860" s="1"/>
    </row>
    <row r="15861">
      <c r="C15861" s="1"/>
    </row>
    <row r="15862">
      <c r="C15862" s="1"/>
    </row>
    <row r="15863">
      <c r="C15863" s="1"/>
    </row>
    <row r="15864">
      <c r="C15864" s="1"/>
    </row>
    <row r="15865">
      <c r="C15865" s="1"/>
    </row>
    <row r="15866">
      <c r="C15866" s="1"/>
    </row>
    <row r="15867">
      <c r="C15867" s="1"/>
    </row>
    <row r="15868">
      <c r="C15868" s="1"/>
    </row>
    <row r="15869">
      <c r="C15869" s="1"/>
    </row>
    <row r="15870">
      <c r="C15870" s="1"/>
    </row>
    <row r="15871">
      <c r="C15871" s="1"/>
    </row>
    <row r="15872">
      <c r="C15872" s="1"/>
    </row>
    <row r="15873">
      <c r="C15873" s="1"/>
    </row>
    <row r="15874">
      <c r="C15874" s="1"/>
    </row>
    <row r="15875">
      <c r="C15875" s="1"/>
    </row>
    <row r="15876">
      <c r="C15876" s="1"/>
    </row>
    <row r="15877">
      <c r="C15877" s="1"/>
    </row>
    <row r="15878">
      <c r="C15878" s="1"/>
    </row>
    <row r="15879">
      <c r="C15879" s="1"/>
    </row>
    <row r="15880">
      <c r="C15880" s="1"/>
    </row>
    <row r="15881">
      <c r="C15881" s="1"/>
    </row>
    <row r="15882">
      <c r="C15882" s="1"/>
    </row>
    <row r="15883">
      <c r="C15883" s="1"/>
    </row>
    <row r="15884">
      <c r="C15884" s="1"/>
    </row>
    <row r="15885">
      <c r="C15885" s="1"/>
    </row>
    <row r="15886">
      <c r="C15886" s="1"/>
    </row>
    <row r="15887">
      <c r="C15887" s="1"/>
    </row>
    <row r="15888">
      <c r="C15888" s="1"/>
    </row>
    <row r="15889">
      <c r="C15889" s="1"/>
    </row>
    <row r="15890">
      <c r="C15890" s="1"/>
    </row>
    <row r="15891">
      <c r="C15891" s="1"/>
    </row>
    <row r="15892">
      <c r="C15892" s="1"/>
    </row>
    <row r="15893">
      <c r="C15893" s="1"/>
    </row>
    <row r="15894">
      <c r="C15894" s="1"/>
    </row>
    <row r="15895">
      <c r="C15895" s="1"/>
    </row>
    <row r="15896">
      <c r="C15896" s="1"/>
    </row>
    <row r="15897">
      <c r="C15897" s="1"/>
    </row>
    <row r="15898">
      <c r="C15898" s="1"/>
    </row>
    <row r="15899">
      <c r="C15899" s="1"/>
    </row>
    <row r="15900">
      <c r="C15900" s="1"/>
    </row>
    <row r="15901">
      <c r="C15901" s="1"/>
    </row>
    <row r="15902">
      <c r="C15902" s="1"/>
    </row>
    <row r="15903">
      <c r="C15903" s="1"/>
    </row>
    <row r="15904">
      <c r="C15904" s="1"/>
    </row>
    <row r="15905">
      <c r="C15905" s="1"/>
    </row>
    <row r="15906">
      <c r="C15906" s="1"/>
    </row>
    <row r="15907">
      <c r="C15907" s="1"/>
    </row>
    <row r="15908">
      <c r="C15908" s="1"/>
    </row>
    <row r="15909">
      <c r="C15909" s="1"/>
    </row>
    <row r="15910">
      <c r="C15910" s="1"/>
    </row>
    <row r="15911">
      <c r="C15911" s="1"/>
    </row>
    <row r="15912">
      <c r="C15912" s="1"/>
    </row>
    <row r="15913">
      <c r="C15913" s="1"/>
    </row>
    <row r="15914">
      <c r="C15914" s="1"/>
    </row>
    <row r="15915">
      <c r="C15915" s="1"/>
    </row>
    <row r="15916">
      <c r="C15916" s="1"/>
    </row>
    <row r="15917">
      <c r="C15917" s="1"/>
    </row>
    <row r="15918">
      <c r="C15918" s="1"/>
    </row>
    <row r="15919">
      <c r="C15919" s="1"/>
    </row>
    <row r="15920">
      <c r="C15920" s="1"/>
    </row>
    <row r="15921">
      <c r="C15921" s="1"/>
    </row>
    <row r="15922">
      <c r="C15922" s="1"/>
    </row>
    <row r="15923">
      <c r="C15923" s="1"/>
    </row>
    <row r="15924">
      <c r="C15924" s="1"/>
    </row>
    <row r="15925">
      <c r="C15925" s="1"/>
    </row>
    <row r="15926">
      <c r="C15926" s="1"/>
    </row>
    <row r="15927">
      <c r="C15927" s="1"/>
    </row>
    <row r="15928">
      <c r="C15928" s="1"/>
    </row>
    <row r="15929">
      <c r="C15929" s="1"/>
    </row>
    <row r="15930">
      <c r="C15930" s="1"/>
    </row>
    <row r="15931">
      <c r="C15931" s="1"/>
    </row>
    <row r="15932">
      <c r="C15932" s="1"/>
    </row>
    <row r="15933">
      <c r="C15933" s="1"/>
    </row>
    <row r="15934">
      <c r="C15934" s="1"/>
    </row>
    <row r="15935">
      <c r="C15935" s="1"/>
    </row>
    <row r="15936">
      <c r="C15936" s="1"/>
    </row>
    <row r="15937">
      <c r="C15937" s="1"/>
    </row>
    <row r="15938">
      <c r="C15938" s="1"/>
    </row>
    <row r="15939">
      <c r="C15939" s="1"/>
    </row>
    <row r="15940">
      <c r="C15940" s="1"/>
    </row>
    <row r="15941">
      <c r="C15941" s="1"/>
    </row>
    <row r="15942">
      <c r="C15942" s="1"/>
    </row>
    <row r="15943">
      <c r="C15943" s="1"/>
    </row>
    <row r="15944">
      <c r="C15944" s="1"/>
    </row>
    <row r="15945">
      <c r="C15945" s="1"/>
    </row>
    <row r="15946">
      <c r="C15946" s="1"/>
    </row>
    <row r="15947">
      <c r="C15947" s="1"/>
    </row>
    <row r="15948">
      <c r="C15948" s="1"/>
    </row>
    <row r="15949">
      <c r="C15949" s="1"/>
    </row>
    <row r="15950">
      <c r="C15950" s="1"/>
    </row>
    <row r="15951">
      <c r="C15951" s="1"/>
    </row>
    <row r="15952">
      <c r="C15952" s="1"/>
    </row>
    <row r="15953">
      <c r="C15953" s="1"/>
    </row>
    <row r="15954">
      <c r="C15954" s="1"/>
    </row>
    <row r="15955">
      <c r="C15955" s="1"/>
    </row>
    <row r="15956">
      <c r="C15956" s="1"/>
    </row>
    <row r="15957">
      <c r="C15957" s="1"/>
    </row>
    <row r="15958">
      <c r="C15958" s="1"/>
    </row>
    <row r="15959">
      <c r="C15959" s="1"/>
    </row>
    <row r="15960">
      <c r="C15960" s="1"/>
    </row>
    <row r="15961">
      <c r="C15961" s="1"/>
    </row>
    <row r="15962">
      <c r="C15962" s="1"/>
    </row>
    <row r="15963">
      <c r="C15963" s="1"/>
    </row>
    <row r="15964">
      <c r="C15964" s="1"/>
    </row>
    <row r="15965">
      <c r="C15965" s="1"/>
    </row>
    <row r="15966">
      <c r="C15966" s="1"/>
    </row>
    <row r="15967">
      <c r="C15967" s="1"/>
    </row>
    <row r="15968">
      <c r="C15968" s="1"/>
    </row>
    <row r="15969">
      <c r="C15969" s="1"/>
    </row>
    <row r="15970">
      <c r="C15970" s="1"/>
    </row>
    <row r="15971">
      <c r="C15971" s="1"/>
    </row>
    <row r="15972">
      <c r="C15972" s="1"/>
    </row>
    <row r="15973">
      <c r="C15973" s="1"/>
    </row>
    <row r="15974">
      <c r="C15974" s="1"/>
    </row>
    <row r="15975">
      <c r="C15975" s="1"/>
    </row>
    <row r="15976">
      <c r="C15976" s="1"/>
    </row>
    <row r="15977">
      <c r="C15977" s="1"/>
    </row>
    <row r="15978">
      <c r="C15978" s="1"/>
    </row>
    <row r="15979">
      <c r="C15979" s="1"/>
    </row>
    <row r="15980">
      <c r="C15980" s="1"/>
    </row>
    <row r="15981">
      <c r="C15981" s="1"/>
    </row>
    <row r="15982">
      <c r="C15982" s="1"/>
    </row>
    <row r="15983">
      <c r="C15983" s="1"/>
    </row>
    <row r="15984">
      <c r="C15984" s="1"/>
    </row>
    <row r="15985">
      <c r="C15985" s="1"/>
    </row>
    <row r="15986">
      <c r="C15986" s="1"/>
    </row>
    <row r="15987">
      <c r="C15987" s="1"/>
    </row>
    <row r="15988">
      <c r="C15988" s="1"/>
    </row>
    <row r="15989">
      <c r="C15989" s="1"/>
    </row>
    <row r="15990">
      <c r="C15990" s="1"/>
    </row>
    <row r="15991">
      <c r="C15991" s="1"/>
    </row>
    <row r="15992">
      <c r="C15992" s="1"/>
    </row>
    <row r="15993">
      <c r="C15993" s="1"/>
    </row>
    <row r="15994">
      <c r="C15994" s="1"/>
    </row>
    <row r="15995">
      <c r="C15995" s="1"/>
    </row>
    <row r="15996">
      <c r="C15996" s="1"/>
    </row>
    <row r="15997">
      <c r="C15997" s="1"/>
    </row>
    <row r="15998">
      <c r="C15998" s="1"/>
    </row>
    <row r="15999">
      <c r="C15999" s="1"/>
    </row>
    <row r="16000">
      <c r="C16000" s="1"/>
    </row>
    <row r="16001">
      <c r="C16001" s="1"/>
    </row>
    <row r="16002">
      <c r="C16002" s="1"/>
    </row>
    <row r="16003">
      <c r="C16003" s="1"/>
    </row>
    <row r="16004">
      <c r="C16004" s="1"/>
    </row>
    <row r="16005">
      <c r="C16005" s="1"/>
    </row>
    <row r="16006">
      <c r="C16006" s="1"/>
    </row>
    <row r="16007">
      <c r="C16007" s="1"/>
    </row>
    <row r="16008">
      <c r="C16008" s="1"/>
    </row>
    <row r="16009">
      <c r="C16009" s="1"/>
    </row>
    <row r="16010">
      <c r="C16010" s="1"/>
    </row>
    <row r="16011">
      <c r="C16011" s="1"/>
    </row>
    <row r="16012">
      <c r="C16012" s="1"/>
    </row>
    <row r="16013">
      <c r="C16013" s="1"/>
    </row>
    <row r="16014">
      <c r="C16014" s="1"/>
    </row>
    <row r="16015">
      <c r="C16015" s="1"/>
    </row>
    <row r="16016">
      <c r="C16016" s="1"/>
    </row>
    <row r="16017">
      <c r="C16017" s="1"/>
    </row>
    <row r="16018">
      <c r="C16018" s="1"/>
    </row>
    <row r="16019">
      <c r="C16019" s="1"/>
    </row>
    <row r="16020">
      <c r="C16020" s="1"/>
    </row>
    <row r="16021">
      <c r="C16021" s="1"/>
    </row>
    <row r="16022">
      <c r="C16022" s="1"/>
    </row>
    <row r="16023">
      <c r="C16023" s="1"/>
    </row>
    <row r="16024">
      <c r="C16024" s="1"/>
    </row>
    <row r="16025">
      <c r="C16025" s="1"/>
    </row>
    <row r="16026">
      <c r="C16026" s="1"/>
    </row>
    <row r="16027">
      <c r="C16027" s="1"/>
    </row>
    <row r="16028">
      <c r="C16028" s="1"/>
    </row>
    <row r="16029">
      <c r="C16029" s="1"/>
    </row>
    <row r="16030">
      <c r="C16030" s="1"/>
    </row>
    <row r="16031">
      <c r="C16031" s="1"/>
    </row>
    <row r="16032">
      <c r="C16032" s="1"/>
    </row>
    <row r="16033">
      <c r="C16033" s="1"/>
    </row>
    <row r="16034">
      <c r="C16034" s="1"/>
    </row>
    <row r="16035">
      <c r="C16035" s="1"/>
    </row>
    <row r="16036">
      <c r="C16036" s="1"/>
    </row>
    <row r="16037">
      <c r="C16037" s="1"/>
    </row>
    <row r="16038">
      <c r="C16038" s="1"/>
    </row>
    <row r="16039">
      <c r="C16039" s="1"/>
    </row>
    <row r="16040">
      <c r="C16040" s="1"/>
    </row>
    <row r="16041">
      <c r="C16041" s="1"/>
    </row>
    <row r="16042">
      <c r="C16042" s="1"/>
    </row>
    <row r="16043">
      <c r="C16043" s="1"/>
    </row>
    <row r="16044">
      <c r="C16044" s="1"/>
    </row>
    <row r="16045">
      <c r="C16045" s="1"/>
    </row>
    <row r="16046">
      <c r="C16046" s="1"/>
    </row>
    <row r="16047">
      <c r="C16047" s="1"/>
    </row>
    <row r="16048">
      <c r="C16048" s="1"/>
    </row>
    <row r="16049">
      <c r="C16049" s="1"/>
    </row>
    <row r="16050">
      <c r="C16050" s="1"/>
    </row>
    <row r="16051">
      <c r="C16051" s="1"/>
    </row>
    <row r="16052">
      <c r="C16052" s="1"/>
    </row>
    <row r="16053">
      <c r="C16053" s="1"/>
    </row>
    <row r="16054">
      <c r="C16054" s="1"/>
    </row>
    <row r="16055">
      <c r="C16055" s="1"/>
    </row>
    <row r="16056">
      <c r="C16056" s="1"/>
    </row>
    <row r="16057">
      <c r="C16057" s="1"/>
    </row>
    <row r="16058">
      <c r="C16058" s="1"/>
    </row>
    <row r="16059">
      <c r="C16059" s="1"/>
    </row>
    <row r="16060">
      <c r="C16060" s="1"/>
    </row>
    <row r="16061">
      <c r="C16061" s="1"/>
    </row>
    <row r="16062">
      <c r="C16062" s="1"/>
    </row>
    <row r="16063">
      <c r="C16063" s="1"/>
    </row>
    <row r="16064">
      <c r="C16064" s="1"/>
    </row>
    <row r="16065">
      <c r="C16065" s="1"/>
    </row>
    <row r="16066">
      <c r="C16066" s="1"/>
    </row>
    <row r="16067">
      <c r="C16067" s="1"/>
    </row>
    <row r="16068">
      <c r="C16068" s="1"/>
    </row>
    <row r="16069">
      <c r="C16069" s="1"/>
    </row>
    <row r="16070">
      <c r="C16070" s="1"/>
    </row>
    <row r="16071">
      <c r="C16071" s="1"/>
    </row>
    <row r="16072">
      <c r="C16072" s="1"/>
    </row>
    <row r="16073">
      <c r="C16073" s="1"/>
    </row>
    <row r="16074">
      <c r="C16074" s="1"/>
    </row>
    <row r="16075">
      <c r="C16075" s="1"/>
    </row>
    <row r="16076">
      <c r="C16076" s="1"/>
    </row>
    <row r="16077">
      <c r="C16077" s="1"/>
    </row>
    <row r="16078">
      <c r="C16078" s="1"/>
    </row>
    <row r="16079">
      <c r="C16079" s="1"/>
    </row>
    <row r="16080">
      <c r="C16080" s="1"/>
    </row>
    <row r="16081">
      <c r="C16081" s="1"/>
    </row>
    <row r="16082">
      <c r="C16082" s="1"/>
    </row>
    <row r="16083">
      <c r="C16083" s="1"/>
    </row>
    <row r="16084">
      <c r="C16084" s="1"/>
    </row>
    <row r="16085">
      <c r="C16085" s="1"/>
    </row>
    <row r="16086">
      <c r="C16086" s="1"/>
    </row>
    <row r="16087">
      <c r="C16087" s="1"/>
    </row>
    <row r="16088">
      <c r="C16088" s="1"/>
    </row>
    <row r="16089">
      <c r="C16089" s="1"/>
    </row>
    <row r="16090">
      <c r="C16090" s="1"/>
    </row>
    <row r="16091">
      <c r="C16091" s="1"/>
    </row>
    <row r="16092">
      <c r="C16092" s="1"/>
    </row>
    <row r="16093">
      <c r="C16093" s="1"/>
    </row>
    <row r="16094">
      <c r="C16094" s="1"/>
    </row>
    <row r="16095">
      <c r="C16095" s="1"/>
    </row>
    <row r="16096">
      <c r="C16096" s="1"/>
    </row>
    <row r="16097">
      <c r="C16097" s="1"/>
    </row>
    <row r="16098">
      <c r="C16098" s="1"/>
    </row>
    <row r="16099">
      <c r="C16099" s="1"/>
    </row>
    <row r="16100">
      <c r="C16100" s="1"/>
    </row>
    <row r="16101">
      <c r="C16101" s="1"/>
    </row>
    <row r="16102">
      <c r="C16102" s="1"/>
    </row>
    <row r="16103">
      <c r="C16103" s="1"/>
    </row>
    <row r="16104">
      <c r="C16104" s="1"/>
    </row>
    <row r="16105">
      <c r="C16105" s="1"/>
    </row>
    <row r="16106">
      <c r="C16106" s="1"/>
    </row>
    <row r="16107">
      <c r="C16107" s="1"/>
    </row>
    <row r="16108">
      <c r="C16108" s="1"/>
    </row>
    <row r="16109">
      <c r="C16109" s="1"/>
    </row>
    <row r="16110">
      <c r="C16110" s="1"/>
    </row>
    <row r="16111">
      <c r="C16111" s="1"/>
    </row>
    <row r="16112">
      <c r="C16112" s="1"/>
    </row>
    <row r="16113">
      <c r="C16113" s="1"/>
    </row>
    <row r="16114">
      <c r="C16114" s="1"/>
    </row>
    <row r="16115">
      <c r="C16115" s="1"/>
    </row>
    <row r="16116">
      <c r="C16116" s="1"/>
    </row>
    <row r="16117">
      <c r="C16117" s="1"/>
    </row>
    <row r="16118">
      <c r="C16118" s="1"/>
    </row>
    <row r="16119">
      <c r="C16119" s="1"/>
    </row>
    <row r="16120">
      <c r="C16120" s="1"/>
    </row>
    <row r="16121">
      <c r="C16121" s="1"/>
    </row>
    <row r="16122">
      <c r="C16122" s="1"/>
    </row>
    <row r="16123">
      <c r="C16123" s="1"/>
    </row>
    <row r="16124">
      <c r="C16124" s="1"/>
    </row>
    <row r="16125">
      <c r="C16125" s="1"/>
    </row>
    <row r="16126">
      <c r="C16126" s="1"/>
    </row>
    <row r="16127">
      <c r="C16127" s="1"/>
    </row>
    <row r="16128">
      <c r="C16128" s="1"/>
    </row>
    <row r="16129">
      <c r="C16129" s="1"/>
    </row>
    <row r="16130">
      <c r="C16130" s="1"/>
    </row>
    <row r="16131">
      <c r="C16131" s="1"/>
    </row>
    <row r="16132">
      <c r="C16132" s="1"/>
    </row>
    <row r="16133">
      <c r="C16133" s="1"/>
    </row>
    <row r="16134">
      <c r="C16134" s="1"/>
    </row>
    <row r="16135">
      <c r="C16135" s="1"/>
    </row>
    <row r="16136">
      <c r="C16136" s="1"/>
    </row>
    <row r="16137">
      <c r="C16137" s="1"/>
    </row>
    <row r="16138">
      <c r="C16138" s="1"/>
    </row>
    <row r="16139">
      <c r="C16139" s="1"/>
    </row>
    <row r="16140">
      <c r="C16140" s="1"/>
    </row>
    <row r="16141">
      <c r="C16141" s="1"/>
    </row>
    <row r="16142">
      <c r="C16142" s="1"/>
    </row>
    <row r="16143">
      <c r="C16143" s="1"/>
    </row>
    <row r="16144">
      <c r="C16144" s="1"/>
    </row>
    <row r="16145">
      <c r="C16145" s="1"/>
    </row>
    <row r="16146">
      <c r="C16146" s="1"/>
    </row>
    <row r="16147">
      <c r="C16147" s="1"/>
    </row>
    <row r="16148">
      <c r="C16148" s="1"/>
    </row>
    <row r="16149">
      <c r="C16149" s="1"/>
    </row>
    <row r="16150">
      <c r="C16150" s="1"/>
    </row>
    <row r="16151">
      <c r="C16151" s="1"/>
    </row>
    <row r="16152">
      <c r="C16152" s="1"/>
    </row>
    <row r="16153">
      <c r="C16153" s="1"/>
    </row>
    <row r="16154">
      <c r="C16154" s="1"/>
    </row>
    <row r="16155">
      <c r="C16155" s="1"/>
    </row>
    <row r="16156">
      <c r="C16156" s="1"/>
    </row>
    <row r="16157">
      <c r="C16157" s="1"/>
    </row>
    <row r="16158">
      <c r="C16158" s="1"/>
    </row>
    <row r="16159">
      <c r="C16159" s="1"/>
    </row>
    <row r="16160">
      <c r="C16160" s="1"/>
    </row>
    <row r="16161">
      <c r="C16161" s="1"/>
    </row>
    <row r="16162">
      <c r="C16162" s="1"/>
    </row>
    <row r="16163">
      <c r="C16163" s="1"/>
    </row>
    <row r="16164">
      <c r="C16164" s="1"/>
    </row>
    <row r="16165">
      <c r="C16165" s="1"/>
    </row>
    <row r="16166">
      <c r="C16166" s="1"/>
    </row>
    <row r="16167">
      <c r="C16167" s="1"/>
    </row>
    <row r="16168">
      <c r="C16168" s="1"/>
    </row>
    <row r="16169">
      <c r="C16169" s="1"/>
    </row>
    <row r="16170">
      <c r="C16170" s="1"/>
    </row>
    <row r="16171">
      <c r="C16171" s="1"/>
    </row>
    <row r="16172">
      <c r="C16172" s="1"/>
    </row>
    <row r="16173">
      <c r="C16173" s="1"/>
    </row>
    <row r="16174">
      <c r="C16174" s="1"/>
    </row>
    <row r="16175">
      <c r="C16175" s="1"/>
    </row>
    <row r="16176">
      <c r="C16176" s="1"/>
    </row>
    <row r="16177">
      <c r="C16177" s="1"/>
    </row>
    <row r="16178">
      <c r="C16178" s="1"/>
    </row>
    <row r="16179">
      <c r="C16179" s="1"/>
    </row>
    <row r="16180">
      <c r="C16180" s="1"/>
    </row>
    <row r="16181">
      <c r="C16181" s="1"/>
    </row>
    <row r="16182">
      <c r="C16182" s="1"/>
    </row>
    <row r="16183">
      <c r="C16183" s="1"/>
    </row>
    <row r="16184">
      <c r="C16184" s="1"/>
    </row>
    <row r="16185">
      <c r="C16185" s="1"/>
    </row>
    <row r="16186">
      <c r="C16186" s="1"/>
    </row>
    <row r="16187">
      <c r="C16187" s="1"/>
    </row>
    <row r="16188">
      <c r="C16188" s="1"/>
    </row>
    <row r="16189">
      <c r="C16189" s="1"/>
    </row>
    <row r="16190">
      <c r="C16190" s="1"/>
    </row>
    <row r="16191">
      <c r="C16191" s="1"/>
    </row>
    <row r="16192">
      <c r="C16192" s="1"/>
    </row>
    <row r="16193">
      <c r="C16193" s="1"/>
    </row>
    <row r="16194">
      <c r="C16194" s="1"/>
    </row>
    <row r="16195">
      <c r="C16195" s="1"/>
    </row>
    <row r="16196">
      <c r="C16196" s="1"/>
    </row>
    <row r="16197">
      <c r="C16197" s="1"/>
    </row>
    <row r="16198">
      <c r="C16198" s="1"/>
    </row>
    <row r="16199">
      <c r="C16199" s="1"/>
    </row>
    <row r="16200">
      <c r="C16200" s="1"/>
    </row>
    <row r="16201">
      <c r="C16201" s="1"/>
    </row>
    <row r="16202">
      <c r="C16202" s="1"/>
    </row>
    <row r="16203">
      <c r="C16203" s="1"/>
    </row>
    <row r="16204">
      <c r="C16204" s="1"/>
    </row>
    <row r="16205">
      <c r="C16205" s="1"/>
    </row>
    <row r="16206">
      <c r="C16206" s="1"/>
    </row>
    <row r="16207">
      <c r="C16207" s="1"/>
    </row>
    <row r="16208">
      <c r="C16208" s="1"/>
    </row>
    <row r="16209">
      <c r="C16209" s="1"/>
    </row>
    <row r="16210">
      <c r="C16210" s="1"/>
    </row>
    <row r="16211">
      <c r="C16211" s="1"/>
    </row>
    <row r="16212">
      <c r="C16212" s="1"/>
    </row>
    <row r="16213">
      <c r="C16213" s="1"/>
    </row>
    <row r="16214">
      <c r="C16214" s="1"/>
    </row>
    <row r="16215">
      <c r="C16215" s="1"/>
    </row>
    <row r="16216">
      <c r="C16216" s="1"/>
    </row>
    <row r="16217">
      <c r="C16217" s="1"/>
    </row>
    <row r="16218">
      <c r="C16218" s="1"/>
    </row>
    <row r="16219">
      <c r="C16219" s="1"/>
    </row>
    <row r="16220">
      <c r="C16220" s="1"/>
    </row>
    <row r="16221">
      <c r="C16221" s="1"/>
    </row>
    <row r="16222">
      <c r="C16222" s="1"/>
    </row>
    <row r="16223">
      <c r="C16223" s="1"/>
    </row>
    <row r="16224">
      <c r="C16224" s="1"/>
    </row>
    <row r="16225">
      <c r="C16225" s="1"/>
    </row>
    <row r="16226">
      <c r="C16226" s="1"/>
    </row>
    <row r="16227">
      <c r="C16227" s="1"/>
    </row>
    <row r="16228">
      <c r="C16228" s="1"/>
    </row>
    <row r="16229">
      <c r="C16229" s="1"/>
    </row>
    <row r="16230">
      <c r="C16230" s="1"/>
    </row>
    <row r="16231">
      <c r="C16231" s="1"/>
    </row>
    <row r="16232">
      <c r="C16232" s="1"/>
    </row>
    <row r="16233">
      <c r="C16233" s="1"/>
    </row>
    <row r="16234">
      <c r="C16234" s="1"/>
    </row>
    <row r="16235">
      <c r="C16235" s="1"/>
    </row>
    <row r="16236">
      <c r="C16236" s="1"/>
    </row>
    <row r="16237">
      <c r="C16237" s="1"/>
    </row>
    <row r="16238">
      <c r="C16238" s="1"/>
    </row>
    <row r="16239">
      <c r="C16239" s="1"/>
    </row>
    <row r="16240">
      <c r="C16240" s="1"/>
    </row>
    <row r="16241">
      <c r="C16241" s="1"/>
    </row>
    <row r="16242">
      <c r="C16242" s="1"/>
    </row>
    <row r="16243">
      <c r="C16243" s="1"/>
    </row>
    <row r="16244">
      <c r="C16244" s="1"/>
    </row>
    <row r="16245">
      <c r="C16245" s="1"/>
    </row>
    <row r="16246">
      <c r="C16246" s="1"/>
    </row>
    <row r="16247">
      <c r="C16247" s="1"/>
    </row>
    <row r="16248">
      <c r="C16248" s="1"/>
    </row>
    <row r="16249">
      <c r="C16249" s="1"/>
    </row>
    <row r="16250">
      <c r="C16250" s="1"/>
    </row>
    <row r="16251">
      <c r="C16251" s="1"/>
    </row>
    <row r="16252">
      <c r="C16252" s="1"/>
    </row>
    <row r="16253">
      <c r="C16253" s="1"/>
    </row>
    <row r="16254">
      <c r="C16254" s="1"/>
    </row>
    <row r="16255">
      <c r="C16255" s="1"/>
    </row>
    <row r="16256">
      <c r="C16256" s="1"/>
    </row>
    <row r="16257">
      <c r="C16257" s="1"/>
    </row>
    <row r="16258">
      <c r="C16258" s="1"/>
    </row>
    <row r="16259">
      <c r="C16259" s="1"/>
    </row>
    <row r="16260">
      <c r="C16260" s="1"/>
    </row>
    <row r="16261">
      <c r="C16261" s="1"/>
    </row>
    <row r="16262">
      <c r="C16262" s="1"/>
    </row>
    <row r="16263">
      <c r="C16263" s="1"/>
    </row>
    <row r="16264">
      <c r="C16264" s="1"/>
    </row>
    <row r="16265">
      <c r="C16265" s="1"/>
    </row>
    <row r="16266">
      <c r="C16266" s="1"/>
    </row>
    <row r="16267">
      <c r="C16267" s="1"/>
    </row>
    <row r="16268">
      <c r="C16268" s="1"/>
    </row>
    <row r="16269">
      <c r="C16269" s="1"/>
    </row>
    <row r="16270">
      <c r="C16270" s="1"/>
    </row>
    <row r="16271">
      <c r="C16271" s="1"/>
    </row>
    <row r="16272">
      <c r="C16272" s="1"/>
    </row>
    <row r="16273">
      <c r="C16273" s="1"/>
    </row>
    <row r="16274">
      <c r="C16274" s="1"/>
    </row>
    <row r="16275">
      <c r="C16275" s="1"/>
    </row>
    <row r="16276">
      <c r="C16276" s="1"/>
    </row>
    <row r="16277">
      <c r="C16277" s="1"/>
    </row>
    <row r="16278">
      <c r="C16278" s="1"/>
    </row>
    <row r="16279">
      <c r="C16279" s="1"/>
    </row>
    <row r="16280">
      <c r="C16280" s="1"/>
    </row>
    <row r="16281">
      <c r="C16281" s="1"/>
    </row>
    <row r="16282">
      <c r="C16282" s="1"/>
    </row>
    <row r="16283">
      <c r="C16283" s="1"/>
    </row>
    <row r="16284">
      <c r="C16284" s="1"/>
    </row>
    <row r="16285">
      <c r="C16285" s="1"/>
    </row>
    <row r="16286">
      <c r="C16286" s="1"/>
    </row>
    <row r="16287">
      <c r="C16287" s="1"/>
    </row>
    <row r="16288">
      <c r="C16288" s="1"/>
    </row>
    <row r="16289">
      <c r="C16289" s="1"/>
    </row>
    <row r="16290">
      <c r="C16290" s="1"/>
    </row>
    <row r="16291">
      <c r="C16291" s="1"/>
    </row>
    <row r="16292">
      <c r="C16292" s="1"/>
    </row>
    <row r="16293">
      <c r="C16293" s="1"/>
    </row>
    <row r="16294">
      <c r="C16294" s="1"/>
    </row>
    <row r="16295">
      <c r="C16295" s="1"/>
    </row>
    <row r="16296">
      <c r="C16296" s="1"/>
    </row>
    <row r="16297">
      <c r="C16297" s="1"/>
    </row>
    <row r="16298">
      <c r="C16298" s="1"/>
    </row>
    <row r="16299">
      <c r="C16299" s="1"/>
    </row>
    <row r="16300">
      <c r="C16300" s="1"/>
    </row>
    <row r="16301">
      <c r="C16301" s="1"/>
    </row>
    <row r="16302">
      <c r="C16302" s="1"/>
    </row>
    <row r="16303">
      <c r="C16303" s="1"/>
    </row>
    <row r="16304">
      <c r="C16304" s="1"/>
    </row>
    <row r="16305">
      <c r="C16305" s="1"/>
    </row>
    <row r="16306">
      <c r="C16306" s="1"/>
    </row>
    <row r="16307">
      <c r="C16307" s="1"/>
    </row>
    <row r="16308">
      <c r="C16308" s="1"/>
    </row>
    <row r="16309">
      <c r="C16309" s="1"/>
    </row>
    <row r="16310">
      <c r="C16310" s="1"/>
    </row>
    <row r="16311">
      <c r="C16311" s="1"/>
    </row>
    <row r="16312">
      <c r="C16312" s="1"/>
    </row>
    <row r="16313">
      <c r="C16313" s="1"/>
    </row>
    <row r="16314">
      <c r="C16314" s="1"/>
    </row>
    <row r="16315">
      <c r="C16315" s="1"/>
    </row>
    <row r="16316">
      <c r="C16316" s="1"/>
    </row>
    <row r="16317">
      <c r="C16317" s="1"/>
    </row>
    <row r="16318">
      <c r="C16318" s="1"/>
    </row>
    <row r="16319">
      <c r="C16319" s="1"/>
    </row>
    <row r="16320">
      <c r="C16320" s="1"/>
    </row>
    <row r="16321">
      <c r="C16321" s="1"/>
    </row>
    <row r="16322">
      <c r="C16322" s="1"/>
    </row>
    <row r="16323">
      <c r="C16323" s="1"/>
    </row>
    <row r="16324">
      <c r="C16324" s="1"/>
    </row>
    <row r="16325">
      <c r="C16325" s="1"/>
    </row>
    <row r="16326">
      <c r="C16326" s="1"/>
    </row>
    <row r="16327">
      <c r="C16327" s="1"/>
    </row>
    <row r="16328">
      <c r="C16328" s="1"/>
    </row>
    <row r="16329">
      <c r="C16329" s="1"/>
    </row>
    <row r="16330">
      <c r="C16330" s="1"/>
    </row>
    <row r="16331">
      <c r="C16331" s="1"/>
    </row>
    <row r="16332">
      <c r="C16332" s="1"/>
    </row>
    <row r="16333">
      <c r="C16333" s="1"/>
    </row>
    <row r="16334">
      <c r="C16334" s="1"/>
    </row>
    <row r="16335">
      <c r="C16335" s="1"/>
    </row>
    <row r="16336">
      <c r="C16336" s="1"/>
    </row>
    <row r="16337">
      <c r="C16337" s="1"/>
    </row>
    <row r="16338">
      <c r="C16338" s="1"/>
    </row>
    <row r="16339">
      <c r="C16339" s="1"/>
    </row>
    <row r="16340">
      <c r="C16340" s="1"/>
    </row>
    <row r="16341">
      <c r="C16341" s="1"/>
    </row>
    <row r="16342">
      <c r="C16342" s="1"/>
    </row>
    <row r="16343">
      <c r="C16343" s="1"/>
    </row>
    <row r="16344">
      <c r="C16344" s="1"/>
    </row>
    <row r="16345">
      <c r="C16345" s="1"/>
    </row>
    <row r="16346">
      <c r="C16346" s="1"/>
    </row>
    <row r="16347">
      <c r="C16347" s="1"/>
    </row>
    <row r="16348">
      <c r="C16348" s="1"/>
    </row>
    <row r="16349">
      <c r="C16349" s="1"/>
    </row>
    <row r="16350">
      <c r="C16350" s="1"/>
    </row>
    <row r="16351">
      <c r="C16351" s="1"/>
    </row>
    <row r="16352">
      <c r="C16352" s="1"/>
    </row>
    <row r="16353">
      <c r="C16353" s="1"/>
    </row>
    <row r="16354">
      <c r="C16354" s="1"/>
    </row>
    <row r="16355">
      <c r="C16355" s="1"/>
    </row>
    <row r="16356">
      <c r="C16356" s="1"/>
    </row>
    <row r="16357">
      <c r="C16357" s="1"/>
    </row>
    <row r="16358">
      <c r="C16358" s="1"/>
    </row>
    <row r="16359">
      <c r="C16359" s="1"/>
    </row>
    <row r="16360">
      <c r="C16360" s="1"/>
    </row>
    <row r="16361">
      <c r="C16361" s="1"/>
    </row>
    <row r="16362">
      <c r="C16362" s="1"/>
    </row>
    <row r="16363">
      <c r="C16363" s="1"/>
    </row>
    <row r="16364">
      <c r="C16364" s="1"/>
    </row>
    <row r="16365">
      <c r="C16365" s="1"/>
    </row>
    <row r="16366">
      <c r="C16366" s="1"/>
    </row>
    <row r="16367">
      <c r="C16367" s="1"/>
    </row>
    <row r="16368">
      <c r="C16368" s="1"/>
    </row>
    <row r="16369">
      <c r="C16369" s="1"/>
    </row>
    <row r="16370">
      <c r="C16370" s="1"/>
    </row>
    <row r="16371">
      <c r="C16371" s="1"/>
    </row>
    <row r="16372">
      <c r="C16372" s="1"/>
    </row>
    <row r="16373">
      <c r="C16373" s="1"/>
    </row>
    <row r="16374">
      <c r="C16374" s="1"/>
    </row>
    <row r="16375">
      <c r="C16375" s="1"/>
    </row>
    <row r="16376">
      <c r="C16376" s="1"/>
    </row>
    <row r="16377">
      <c r="C16377" s="1"/>
    </row>
    <row r="16378">
      <c r="C16378" s="1"/>
    </row>
    <row r="16379">
      <c r="C16379" s="1"/>
    </row>
    <row r="16380">
      <c r="C16380" s="1"/>
    </row>
    <row r="16381">
      <c r="C16381" s="1"/>
    </row>
    <row r="16382">
      <c r="C16382" s="1"/>
    </row>
    <row r="16383">
      <c r="C16383" s="1"/>
    </row>
    <row r="16384">
      <c r="C16384" s="1"/>
    </row>
    <row r="16385">
      <c r="C16385" s="1"/>
    </row>
    <row r="16386">
      <c r="C16386" s="1"/>
    </row>
    <row r="16387">
      <c r="C16387" s="1"/>
    </row>
    <row r="16388">
      <c r="C16388" s="1"/>
    </row>
    <row r="16389">
      <c r="C16389" s="1"/>
    </row>
    <row r="16390">
      <c r="C16390" s="1"/>
    </row>
    <row r="16391">
      <c r="C16391" s="1"/>
    </row>
    <row r="16392">
      <c r="C16392" s="1"/>
    </row>
    <row r="16393">
      <c r="C16393" s="1"/>
    </row>
    <row r="16394">
      <c r="C16394" s="1"/>
    </row>
    <row r="16395">
      <c r="C16395" s="1"/>
    </row>
    <row r="16396">
      <c r="C16396" s="1"/>
    </row>
    <row r="16397">
      <c r="C16397" s="1"/>
    </row>
    <row r="16398">
      <c r="C16398" s="1"/>
    </row>
    <row r="16399">
      <c r="C16399" s="1"/>
    </row>
    <row r="16400">
      <c r="C16400" s="1"/>
    </row>
    <row r="16401">
      <c r="C16401" s="1"/>
    </row>
    <row r="16402">
      <c r="C16402" s="1"/>
    </row>
    <row r="16403">
      <c r="C16403" s="1"/>
    </row>
    <row r="16404">
      <c r="C16404" s="1"/>
    </row>
    <row r="16405">
      <c r="C16405" s="1"/>
    </row>
    <row r="16406">
      <c r="C16406" s="1"/>
    </row>
    <row r="16407">
      <c r="C16407" s="1"/>
    </row>
    <row r="16408">
      <c r="C16408" s="1"/>
    </row>
    <row r="16409">
      <c r="C16409" s="1"/>
    </row>
    <row r="16410">
      <c r="C16410" s="1"/>
    </row>
    <row r="16411">
      <c r="C16411" s="1"/>
    </row>
    <row r="16412">
      <c r="C16412" s="1"/>
    </row>
    <row r="16413">
      <c r="C16413" s="1"/>
    </row>
    <row r="16414">
      <c r="C16414" s="1"/>
    </row>
    <row r="16415">
      <c r="C16415" s="1"/>
    </row>
    <row r="16416">
      <c r="C16416" s="1"/>
    </row>
    <row r="16417">
      <c r="C16417" s="1"/>
    </row>
    <row r="16418">
      <c r="C16418" s="1"/>
    </row>
    <row r="16419">
      <c r="C16419" s="1"/>
    </row>
    <row r="16420">
      <c r="C16420" s="1"/>
    </row>
    <row r="16421">
      <c r="C16421" s="1"/>
    </row>
    <row r="16422">
      <c r="C16422" s="1"/>
    </row>
    <row r="16423">
      <c r="C16423" s="1"/>
    </row>
    <row r="16424">
      <c r="C16424" s="1"/>
    </row>
    <row r="16425">
      <c r="C16425" s="1"/>
    </row>
    <row r="16426">
      <c r="C16426" s="1"/>
    </row>
    <row r="16427">
      <c r="C16427" s="1"/>
    </row>
    <row r="16428">
      <c r="C16428" s="1"/>
    </row>
    <row r="16429">
      <c r="C16429" s="1"/>
    </row>
    <row r="16430">
      <c r="C16430" s="1"/>
    </row>
    <row r="16431">
      <c r="C16431" s="1"/>
    </row>
    <row r="16432">
      <c r="C16432" s="1"/>
    </row>
    <row r="16433">
      <c r="C16433" s="1"/>
    </row>
    <row r="16434">
      <c r="C16434" s="1"/>
    </row>
    <row r="16435">
      <c r="C16435" s="1"/>
    </row>
    <row r="16436">
      <c r="C16436" s="1"/>
    </row>
    <row r="16437">
      <c r="C16437" s="1"/>
    </row>
    <row r="16438">
      <c r="C16438" s="1"/>
    </row>
    <row r="16439">
      <c r="C16439" s="1"/>
    </row>
    <row r="16440">
      <c r="C16440" s="1"/>
    </row>
    <row r="16441">
      <c r="C16441" s="1"/>
    </row>
    <row r="16442">
      <c r="C16442" s="1"/>
    </row>
    <row r="16443">
      <c r="C16443" s="1"/>
    </row>
    <row r="16444">
      <c r="C16444" s="1"/>
    </row>
    <row r="16445">
      <c r="C16445" s="1"/>
    </row>
    <row r="16446">
      <c r="C16446" s="1"/>
    </row>
    <row r="16447">
      <c r="C16447" s="1"/>
    </row>
    <row r="16448">
      <c r="C16448" s="1"/>
    </row>
    <row r="16449">
      <c r="C16449" s="1"/>
    </row>
    <row r="16450">
      <c r="C16450" s="1"/>
    </row>
    <row r="16451">
      <c r="C16451" s="1"/>
    </row>
    <row r="16452">
      <c r="C16452" s="1"/>
    </row>
    <row r="16453">
      <c r="C16453" s="1"/>
    </row>
    <row r="16454">
      <c r="C16454" s="1"/>
    </row>
    <row r="16455">
      <c r="C16455" s="1"/>
    </row>
    <row r="16456">
      <c r="C16456" s="1"/>
    </row>
    <row r="16457">
      <c r="C16457" s="1"/>
    </row>
    <row r="16458">
      <c r="C16458" s="1"/>
    </row>
    <row r="16459">
      <c r="C16459" s="1"/>
    </row>
    <row r="16460">
      <c r="C16460" s="1"/>
    </row>
    <row r="16461">
      <c r="C16461" s="1"/>
    </row>
    <row r="16462">
      <c r="C16462" s="1"/>
    </row>
    <row r="16463">
      <c r="C16463" s="1"/>
    </row>
    <row r="16464">
      <c r="C16464" s="1"/>
    </row>
    <row r="16465">
      <c r="C16465" s="1"/>
    </row>
    <row r="16466">
      <c r="C16466" s="1"/>
    </row>
    <row r="16467">
      <c r="C16467" s="1"/>
    </row>
    <row r="16468">
      <c r="C16468" s="1"/>
    </row>
    <row r="16469">
      <c r="C16469" s="1"/>
    </row>
    <row r="16470">
      <c r="C16470" s="1"/>
    </row>
    <row r="16471">
      <c r="C16471" s="1"/>
    </row>
    <row r="16472">
      <c r="C16472" s="1"/>
    </row>
    <row r="16473">
      <c r="C16473" s="1"/>
    </row>
    <row r="16474">
      <c r="C16474" s="1"/>
    </row>
    <row r="16475">
      <c r="C16475" s="1"/>
    </row>
    <row r="16476">
      <c r="C16476" s="1"/>
    </row>
    <row r="16477">
      <c r="C16477" s="1"/>
    </row>
    <row r="16478">
      <c r="C16478" s="1"/>
    </row>
    <row r="16479">
      <c r="C16479" s="1"/>
    </row>
    <row r="16480">
      <c r="C16480" s="1"/>
    </row>
    <row r="16481">
      <c r="C16481" s="1"/>
    </row>
    <row r="16482">
      <c r="C16482" s="1"/>
    </row>
    <row r="16483">
      <c r="C16483" s="1"/>
    </row>
    <row r="16484">
      <c r="C16484" s="1"/>
    </row>
    <row r="16485">
      <c r="C16485" s="1"/>
    </row>
    <row r="16486">
      <c r="C16486" s="1"/>
    </row>
    <row r="16487">
      <c r="C16487" s="1"/>
    </row>
    <row r="16488">
      <c r="C16488" s="1"/>
    </row>
    <row r="16489">
      <c r="C16489" s="1"/>
    </row>
    <row r="16490">
      <c r="C16490" s="1"/>
    </row>
    <row r="16491">
      <c r="C16491" s="1"/>
    </row>
    <row r="16492">
      <c r="C16492" s="1"/>
    </row>
    <row r="16493">
      <c r="C16493" s="1"/>
    </row>
    <row r="16494">
      <c r="C16494" s="1"/>
    </row>
    <row r="16495">
      <c r="C16495" s="1"/>
    </row>
    <row r="16496">
      <c r="C16496" s="1"/>
    </row>
    <row r="16497">
      <c r="C16497" s="1"/>
    </row>
    <row r="16498">
      <c r="C16498" s="1"/>
    </row>
    <row r="16499">
      <c r="C16499" s="1"/>
    </row>
    <row r="16500">
      <c r="C16500" s="1"/>
    </row>
    <row r="16501">
      <c r="C16501" s="1"/>
    </row>
    <row r="16502">
      <c r="C16502" s="1"/>
    </row>
    <row r="16503">
      <c r="C16503" s="1"/>
    </row>
    <row r="16504">
      <c r="C16504" s="1"/>
    </row>
    <row r="16505">
      <c r="C16505" s="1"/>
    </row>
    <row r="16506">
      <c r="C16506" s="1"/>
    </row>
    <row r="16507">
      <c r="C16507" s="1"/>
    </row>
    <row r="16508">
      <c r="C16508" s="1"/>
    </row>
    <row r="16509">
      <c r="C16509" s="1"/>
    </row>
    <row r="16510">
      <c r="C16510" s="1"/>
    </row>
    <row r="16511">
      <c r="C16511" s="1"/>
    </row>
    <row r="16512">
      <c r="C16512" s="1"/>
    </row>
    <row r="16513">
      <c r="C16513" s="1"/>
    </row>
    <row r="16514">
      <c r="C16514" s="1"/>
    </row>
    <row r="16515">
      <c r="C16515" s="1"/>
    </row>
    <row r="16516">
      <c r="C16516" s="1"/>
    </row>
    <row r="16517">
      <c r="C16517" s="1"/>
    </row>
    <row r="16518">
      <c r="C16518" s="1"/>
    </row>
    <row r="16519">
      <c r="C16519" s="1"/>
    </row>
    <row r="16520">
      <c r="C16520" s="1"/>
    </row>
    <row r="16521">
      <c r="C16521" s="1"/>
    </row>
    <row r="16522">
      <c r="C16522" s="1"/>
    </row>
    <row r="16523">
      <c r="C16523" s="1"/>
    </row>
    <row r="16524">
      <c r="C16524" s="1"/>
    </row>
    <row r="16525">
      <c r="C16525" s="1"/>
    </row>
    <row r="16526">
      <c r="C16526" s="1"/>
    </row>
    <row r="16527">
      <c r="C16527" s="1"/>
    </row>
    <row r="16528">
      <c r="C16528" s="1"/>
    </row>
    <row r="16529">
      <c r="C16529" s="1"/>
    </row>
    <row r="16530">
      <c r="C16530" s="1"/>
    </row>
    <row r="16531">
      <c r="C16531" s="1"/>
    </row>
    <row r="16532">
      <c r="C16532" s="1"/>
    </row>
    <row r="16533">
      <c r="C16533" s="1"/>
    </row>
    <row r="16534">
      <c r="C16534" s="1"/>
    </row>
    <row r="16535">
      <c r="C16535" s="1"/>
    </row>
    <row r="16536">
      <c r="C16536" s="1"/>
    </row>
    <row r="16537">
      <c r="C16537" s="1"/>
    </row>
    <row r="16538">
      <c r="C16538" s="1"/>
    </row>
    <row r="16539">
      <c r="C16539" s="1"/>
    </row>
    <row r="16540">
      <c r="C16540" s="1"/>
    </row>
    <row r="16541">
      <c r="C16541" s="1"/>
    </row>
    <row r="16542">
      <c r="C16542" s="1"/>
    </row>
    <row r="16543">
      <c r="C16543" s="1"/>
    </row>
    <row r="16544">
      <c r="C16544" s="1"/>
    </row>
    <row r="16545">
      <c r="C16545" s="1"/>
    </row>
    <row r="16546">
      <c r="C16546" s="1"/>
    </row>
    <row r="16547">
      <c r="C16547" s="1"/>
    </row>
    <row r="16548">
      <c r="C16548" s="1"/>
    </row>
    <row r="16549">
      <c r="C16549" s="1"/>
    </row>
    <row r="16550">
      <c r="C16550" s="1"/>
    </row>
    <row r="16551">
      <c r="C16551" s="1"/>
    </row>
    <row r="16552">
      <c r="C16552" s="1"/>
    </row>
    <row r="16553">
      <c r="C16553" s="1"/>
    </row>
    <row r="16554">
      <c r="C16554" s="1"/>
    </row>
    <row r="16555">
      <c r="C16555" s="1"/>
    </row>
    <row r="16556">
      <c r="C16556" s="1"/>
    </row>
    <row r="16557">
      <c r="C16557" s="1"/>
    </row>
    <row r="16558">
      <c r="C16558" s="1"/>
    </row>
    <row r="16559">
      <c r="C16559" s="1"/>
    </row>
    <row r="16560">
      <c r="C16560" s="1"/>
    </row>
    <row r="16561">
      <c r="C16561" s="1"/>
    </row>
    <row r="16562">
      <c r="C16562" s="1"/>
    </row>
    <row r="16563">
      <c r="C16563" s="1"/>
    </row>
    <row r="16564">
      <c r="C16564" s="1"/>
    </row>
    <row r="16565">
      <c r="C16565" s="1"/>
    </row>
    <row r="16566">
      <c r="C16566" s="1"/>
    </row>
    <row r="16567">
      <c r="C16567" s="1"/>
    </row>
    <row r="16568">
      <c r="C16568" s="1"/>
    </row>
    <row r="16569">
      <c r="C16569" s="1"/>
    </row>
    <row r="16570">
      <c r="C16570" s="1"/>
    </row>
    <row r="16571">
      <c r="C16571" s="1"/>
    </row>
    <row r="16572">
      <c r="C16572" s="1"/>
    </row>
    <row r="16573">
      <c r="C16573" s="1"/>
    </row>
    <row r="16574">
      <c r="C16574" s="1"/>
    </row>
    <row r="16575">
      <c r="C16575" s="1"/>
    </row>
    <row r="16576">
      <c r="C16576" s="1"/>
    </row>
    <row r="16577">
      <c r="C16577" s="1"/>
    </row>
    <row r="16578">
      <c r="C16578" s="1"/>
    </row>
    <row r="16579">
      <c r="C16579" s="1"/>
    </row>
    <row r="16580">
      <c r="C16580" s="1"/>
    </row>
    <row r="16581">
      <c r="C16581" s="1"/>
    </row>
    <row r="16582">
      <c r="C16582" s="1"/>
    </row>
    <row r="16583">
      <c r="C16583" s="1"/>
    </row>
    <row r="16584">
      <c r="C16584" s="1"/>
    </row>
    <row r="16585">
      <c r="C16585" s="1"/>
    </row>
    <row r="16586">
      <c r="C16586" s="1"/>
    </row>
    <row r="16587">
      <c r="C16587" s="1"/>
    </row>
    <row r="16588">
      <c r="C16588" s="1"/>
    </row>
    <row r="16589">
      <c r="C16589" s="1"/>
    </row>
    <row r="16590">
      <c r="C16590" s="1"/>
    </row>
    <row r="16591">
      <c r="C16591" s="1"/>
    </row>
    <row r="16592">
      <c r="C16592" s="1"/>
    </row>
    <row r="16593">
      <c r="C16593" s="1"/>
    </row>
    <row r="16594">
      <c r="C16594" s="1"/>
    </row>
    <row r="16595">
      <c r="C16595" s="1"/>
    </row>
    <row r="16596">
      <c r="C16596" s="1"/>
    </row>
    <row r="16597">
      <c r="C16597" s="1"/>
    </row>
    <row r="16598">
      <c r="C16598" s="1"/>
    </row>
    <row r="16599">
      <c r="C16599" s="1"/>
    </row>
    <row r="16600">
      <c r="C16600" s="1"/>
    </row>
    <row r="16601">
      <c r="C16601" s="1"/>
    </row>
    <row r="16602">
      <c r="C16602" s="1"/>
    </row>
    <row r="16603">
      <c r="C16603" s="1"/>
    </row>
    <row r="16604">
      <c r="C16604" s="1"/>
    </row>
    <row r="16605">
      <c r="C16605" s="1"/>
    </row>
    <row r="16606">
      <c r="C16606" s="1"/>
    </row>
    <row r="16607">
      <c r="C16607" s="1"/>
    </row>
    <row r="16608">
      <c r="C16608" s="1"/>
    </row>
    <row r="16609">
      <c r="C16609" s="1"/>
    </row>
    <row r="16610">
      <c r="C16610" s="1"/>
    </row>
    <row r="16611">
      <c r="C16611" s="1"/>
    </row>
    <row r="16612">
      <c r="C16612" s="1"/>
    </row>
    <row r="16613">
      <c r="C16613" s="1"/>
    </row>
    <row r="16614">
      <c r="C16614" s="1"/>
    </row>
    <row r="16615">
      <c r="C16615" s="1"/>
    </row>
    <row r="16616">
      <c r="C16616" s="1"/>
    </row>
    <row r="16617">
      <c r="C16617" s="1"/>
    </row>
    <row r="16618">
      <c r="C16618" s="1"/>
    </row>
    <row r="16619">
      <c r="C16619" s="1"/>
    </row>
    <row r="16620">
      <c r="C16620" s="1"/>
    </row>
    <row r="16621">
      <c r="C16621" s="1"/>
    </row>
    <row r="16622">
      <c r="C16622" s="1"/>
    </row>
    <row r="16623">
      <c r="C16623" s="1"/>
    </row>
    <row r="16624">
      <c r="C16624" s="1"/>
    </row>
    <row r="16625">
      <c r="C16625" s="1"/>
    </row>
    <row r="16626">
      <c r="C16626" s="1"/>
    </row>
    <row r="16627">
      <c r="C16627" s="1"/>
    </row>
    <row r="16628">
      <c r="C16628" s="1"/>
    </row>
    <row r="16629">
      <c r="C16629" s="1"/>
    </row>
    <row r="16630">
      <c r="C16630" s="1"/>
    </row>
    <row r="16631">
      <c r="C16631" s="1"/>
    </row>
    <row r="16632">
      <c r="C16632" s="1"/>
    </row>
    <row r="16633">
      <c r="C16633" s="1"/>
    </row>
    <row r="16634">
      <c r="C16634" s="1"/>
    </row>
    <row r="16635">
      <c r="C16635" s="1"/>
    </row>
    <row r="16636">
      <c r="C16636" s="1"/>
    </row>
    <row r="16637">
      <c r="C16637" s="1"/>
    </row>
    <row r="16638">
      <c r="C16638" s="1"/>
    </row>
    <row r="16639">
      <c r="C16639" s="1"/>
    </row>
    <row r="16640">
      <c r="C16640" s="1"/>
    </row>
    <row r="16641">
      <c r="C16641" s="1"/>
    </row>
    <row r="16642">
      <c r="C16642" s="1"/>
    </row>
    <row r="16643">
      <c r="C16643" s="1"/>
    </row>
    <row r="16644">
      <c r="C16644" s="1"/>
    </row>
    <row r="16645">
      <c r="C16645" s="1"/>
    </row>
    <row r="16646">
      <c r="C16646" s="1"/>
    </row>
    <row r="16647">
      <c r="C16647" s="1"/>
    </row>
    <row r="16648">
      <c r="C16648" s="1"/>
    </row>
    <row r="16649">
      <c r="C16649" s="1"/>
    </row>
    <row r="16650">
      <c r="C16650" s="1"/>
    </row>
    <row r="16651">
      <c r="C16651" s="1"/>
    </row>
    <row r="16652">
      <c r="C16652" s="1"/>
    </row>
    <row r="16653">
      <c r="C16653" s="1"/>
    </row>
    <row r="16654">
      <c r="C16654" s="1"/>
    </row>
    <row r="16655">
      <c r="C16655" s="1"/>
    </row>
    <row r="16656">
      <c r="C16656" s="1"/>
    </row>
    <row r="16657">
      <c r="C16657" s="1"/>
    </row>
    <row r="16658">
      <c r="C16658" s="1"/>
    </row>
    <row r="16659">
      <c r="C16659" s="1"/>
    </row>
    <row r="16660">
      <c r="C16660" s="1"/>
    </row>
    <row r="16661">
      <c r="C16661" s="1"/>
    </row>
    <row r="16662">
      <c r="C16662" s="1"/>
    </row>
    <row r="16663">
      <c r="C16663" s="1"/>
    </row>
    <row r="16664">
      <c r="C16664" s="1"/>
    </row>
    <row r="16665">
      <c r="C16665" s="1"/>
    </row>
    <row r="16666">
      <c r="C16666" s="1"/>
    </row>
    <row r="16667">
      <c r="C16667" s="1"/>
    </row>
    <row r="16668">
      <c r="C16668" s="1"/>
    </row>
    <row r="16669">
      <c r="C16669" s="1"/>
    </row>
    <row r="16670">
      <c r="C16670" s="1"/>
    </row>
    <row r="16671">
      <c r="C16671" s="1"/>
    </row>
    <row r="16672">
      <c r="C16672" s="1"/>
    </row>
    <row r="16673">
      <c r="C16673" s="1"/>
    </row>
    <row r="16674">
      <c r="C16674" s="1"/>
    </row>
    <row r="16675">
      <c r="C16675" s="1"/>
    </row>
    <row r="16676">
      <c r="C16676" s="1"/>
    </row>
    <row r="16677">
      <c r="C16677" s="1"/>
    </row>
    <row r="16678">
      <c r="C16678" s="1"/>
    </row>
    <row r="16679">
      <c r="C16679" s="1"/>
    </row>
    <row r="16680">
      <c r="C16680" s="1"/>
    </row>
    <row r="16681">
      <c r="C16681" s="1"/>
    </row>
    <row r="16682">
      <c r="C16682" s="1"/>
    </row>
    <row r="16683">
      <c r="C16683" s="1"/>
    </row>
    <row r="16684">
      <c r="C16684" s="1"/>
    </row>
    <row r="16685">
      <c r="C16685" s="1"/>
    </row>
    <row r="16686">
      <c r="C16686" s="1"/>
    </row>
    <row r="16687">
      <c r="C16687" s="1"/>
    </row>
    <row r="16688">
      <c r="C16688" s="1"/>
    </row>
    <row r="16689">
      <c r="C16689" s="1"/>
    </row>
    <row r="16690">
      <c r="C16690" s="1"/>
    </row>
    <row r="16691">
      <c r="C16691" s="1"/>
    </row>
    <row r="16692">
      <c r="C16692" s="1"/>
    </row>
    <row r="16693">
      <c r="C16693" s="1"/>
    </row>
    <row r="16694">
      <c r="C16694" s="1"/>
    </row>
    <row r="16695">
      <c r="C16695" s="1"/>
    </row>
    <row r="16696">
      <c r="C16696" s="1"/>
    </row>
    <row r="16697">
      <c r="C16697" s="1"/>
    </row>
    <row r="16698">
      <c r="C16698" s="1"/>
    </row>
    <row r="16699">
      <c r="C16699" s="1"/>
    </row>
    <row r="16700">
      <c r="C16700" s="1"/>
    </row>
    <row r="16701">
      <c r="C16701" s="1"/>
    </row>
    <row r="16702">
      <c r="C16702" s="1"/>
    </row>
    <row r="16703">
      <c r="C16703" s="1"/>
    </row>
    <row r="16704">
      <c r="C16704" s="1"/>
    </row>
    <row r="16705">
      <c r="C16705" s="1"/>
    </row>
    <row r="16706">
      <c r="C16706" s="1"/>
    </row>
    <row r="16707">
      <c r="C16707" s="1"/>
    </row>
    <row r="16708">
      <c r="C16708" s="1"/>
    </row>
    <row r="16709">
      <c r="C16709" s="1"/>
    </row>
    <row r="16710">
      <c r="C16710" s="1"/>
    </row>
    <row r="16711">
      <c r="C16711" s="1"/>
    </row>
    <row r="16712">
      <c r="C16712" s="1"/>
    </row>
    <row r="16713">
      <c r="C16713" s="1"/>
    </row>
    <row r="16714">
      <c r="C16714" s="1"/>
    </row>
    <row r="16715">
      <c r="C16715" s="1"/>
    </row>
    <row r="16716">
      <c r="C16716" s="1"/>
    </row>
    <row r="16717">
      <c r="C16717" s="1"/>
    </row>
    <row r="16718">
      <c r="C16718" s="1"/>
    </row>
    <row r="16719">
      <c r="C16719" s="1"/>
    </row>
    <row r="16720">
      <c r="C16720" s="1"/>
    </row>
    <row r="16721">
      <c r="C16721" s="1"/>
    </row>
    <row r="16722">
      <c r="C16722" s="1"/>
    </row>
    <row r="16723">
      <c r="C16723" s="1"/>
    </row>
    <row r="16724">
      <c r="C16724" s="1"/>
    </row>
    <row r="16725">
      <c r="C16725" s="1"/>
    </row>
    <row r="16726">
      <c r="C16726" s="1"/>
    </row>
    <row r="16727">
      <c r="C16727" s="1"/>
    </row>
    <row r="16728">
      <c r="C16728" s="1"/>
    </row>
    <row r="16729">
      <c r="C16729" s="1"/>
    </row>
    <row r="16730">
      <c r="C16730" s="1"/>
    </row>
    <row r="16731">
      <c r="C16731" s="1"/>
    </row>
    <row r="16732">
      <c r="C16732" s="1"/>
    </row>
    <row r="16733">
      <c r="C16733" s="1"/>
    </row>
    <row r="16734">
      <c r="C16734" s="1"/>
    </row>
    <row r="16735">
      <c r="C16735" s="1"/>
    </row>
    <row r="16736">
      <c r="C16736" s="1"/>
    </row>
    <row r="16737">
      <c r="C16737" s="1"/>
    </row>
    <row r="16738">
      <c r="C16738" s="1"/>
    </row>
    <row r="16739">
      <c r="C16739" s="1"/>
    </row>
    <row r="16740">
      <c r="C16740" s="1"/>
    </row>
    <row r="16741">
      <c r="C16741" s="1"/>
    </row>
    <row r="16742">
      <c r="C16742" s="1"/>
    </row>
    <row r="16743">
      <c r="C16743" s="1"/>
    </row>
    <row r="16744">
      <c r="C16744" s="1"/>
    </row>
    <row r="16745">
      <c r="C16745" s="1"/>
    </row>
    <row r="16746">
      <c r="C16746" s="1"/>
    </row>
    <row r="16747">
      <c r="C16747" s="1"/>
    </row>
    <row r="16748">
      <c r="C16748" s="1"/>
    </row>
    <row r="16749">
      <c r="C16749" s="1"/>
    </row>
    <row r="16750">
      <c r="C16750" s="1"/>
    </row>
    <row r="16751">
      <c r="C16751" s="1"/>
    </row>
    <row r="16752">
      <c r="C16752" s="1"/>
    </row>
    <row r="16753">
      <c r="C16753" s="1"/>
    </row>
    <row r="16754">
      <c r="C16754" s="1"/>
    </row>
    <row r="16755">
      <c r="C16755" s="1"/>
    </row>
    <row r="16756">
      <c r="C16756" s="1"/>
    </row>
    <row r="16757">
      <c r="C16757" s="1"/>
    </row>
    <row r="16758">
      <c r="C16758" s="1"/>
    </row>
    <row r="16759">
      <c r="C16759" s="1"/>
    </row>
    <row r="16760">
      <c r="C16760" s="1"/>
    </row>
    <row r="16761">
      <c r="C16761" s="1"/>
    </row>
    <row r="16762">
      <c r="C16762" s="1"/>
    </row>
    <row r="16763">
      <c r="C16763" s="1"/>
    </row>
    <row r="16764">
      <c r="C16764" s="1"/>
    </row>
    <row r="16765">
      <c r="C16765" s="1"/>
    </row>
    <row r="16766">
      <c r="C16766" s="1"/>
    </row>
    <row r="16767">
      <c r="C16767" s="1"/>
    </row>
    <row r="16768">
      <c r="C16768" s="1"/>
    </row>
    <row r="16769">
      <c r="C16769" s="1"/>
    </row>
    <row r="16770">
      <c r="C16770" s="1"/>
    </row>
    <row r="16771">
      <c r="C16771" s="1"/>
    </row>
    <row r="16772">
      <c r="C16772" s="1"/>
    </row>
    <row r="16773">
      <c r="C16773" s="1"/>
    </row>
    <row r="16774">
      <c r="C16774" s="1"/>
    </row>
    <row r="16775">
      <c r="C16775" s="1"/>
    </row>
    <row r="16776">
      <c r="C16776" s="1"/>
    </row>
    <row r="16777">
      <c r="C16777" s="1"/>
    </row>
    <row r="16778">
      <c r="C16778" s="1"/>
    </row>
    <row r="16779">
      <c r="C16779" s="1"/>
    </row>
    <row r="16780">
      <c r="C16780" s="1"/>
    </row>
    <row r="16781">
      <c r="C16781" s="1"/>
    </row>
    <row r="16782">
      <c r="C16782" s="1"/>
    </row>
    <row r="16783">
      <c r="C16783" s="1"/>
    </row>
    <row r="16784">
      <c r="C16784" s="1"/>
    </row>
    <row r="16785">
      <c r="C16785" s="1"/>
    </row>
    <row r="16786">
      <c r="C16786" s="1"/>
    </row>
    <row r="16787">
      <c r="C16787" s="1"/>
    </row>
    <row r="16788">
      <c r="C16788" s="1"/>
    </row>
    <row r="16789">
      <c r="C16789" s="1"/>
    </row>
    <row r="16790">
      <c r="C16790" s="1"/>
    </row>
    <row r="16791">
      <c r="C16791" s="1"/>
    </row>
    <row r="16792">
      <c r="C16792" s="1"/>
    </row>
    <row r="16793">
      <c r="C16793" s="1"/>
    </row>
    <row r="16794">
      <c r="C16794" s="1"/>
    </row>
    <row r="16795">
      <c r="C16795" s="1"/>
    </row>
    <row r="16796">
      <c r="C16796" s="1"/>
    </row>
    <row r="16797">
      <c r="C16797" s="1"/>
    </row>
    <row r="16798">
      <c r="C16798" s="1"/>
    </row>
    <row r="16799">
      <c r="C16799" s="1"/>
    </row>
    <row r="16800">
      <c r="C16800" s="1"/>
    </row>
    <row r="16801">
      <c r="C16801" s="1"/>
    </row>
    <row r="16802">
      <c r="C16802" s="1"/>
    </row>
    <row r="16803">
      <c r="C16803" s="1"/>
    </row>
    <row r="16804">
      <c r="C16804" s="1"/>
    </row>
    <row r="16805">
      <c r="C16805" s="1"/>
    </row>
    <row r="16806">
      <c r="C16806" s="1"/>
    </row>
    <row r="16807">
      <c r="C16807" s="1"/>
    </row>
    <row r="16808">
      <c r="C16808" s="1"/>
    </row>
    <row r="16809">
      <c r="C16809" s="1"/>
    </row>
    <row r="16810">
      <c r="C16810" s="1"/>
    </row>
    <row r="16811">
      <c r="C16811" s="1"/>
    </row>
    <row r="16812">
      <c r="C16812" s="1"/>
    </row>
    <row r="16813">
      <c r="C16813" s="1"/>
    </row>
    <row r="16814">
      <c r="C16814" s="1"/>
    </row>
    <row r="16815">
      <c r="C16815" s="1"/>
    </row>
    <row r="16816">
      <c r="C16816" s="1"/>
    </row>
    <row r="16817">
      <c r="C16817" s="1"/>
    </row>
    <row r="16818">
      <c r="C16818" s="1"/>
    </row>
    <row r="16819">
      <c r="C16819" s="1"/>
    </row>
    <row r="16820">
      <c r="C16820" s="1"/>
    </row>
    <row r="16821">
      <c r="C16821" s="1"/>
    </row>
    <row r="16822">
      <c r="C16822" s="1"/>
    </row>
    <row r="16823">
      <c r="C16823" s="1"/>
    </row>
    <row r="16824">
      <c r="C16824" s="1"/>
    </row>
    <row r="16825">
      <c r="C16825" s="1"/>
    </row>
    <row r="16826">
      <c r="C16826" s="1"/>
    </row>
    <row r="16827">
      <c r="C16827" s="1"/>
    </row>
    <row r="16828">
      <c r="C16828" s="1"/>
    </row>
    <row r="16829">
      <c r="C16829" s="1"/>
    </row>
    <row r="16830">
      <c r="C16830" s="1"/>
    </row>
    <row r="16831">
      <c r="C16831" s="1"/>
    </row>
    <row r="16832">
      <c r="C16832" s="1"/>
    </row>
    <row r="16833">
      <c r="C16833" s="1"/>
    </row>
    <row r="16834">
      <c r="C16834" s="1"/>
    </row>
    <row r="16835">
      <c r="C16835" s="1"/>
    </row>
    <row r="16836">
      <c r="C16836" s="1"/>
    </row>
    <row r="16837">
      <c r="C16837" s="1"/>
    </row>
    <row r="16838">
      <c r="C16838" s="1"/>
    </row>
    <row r="16839">
      <c r="C16839" s="1"/>
    </row>
    <row r="16840">
      <c r="C16840" s="1"/>
    </row>
    <row r="16841">
      <c r="C16841" s="1"/>
    </row>
    <row r="16842">
      <c r="C16842" s="1"/>
    </row>
    <row r="16843">
      <c r="C16843" s="1"/>
    </row>
    <row r="16844">
      <c r="C16844" s="1"/>
    </row>
    <row r="16845">
      <c r="C16845" s="1"/>
    </row>
    <row r="16846">
      <c r="C16846" s="1"/>
    </row>
    <row r="16847">
      <c r="C16847" s="1"/>
    </row>
    <row r="16848">
      <c r="C16848" s="1"/>
    </row>
    <row r="16849">
      <c r="C16849" s="1"/>
    </row>
    <row r="16850">
      <c r="C16850" s="1"/>
    </row>
    <row r="16851">
      <c r="C16851" s="1"/>
    </row>
    <row r="16852">
      <c r="C16852" s="1"/>
    </row>
    <row r="16853">
      <c r="C16853" s="1"/>
    </row>
    <row r="16854">
      <c r="C16854" s="1"/>
    </row>
    <row r="16855">
      <c r="C16855" s="1"/>
    </row>
    <row r="16856">
      <c r="C16856" s="1"/>
    </row>
    <row r="16857">
      <c r="C16857" s="1"/>
    </row>
    <row r="16858">
      <c r="C16858" s="1"/>
    </row>
    <row r="16859">
      <c r="C16859" s="1"/>
    </row>
    <row r="16860">
      <c r="C16860" s="1"/>
    </row>
    <row r="16861">
      <c r="C16861" s="1"/>
    </row>
    <row r="16862">
      <c r="C16862" s="1"/>
    </row>
    <row r="16863">
      <c r="C16863" s="1"/>
    </row>
    <row r="16864">
      <c r="C16864" s="1"/>
    </row>
    <row r="16865">
      <c r="C16865" s="1"/>
    </row>
    <row r="16866">
      <c r="C16866" s="1"/>
    </row>
    <row r="16867">
      <c r="C16867" s="1"/>
    </row>
    <row r="16868">
      <c r="C16868" s="1"/>
    </row>
    <row r="16869">
      <c r="C16869" s="1"/>
    </row>
    <row r="16870">
      <c r="C16870" s="1"/>
    </row>
    <row r="16871">
      <c r="C16871" s="1"/>
    </row>
    <row r="16872">
      <c r="C16872" s="1"/>
    </row>
    <row r="16873">
      <c r="C16873" s="1"/>
    </row>
    <row r="16874">
      <c r="C16874" s="1"/>
    </row>
    <row r="16875">
      <c r="C16875" s="1"/>
    </row>
    <row r="16876">
      <c r="C16876" s="1"/>
    </row>
    <row r="16877">
      <c r="C16877" s="1"/>
    </row>
    <row r="16878">
      <c r="C16878" s="1"/>
    </row>
    <row r="16879">
      <c r="C16879" s="1"/>
    </row>
    <row r="16880">
      <c r="C16880" s="1"/>
    </row>
    <row r="16881">
      <c r="C16881" s="1"/>
    </row>
    <row r="16882">
      <c r="C16882" s="1"/>
    </row>
    <row r="16883">
      <c r="C16883" s="1"/>
    </row>
    <row r="16884">
      <c r="C16884" s="1"/>
    </row>
    <row r="16885">
      <c r="C16885" s="1"/>
    </row>
    <row r="16886">
      <c r="C16886" s="1"/>
    </row>
    <row r="16887">
      <c r="C16887" s="1"/>
    </row>
    <row r="16888">
      <c r="C16888" s="1"/>
    </row>
    <row r="16889">
      <c r="C16889" s="1"/>
    </row>
    <row r="16890">
      <c r="C16890" s="1"/>
    </row>
    <row r="16891">
      <c r="C16891" s="1"/>
    </row>
    <row r="16892">
      <c r="C16892" s="1"/>
    </row>
    <row r="16893">
      <c r="C16893" s="1"/>
    </row>
    <row r="16894">
      <c r="C16894" s="1"/>
    </row>
    <row r="16895">
      <c r="C16895" s="1"/>
    </row>
    <row r="16896">
      <c r="C16896" s="1"/>
    </row>
    <row r="16897">
      <c r="C16897" s="1"/>
    </row>
    <row r="16898">
      <c r="C16898" s="1"/>
    </row>
    <row r="16899">
      <c r="C16899" s="1"/>
    </row>
    <row r="16900">
      <c r="C16900" s="1"/>
    </row>
    <row r="16901">
      <c r="C16901" s="1"/>
    </row>
    <row r="16902">
      <c r="C16902" s="1"/>
    </row>
    <row r="16903">
      <c r="C16903" s="1"/>
    </row>
    <row r="16904">
      <c r="C16904" s="1"/>
    </row>
    <row r="16905">
      <c r="C16905" s="1"/>
    </row>
    <row r="16906">
      <c r="C16906" s="1"/>
    </row>
    <row r="16907">
      <c r="C16907" s="1"/>
    </row>
    <row r="16908">
      <c r="C16908" s="1"/>
    </row>
    <row r="16909">
      <c r="C16909" s="1"/>
    </row>
    <row r="16910">
      <c r="C16910" s="1"/>
    </row>
    <row r="16911">
      <c r="C16911" s="1"/>
    </row>
    <row r="16912">
      <c r="C16912" s="1"/>
    </row>
    <row r="16913">
      <c r="C16913" s="1"/>
    </row>
    <row r="16914">
      <c r="C16914" s="1"/>
    </row>
    <row r="16915">
      <c r="C16915" s="1"/>
    </row>
    <row r="16916">
      <c r="C16916" s="1"/>
    </row>
    <row r="16917">
      <c r="C16917" s="1"/>
    </row>
    <row r="16918">
      <c r="C16918" s="1"/>
    </row>
    <row r="16919">
      <c r="C16919" s="1"/>
    </row>
    <row r="16920">
      <c r="C16920" s="1"/>
    </row>
    <row r="16921">
      <c r="C16921" s="1"/>
    </row>
    <row r="16922">
      <c r="C16922" s="1"/>
    </row>
    <row r="16923">
      <c r="C16923" s="1"/>
    </row>
    <row r="16924">
      <c r="C16924" s="1"/>
    </row>
    <row r="16925">
      <c r="C16925" s="1"/>
    </row>
    <row r="16926">
      <c r="C16926" s="1"/>
    </row>
    <row r="16927">
      <c r="C16927" s="1"/>
    </row>
    <row r="16928">
      <c r="C16928" s="1"/>
    </row>
    <row r="16929">
      <c r="C16929" s="1"/>
    </row>
    <row r="16930">
      <c r="C16930" s="1"/>
    </row>
    <row r="16931">
      <c r="C16931" s="1"/>
    </row>
    <row r="16932">
      <c r="C16932" s="1"/>
    </row>
    <row r="16933">
      <c r="C16933" s="1"/>
    </row>
    <row r="16934">
      <c r="C16934" s="1"/>
    </row>
    <row r="16935">
      <c r="C16935" s="1"/>
    </row>
    <row r="16936">
      <c r="C16936" s="1"/>
    </row>
    <row r="16937">
      <c r="C16937" s="1"/>
    </row>
    <row r="16938">
      <c r="C16938" s="1"/>
    </row>
    <row r="16939">
      <c r="C16939" s="1"/>
    </row>
    <row r="16940">
      <c r="C16940" s="1"/>
    </row>
    <row r="16941">
      <c r="C16941" s="1"/>
    </row>
    <row r="16942">
      <c r="C16942" s="1"/>
    </row>
    <row r="16943">
      <c r="C16943" s="1"/>
    </row>
    <row r="16944">
      <c r="C16944" s="1"/>
    </row>
    <row r="16945">
      <c r="C16945" s="1"/>
    </row>
    <row r="16946">
      <c r="C16946" s="1"/>
    </row>
    <row r="16947">
      <c r="C16947" s="1"/>
    </row>
    <row r="16948">
      <c r="C16948" s="1"/>
    </row>
    <row r="16949">
      <c r="C16949" s="1"/>
    </row>
    <row r="16950">
      <c r="C16950" s="1"/>
    </row>
    <row r="16951">
      <c r="C16951" s="1"/>
    </row>
    <row r="16952">
      <c r="C16952" s="1"/>
    </row>
    <row r="16953">
      <c r="C16953" s="1"/>
    </row>
    <row r="16954">
      <c r="C16954" s="1"/>
    </row>
    <row r="16955">
      <c r="C16955" s="1"/>
    </row>
    <row r="16956">
      <c r="C16956" s="1"/>
    </row>
    <row r="16957">
      <c r="C16957" s="1"/>
    </row>
    <row r="16958">
      <c r="C16958" s="1"/>
    </row>
    <row r="16959">
      <c r="C16959" s="1"/>
    </row>
    <row r="16960">
      <c r="C16960" s="1"/>
    </row>
    <row r="16961">
      <c r="C16961" s="1"/>
    </row>
    <row r="16962">
      <c r="C16962" s="1"/>
    </row>
    <row r="16963">
      <c r="C16963" s="1"/>
    </row>
    <row r="16964">
      <c r="C16964" s="1"/>
    </row>
    <row r="16965">
      <c r="C16965" s="1"/>
    </row>
    <row r="16966">
      <c r="C16966" s="1"/>
    </row>
    <row r="16967">
      <c r="C16967" s="1"/>
    </row>
    <row r="16968">
      <c r="C16968" s="1"/>
    </row>
    <row r="16969">
      <c r="C16969" s="1"/>
    </row>
    <row r="16970">
      <c r="C16970" s="1"/>
    </row>
    <row r="16971">
      <c r="C16971" s="1"/>
    </row>
    <row r="16972">
      <c r="C16972" s="1"/>
    </row>
    <row r="16973">
      <c r="C16973" s="1"/>
    </row>
    <row r="16974">
      <c r="C16974" s="1"/>
    </row>
    <row r="16975">
      <c r="C16975" s="1"/>
    </row>
    <row r="16976">
      <c r="C16976" s="1"/>
    </row>
    <row r="16977">
      <c r="C16977" s="1"/>
    </row>
    <row r="16978">
      <c r="C16978" s="1"/>
    </row>
    <row r="16979">
      <c r="C16979" s="1"/>
    </row>
    <row r="16980">
      <c r="C16980" s="1"/>
    </row>
    <row r="16981">
      <c r="C16981" s="1"/>
    </row>
    <row r="16982">
      <c r="C16982" s="1"/>
    </row>
    <row r="16983">
      <c r="C16983" s="1"/>
    </row>
    <row r="16984">
      <c r="C16984" s="1"/>
    </row>
    <row r="16985">
      <c r="C16985" s="1"/>
    </row>
    <row r="16986">
      <c r="C16986" s="1"/>
    </row>
    <row r="16987">
      <c r="C16987" s="1"/>
    </row>
    <row r="16988">
      <c r="C16988" s="1"/>
    </row>
    <row r="16989">
      <c r="C16989" s="1"/>
    </row>
    <row r="16990">
      <c r="C16990" s="1"/>
    </row>
    <row r="16991">
      <c r="C16991" s="1"/>
    </row>
    <row r="16992">
      <c r="C16992" s="1"/>
    </row>
    <row r="16993">
      <c r="C16993" s="1"/>
    </row>
    <row r="16994">
      <c r="C16994" s="1"/>
    </row>
    <row r="16995">
      <c r="C16995" s="1"/>
    </row>
    <row r="16996">
      <c r="C16996" s="1"/>
    </row>
    <row r="16997">
      <c r="C16997" s="1"/>
    </row>
    <row r="16998">
      <c r="C16998" s="1"/>
    </row>
    <row r="16999">
      <c r="C16999" s="1"/>
    </row>
    <row r="17000">
      <c r="C17000" s="1"/>
    </row>
    <row r="17001">
      <c r="C17001" s="1"/>
    </row>
    <row r="17002">
      <c r="C17002" s="1"/>
    </row>
    <row r="17003">
      <c r="C17003" s="1"/>
    </row>
    <row r="17004">
      <c r="C17004" s="1"/>
    </row>
    <row r="17005">
      <c r="C17005" s="1"/>
    </row>
    <row r="17006">
      <c r="C17006" s="1"/>
    </row>
    <row r="17007">
      <c r="C17007" s="1"/>
    </row>
    <row r="17008">
      <c r="C17008" s="1"/>
    </row>
    <row r="17009">
      <c r="C17009" s="1"/>
    </row>
    <row r="17010">
      <c r="C17010" s="1"/>
    </row>
    <row r="17011">
      <c r="C17011" s="1"/>
    </row>
    <row r="17012">
      <c r="C17012" s="1"/>
    </row>
    <row r="17013">
      <c r="C17013" s="1"/>
    </row>
    <row r="17014">
      <c r="C17014" s="1"/>
    </row>
    <row r="17015">
      <c r="C17015" s="1"/>
    </row>
    <row r="17016">
      <c r="C17016" s="1"/>
    </row>
    <row r="17017">
      <c r="C17017" s="1"/>
    </row>
    <row r="17018">
      <c r="C17018" s="1"/>
    </row>
    <row r="17019">
      <c r="C17019" s="1"/>
    </row>
    <row r="17020">
      <c r="C17020" s="1"/>
    </row>
    <row r="17021">
      <c r="C17021" s="1"/>
    </row>
    <row r="17022">
      <c r="C17022" s="1"/>
    </row>
    <row r="17023">
      <c r="C17023" s="1"/>
    </row>
    <row r="17024">
      <c r="C17024" s="1"/>
    </row>
    <row r="17025">
      <c r="C17025" s="1"/>
    </row>
    <row r="17026">
      <c r="C17026" s="1"/>
    </row>
    <row r="17027">
      <c r="C17027" s="1"/>
    </row>
    <row r="17028">
      <c r="C17028" s="1"/>
    </row>
    <row r="17029">
      <c r="C17029" s="1"/>
    </row>
    <row r="17030">
      <c r="C17030" s="1"/>
    </row>
    <row r="17031">
      <c r="C17031" s="1"/>
    </row>
    <row r="17032">
      <c r="C17032" s="1"/>
    </row>
    <row r="17033">
      <c r="C17033" s="1"/>
    </row>
    <row r="17034">
      <c r="C17034" s="1"/>
    </row>
    <row r="17035">
      <c r="C17035" s="1"/>
    </row>
    <row r="17036">
      <c r="C17036" s="1"/>
    </row>
    <row r="17037">
      <c r="C17037" s="1"/>
    </row>
    <row r="17038">
      <c r="C17038" s="1"/>
    </row>
    <row r="17039">
      <c r="C17039" s="1"/>
    </row>
    <row r="17040">
      <c r="C17040" s="1"/>
    </row>
    <row r="17041">
      <c r="C17041" s="1"/>
    </row>
    <row r="17042">
      <c r="C17042" s="1"/>
    </row>
    <row r="17043">
      <c r="C17043" s="1"/>
    </row>
    <row r="17044">
      <c r="C17044" s="1"/>
    </row>
    <row r="17045">
      <c r="C17045" s="1"/>
    </row>
    <row r="17046">
      <c r="C17046" s="1"/>
    </row>
    <row r="17047">
      <c r="C17047" s="1"/>
    </row>
    <row r="17048">
      <c r="C17048" s="1"/>
    </row>
    <row r="17049">
      <c r="C17049" s="1"/>
    </row>
    <row r="17050">
      <c r="C17050" s="1"/>
    </row>
    <row r="17051">
      <c r="C17051" s="1"/>
    </row>
    <row r="17052">
      <c r="C17052" s="1"/>
    </row>
    <row r="17053">
      <c r="C17053" s="1"/>
    </row>
    <row r="17054">
      <c r="C17054" s="1"/>
    </row>
    <row r="17055">
      <c r="C17055" s="1"/>
    </row>
    <row r="17056">
      <c r="C17056" s="1"/>
    </row>
    <row r="17057">
      <c r="C17057" s="1"/>
    </row>
    <row r="17058">
      <c r="C17058" s="1"/>
    </row>
    <row r="17059">
      <c r="C17059" s="1"/>
    </row>
    <row r="17060">
      <c r="C17060" s="1"/>
    </row>
    <row r="17061">
      <c r="C17061" s="1"/>
    </row>
    <row r="17062">
      <c r="C17062" s="1"/>
    </row>
    <row r="17063">
      <c r="C17063" s="1"/>
    </row>
    <row r="17064">
      <c r="C17064" s="1"/>
    </row>
    <row r="17065">
      <c r="C17065" s="1"/>
    </row>
    <row r="17066">
      <c r="C17066" s="1"/>
    </row>
    <row r="17067">
      <c r="C17067" s="1"/>
    </row>
    <row r="17068">
      <c r="C17068" s="1"/>
    </row>
    <row r="17069">
      <c r="C17069" s="1"/>
    </row>
    <row r="17070">
      <c r="C17070" s="1"/>
    </row>
    <row r="17071">
      <c r="C17071" s="1"/>
    </row>
    <row r="17072">
      <c r="C17072" s="1"/>
    </row>
    <row r="17073">
      <c r="C17073" s="1"/>
    </row>
    <row r="17074">
      <c r="C17074" s="1"/>
    </row>
    <row r="17075">
      <c r="C17075" s="1"/>
    </row>
    <row r="17076">
      <c r="C17076" s="1"/>
    </row>
    <row r="17077">
      <c r="C17077" s="1"/>
    </row>
    <row r="17078">
      <c r="C17078" s="1"/>
    </row>
    <row r="17079">
      <c r="C17079" s="1"/>
    </row>
    <row r="17080">
      <c r="C17080" s="1"/>
    </row>
    <row r="17081">
      <c r="C17081" s="1"/>
    </row>
    <row r="17082">
      <c r="C17082" s="1"/>
    </row>
    <row r="17083">
      <c r="C17083" s="1"/>
    </row>
    <row r="17084">
      <c r="C17084" s="1"/>
    </row>
    <row r="17085">
      <c r="C17085" s="1"/>
    </row>
    <row r="17086">
      <c r="C17086" s="1"/>
    </row>
    <row r="17087">
      <c r="C17087" s="1"/>
    </row>
    <row r="17088">
      <c r="C17088" s="1"/>
    </row>
    <row r="17089">
      <c r="C17089" s="1"/>
    </row>
    <row r="17090">
      <c r="C17090" s="1"/>
    </row>
    <row r="17091">
      <c r="C17091" s="1"/>
    </row>
    <row r="17092">
      <c r="C17092" s="1"/>
    </row>
    <row r="17093">
      <c r="C17093" s="1"/>
    </row>
    <row r="17094">
      <c r="C17094" s="1"/>
    </row>
    <row r="17095">
      <c r="C17095" s="1"/>
    </row>
    <row r="17096">
      <c r="C17096" s="1"/>
    </row>
    <row r="17097">
      <c r="C17097" s="1"/>
    </row>
    <row r="17098">
      <c r="C17098" s="1"/>
    </row>
    <row r="17099">
      <c r="C17099" s="1"/>
    </row>
    <row r="17100">
      <c r="C17100" s="1"/>
    </row>
    <row r="17101">
      <c r="C17101" s="1"/>
    </row>
    <row r="17102">
      <c r="C17102" s="1"/>
    </row>
    <row r="17103">
      <c r="C17103" s="1"/>
    </row>
    <row r="17104">
      <c r="C17104" s="1"/>
    </row>
    <row r="17105">
      <c r="C17105" s="1"/>
    </row>
    <row r="17106">
      <c r="C17106" s="1"/>
    </row>
    <row r="17107">
      <c r="C17107" s="1"/>
    </row>
    <row r="17108">
      <c r="C17108" s="1"/>
    </row>
    <row r="17109">
      <c r="C17109" s="1"/>
    </row>
    <row r="17110">
      <c r="C17110" s="1"/>
    </row>
    <row r="17111">
      <c r="C17111" s="1"/>
    </row>
    <row r="17112">
      <c r="C17112" s="1"/>
    </row>
    <row r="17113">
      <c r="C17113" s="1"/>
    </row>
    <row r="17114">
      <c r="C17114" s="1"/>
    </row>
    <row r="17115">
      <c r="C17115" s="1"/>
    </row>
    <row r="17116">
      <c r="C17116" s="1"/>
    </row>
    <row r="17117">
      <c r="C17117" s="1"/>
    </row>
    <row r="17118">
      <c r="C17118" s="1"/>
    </row>
    <row r="17119">
      <c r="C17119" s="1"/>
    </row>
    <row r="17120">
      <c r="C17120" s="1"/>
    </row>
    <row r="17121">
      <c r="C17121" s="1"/>
    </row>
    <row r="17122">
      <c r="C17122" s="1"/>
    </row>
    <row r="17123">
      <c r="C17123" s="1"/>
    </row>
    <row r="17124">
      <c r="C17124" s="1"/>
    </row>
    <row r="17125">
      <c r="C17125" s="1"/>
    </row>
    <row r="17126">
      <c r="C17126" s="1"/>
    </row>
    <row r="17127">
      <c r="C17127" s="1"/>
    </row>
    <row r="17128">
      <c r="C17128" s="1"/>
    </row>
    <row r="17129">
      <c r="C17129" s="1"/>
    </row>
    <row r="17130">
      <c r="C17130" s="1"/>
    </row>
    <row r="17131">
      <c r="C17131" s="1"/>
    </row>
    <row r="17132">
      <c r="C17132" s="1"/>
    </row>
    <row r="17133">
      <c r="C17133" s="1"/>
    </row>
    <row r="17134">
      <c r="C17134" s="1"/>
    </row>
    <row r="17135">
      <c r="C17135" s="1"/>
    </row>
    <row r="17136">
      <c r="C17136" s="1"/>
    </row>
    <row r="17137">
      <c r="C17137" s="1"/>
    </row>
    <row r="17138">
      <c r="C17138" s="1"/>
    </row>
    <row r="17139">
      <c r="C17139" s="1"/>
    </row>
    <row r="17140">
      <c r="C17140" s="1"/>
    </row>
    <row r="17141">
      <c r="C17141" s="1"/>
    </row>
    <row r="17142">
      <c r="C17142" s="1"/>
    </row>
    <row r="17143">
      <c r="C17143" s="1"/>
    </row>
    <row r="17144">
      <c r="C17144" s="1"/>
    </row>
    <row r="17145">
      <c r="C17145" s="1"/>
    </row>
    <row r="17146">
      <c r="C17146" s="1"/>
    </row>
    <row r="17147">
      <c r="C17147" s="1"/>
    </row>
    <row r="17148">
      <c r="C17148" s="1"/>
    </row>
    <row r="17149">
      <c r="C17149" s="1"/>
    </row>
    <row r="17150">
      <c r="C17150" s="1"/>
    </row>
    <row r="17151">
      <c r="C17151" s="1"/>
    </row>
    <row r="17152">
      <c r="C17152" s="1"/>
    </row>
    <row r="17153">
      <c r="C17153" s="1"/>
    </row>
    <row r="17154">
      <c r="C17154" s="1"/>
    </row>
    <row r="17155">
      <c r="C17155" s="1"/>
    </row>
    <row r="17156">
      <c r="C17156" s="1"/>
    </row>
    <row r="17157">
      <c r="C17157" s="1"/>
    </row>
    <row r="17158">
      <c r="C17158" s="1"/>
    </row>
    <row r="17159">
      <c r="C17159" s="1"/>
    </row>
    <row r="17160">
      <c r="C17160" s="1"/>
    </row>
    <row r="17161">
      <c r="C17161" s="1"/>
    </row>
    <row r="17162">
      <c r="C17162" s="1"/>
    </row>
    <row r="17163">
      <c r="C17163" s="1"/>
    </row>
    <row r="17164">
      <c r="C17164" s="1"/>
    </row>
    <row r="17165">
      <c r="C17165" s="1"/>
    </row>
    <row r="17166">
      <c r="C17166" s="1"/>
    </row>
    <row r="17167">
      <c r="C17167" s="1"/>
    </row>
    <row r="17168">
      <c r="C17168" s="1"/>
    </row>
    <row r="17169">
      <c r="C17169" s="1"/>
    </row>
    <row r="17170">
      <c r="C17170" s="1"/>
    </row>
    <row r="17171">
      <c r="C17171" s="1"/>
    </row>
    <row r="17172">
      <c r="C17172" s="1"/>
    </row>
    <row r="17173">
      <c r="C17173" s="1"/>
    </row>
    <row r="17174">
      <c r="C17174" s="1"/>
    </row>
    <row r="17175">
      <c r="C17175" s="1"/>
    </row>
    <row r="17176">
      <c r="C17176" s="1"/>
    </row>
    <row r="17177">
      <c r="C17177" s="1"/>
    </row>
    <row r="17178">
      <c r="C17178" s="1"/>
    </row>
    <row r="17179">
      <c r="C17179" s="1"/>
    </row>
    <row r="17180">
      <c r="C17180" s="1"/>
    </row>
    <row r="17181">
      <c r="C17181" s="1"/>
    </row>
    <row r="17182">
      <c r="C17182" s="1"/>
    </row>
    <row r="17183">
      <c r="C17183" s="1"/>
    </row>
    <row r="17184">
      <c r="C17184" s="1"/>
    </row>
    <row r="17185">
      <c r="C17185" s="1"/>
    </row>
    <row r="17186">
      <c r="C17186" s="1"/>
    </row>
    <row r="17187">
      <c r="C17187" s="1"/>
    </row>
    <row r="17188">
      <c r="C17188" s="1"/>
    </row>
    <row r="17189">
      <c r="C17189" s="1"/>
    </row>
    <row r="17190">
      <c r="C17190" s="1"/>
    </row>
    <row r="17191">
      <c r="C17191" s="1"/>
    </row>
    <row r="17192">
      <c r="C17192" s="1"/>
    </row>
    <row r="17193">
      <c r="C17193" s="1"/>
    </row>
    <row r="17194">
      <c r="C17194" s="1"/>
    </row>
    <row r="17195">
      <c r="C17195" s="1"/>
    </row>
    <row r="17196">
      <c r="C17196" s="1"/>
    </row>
    <row r="17197">
      <c r="C17197" s="1"/>
    </row>
    <row r="17198">
      <c r="C17198" s="1"/>
    </row>
    <row r="17199">
      <c r="C17199" s="1"/>
    </row>
    <row r="17200">
      <c r="C17200" s="1"/>
    </row>
    <row r="17201">
      <c r="C17201" s="5"/>
    </row>
    <row r="17202">
      <c r="C17202" s="1"/>
    </row>
    <row r="17203">
      <c r="C17203" s="1"/>
    </row>
    <row r="17204">
      <c r="C17204" s="1"/>
    </row>
    <row r="17205">
      <c r="C17205" s="1"/>
    </row>
    <row r="17206">
      <c r="C17206" s="1"/>
    </row>
    <row r="17207">
      <c r="C17207" s="1"/>
    </row>
    <row r="17208">
      <c r="C17208" s="1"/>
    </row>
    <row r="17209">
      <c r="C17209" s="1"/>
    </row>
    <row r="17210">
      <c r="C17210" s="1"/>
    </row>
    <row r="17211">
      <c r="C17211" s="1"/>
    </row>
    <row r="17212">
      <c r="C17212" s="1"/>
    </row>
    <row r="17213">
      <c r="C17213" s="1"/>
    </row>
    <row r="17214">
      <c r="C17214" s="1"/>
    </row>
    <row r="17215">
      <c r="C17215" s="1"/>
    </row>
    <row r="17216">
      <c r="C17216" s="1"/>
    </row>
    <row r="17217">
      <c r="C17217" s="1"/>
    </row>
    <row r="17218">
      <c r="C17218" s="1"/>
    </row>
    <row r="17219">
      <c r="C17219" s="1"/>
    </row>
    <row r="17220">
      <c r="C17220" s="1"/>
    </row>
    <row r="17221">
      <c r="C17221" s="1"/>
    </row>
    <row r="17222">
      <c r="C17222" s="1"/>
    </row>
    <row r="17223">
      <c r="C17223" s="1"/>
    </row>
    <row r="17224">
      <c r="C17224" s="1"/>
    </row>
    <row r="17225">
      <c r="C17225" s="1"/>
    </row>
    <row r="17226">
      <c r="C17226" s="1"/>
    </row>
    <row r="17227">
      <c r="C17227" s="1"/>
    </row>
    <row r="17228">
      <c r="C17228" s="1"/>
    </row>
    <row r="17229">
      <c r="C17229" s="1"/>
    </row>
    <row r="17230">
      <c r="C17230" s="1"/>
    </row>
    <row r="17231">
      <c r="C17231" s="1"/>
    </row>
    <row r="17232">
      <c r="C17232" s="1"/>
    </row>
    <row r="17233">
      <c r="C17233" s="1"/>
    </row>
    <row r="17234">
      <c r="C17234" s="1"/>
    </row>
    <row r="17235">
      <c r="C17235" s="1"/>
    </row>
    <row r="17236">
      <c r="C17236" s="1"/>
    </row>
    <row r="17237">
      <c r="C17237" s="1"/>
    </row>
    <row r="17238">
      <c r="C17238" s="1"/>
    </row>
    <row r="17239">
      <c r="C17239" s="1"/>
    </row>
    <row r="17240">
      <c r="C17240" s="1"/>
    </row>
    <row r="17241">
      <c r="C17241" s="1"/>
    </row>
    <row r="17242">
      <c r="C17242" s="1"/>
    </row>
    <row r="17243">
      <c r="C17243" s="1"/>
    </row>
    <row r="17244">
      <c r="C17244" s="1"/>
    </row>
    <row r="17245">
      <c r="C17245" s="1"/>
    </row>
    <row r="17246">
      <c r="C17246" s="1"/>
    </row>
    <row r="17247">
      <c r="C17247" s="1"/>
    </row>
    <row r="17248">
      <c r="C17248" s="1"/>
    </row>
    <row r="17249">
      <c r="C17249" s="1"/>
    </row>
    <row r="17250">
      <c r="C17250" s="1"/>
    </row>
    <row r="17251">
      <c r="C17251" s="1"/>
    </row>
    <row r="17252">
      <c r="C17252" s="1"/>
    </row>
    <row r="17253">
      <c r="C17253" s="1"/>
    </row>
    <row r="17254">
      <c r="C17254" s="1"/>
    </row>
    <row r="17255">
      <c r="C17255" s="1"/>
    </row>
    <row r="17256">
      <c r="C17256" s="1"/>
    </row>
    <row r="17257">
      <c r="C17257" s="1"/>
    </row>
    <row r="17258">
      <c r="C17258" s="1"/>
    </row>
    <row r="17259">
      <c r="C17259" s="1"/>
    </row>
    <row r="17260">
      <c r="C17260" s="1"/>
    </row>
    <row r="17261">
      <c r="C17261" s="1"/>
    </row>
    <row r="17262">
      <c r="C17262" s="1"/>
    </row>
    <row r="17263">
      <c r="C17263" s="1"/>
    </row>
    <row r="17264">
      <c r="C17264" s="1"/>
    </row>
    <row r="17265">
      <c r="C17265" s="1"/>
    </row>
    <row r="17266">
      <c r="C17266" s="1"/>
    </row>
    <row r="17267">
      <c r="C17267" s="1"/>
    </row>
    <row r="17268">
      <c r="C17268" s="1"/>
    </row>
    <row r="17269">
      <c r="C17269" s="1"/>
    </row>
    <row r="17270">
      <c r="C17270" s="1"/>
    </row>
    <row r="17271">
      <c r="C17271" s="1"/>
    </row>
    <row r="17272">
      <c r="C17272" s="1"/>
    </row>
    <row r="17273">
      <c r="C17273" s="1"/>
    </row>
    <row r="17274">
      <c r="C17274" s="1"/>
    </row>
    <row r="17275">
      <c r="C17275" s="1"/>
    </row>
    <row r="17276">
      <c r="C17276" s="1"/>
    </row>
    <row r="17277">
      <c r="C17277" s="1"/>
    </row>
    <row r="17278">
      <c r="C17278" s="1"/>
    </row>
    <row r="17279">
      <c r="C17279" s="1"/>
    </row>
    <row r="17280">
      <c r="C17280" s="1"/>
    </row>
    <row r="17281">
      <c r="C17281" s="1"/>
    </row>
    <row r="17282">
      <c r="C17282" s="1"/>
    </row>
    <row r="17283">
      <c r="C17283" s="1"/>
    </row>
    <row r="17284">
      <c r="C17284" s="1"/>
    </row>
    <row r="17285">
      <c r="C17285" s="1"/>
    </row>
    <row r="17286">
      <c r="C17286" s="1"/>
    </row>
    <row r="17287">
      <c r="C17287" s="1"/>
    </row>
    <row r="17288">
      <c r="C17288" s="1"/>
    </row>
    <row r="17289">
      <c r="C17289" s="1"/>
    </row>
    <row r="17290">
      <c r="C17290" s="1"/>
    </row>
    <row r="17291">
      <c r="C17291" s="1"/>
    </row>
    <row r="17292">
      <c r="C17292" s="1"/>
    </row>
    <row r="17293">
      <c r="C17293" s="1"/>
    </row>
    <row r="17294">
      <c r="C17294" s="1"/>
    </row>
    <row r="17295">
      <c r="C17295" s="1"/>
    </row>
    <row r="17296">
      <c r="C17296" s="1"/>
    </row>
    <row r="17297">
      <c r="C17297" s="1"/>
    </row>
    <row r="17298">
      <c r="C17298" s="1"/>
    </row>
    <row r="17299">
      <c r="C17299" s="1"/>
    </row>
    <row r="17300">
      <c r="C17300" s="1"/>
    </row>
    <row r="17301">
      <c r="C17301" s="1"/>
    </row>
    <row r="17302">
      <c r="C17302" s="1"/>
    </row>
    <row r="17303">
      <c r="C17303" s="1"/>
    </row>
    <row r="17304">
      <c r="C17304" s="1"/>
    </row>
    <row r="17305">
      <c r="C17305" s="1"/>
    </row>
    <row r="17306">
      <c r="C17306" s="1"/>
    </row>
    <row r="17307">
      <c r="C17307" s="1"/>
    </row>
    <row r="17308">
      <c r="C17308" s="1"/>
    </row>
    <row r="17309">
      <c r="C17309" s="1"/>
    </row>
    <row r="17310">
      <c r="C17310" s="1"/>
    </row>
    <row r="17311">
      <c r="C17311" s="1"/>
    </row>
    <row r="17312">
      <c r="C17312" s="1"/>
    </row>
    <row r="17313">
      <c r="C17313" s="1"/>
    </row>
    <row r="17314">
      <c r="C17314" s="1"/>
    </row>
    <row r="17315">
      <c r="C17315" s="1"/>
    </row>
    <row r="17316">
      <c r="C17316" s="1"/>
    </row>
    <row r="17317">
      <c r="C17317" s="1"/>
    </row>
    <row r="17318">
      <c r="C17318" s="1"/>
    </row>
    <row r="17319">
      <c r="C17319" s="1"/>
    </row>
    <row r="17320">
      <c r="C17320" s="1"/>
    </row>
    <row r="17321">
      <c r="C17321" s="1"/>
    </row>
    <row r="17322">
      <c r="C17322" s="1"/>
    </row>
    <row r="17323">
      <c r="C17323" s="1"/>
    </row>
    <row r="17324">
      <c r="C17324" s="1"/>
    </row>
    <row r="17325">
      <c r="C17325" s="1"/>
    </row>
    <row r="17326">
      <c r="C17326" s="1"/>
    </row>
    <row r="17327">
      <c r="C17327" s="1"/>
    </row>
    <row r="17328">
      <c r="C17328" s="1"/>
    </row>
    <row r="17329">
      <c r="C17329" s="1"/>
    </row>
    <row r="17330">
      <c r="C17330" s="1"/>
    </row>
    <row r="17331">
      <c r="C17331" s="1"/>
    </row>
    <row r="17332">
      <c r="C17332" s="1"/>
    </row>
    <row r="17333">
      <c r="C17333" s="1"/>
    </row>
    <row r="17334">
      <c r="C17334" s="1"/>
    </row>
    <row r="17335">
      <c r="C17335" s="1"/>
    </row>
    <row r="17336">
      <c r="C17336" s="1"/>
    </row>
    <row r="17337">
      <c r="C17337" s="1"/>
    </row>
    <row r="17338">
      <c r="C17338" s="1"/>
    </row>
    <row r="17339">
      <c r="C17339" s="1"/>
    </row>
    <row r="17340">
      <c r="C17340" s="1"/>
    </row>
    <row r="17341">
      <c r="C17341" s="1"/>
    </row>
    <row r="17342">
      <c r="C17342" s="1"/>
    </row>
    <row r="17343">
      <c r="C17343" s="1"/>
    </row>
    <row r="17344">
      <c r="C17344" s="1"/>
    </row>
    <row r="17345">
      <c r="C17345" s="1"/>
    </row>
    <row r="17346">
      <c r="C17346" s="1"/>
    </row>
    <row r="17347">
      <c r="C17347" s="1"/>
    </row>
    <row r="17348">
      <c r="C17348" s="1"/>
    </row>
    <row r="17349">
      <c r="C17349" s="1"/>
    </row>
    <row r="17350">
      <c r="C17350" s="1"/>
    </row>
    <row r="17351">
      <c r="C17351" s="1"/>
    </row>
    <row r="17352">
      <c r="C17352" s="1"/>
    </row>
    <row r="17353">
      <c r="C17353" s="1"/>
    </row>
    <row r="17354">
      <c r="C17354" s="1"/>
    </row>
    <row r="17355">
      <c r="C17355" s="1"/>
    </row>
    <row r="17356">
      <c r="C17356" s="1"/>
    </row>
    <row r="17357">
      <c r="C17357" s="1"/>
    </row>
    <row r="17358">
      <c r="C17358" s="1"/>
    </row>
    <row r="17359">
      <c r="C17359" s="1"/>
    </row>
    <row r="17360">
      <c r="C17360" s="1"/>
    </row>
    <row r="17361">
      <c r="C17361" s="1"/>
    </row>
    <row r="17362">
      <c r="C17362" s="1"/>
    </row>
    <row r="17363">
      <c r="C17363" s="1"/>
    </row>
    <row r="17364">
      <c r="C17364" s="1"/>
    </row>
    <row r="17365">
      <c r="C17365" s="1"/>
    </row>
    <row r="17366">
      <c r="C17366" s="1"/>
    </row>
    <row r="17367">
      <c r="C17367" s="1"/>
    </row>
    <row r="17368">
      <c r="C17368" s="1"/>
    </row>
    <row r="17369">
      <c r="C17369" s="1"/>
    </row>
    <row r="17370">
      <c r="C17370" s="1"/>
    </row>
    <row r="17371">
      <c r="C17371" s="1"/>
    </row>
    <row r="17372">
      <c r="C17372" s="1"/>
    </row>
    <row r="17373">
      <c r="C17373" s="1"/>
    </row>
    <row r="17374">
      <c r="C17374" s="1"/>
    </row>
    <row r="17375">
      <c r="C17375" s="1"/>
    </row>
    <row r="17376">
      <c r="C17376" s="1"/>
    </row>
    <row r="17377">
      <c r="C17377" s="1"/>
    </row>
    <row r="17378">
      <c r="C17378" s="1"/>
    </row>
    <row r="17379">
      <c r="C17379" s="1"/>
    </row>
    <row r="17380">
      <c r="C17380" s="1"/>
    </row>
    <row r="17381">
      <c r="C17381" s="1"/>
    </row>
    <row r="17382">
      <c r="C17382" s="1"/>
    </row>
    <row r="17383">
      <c r="C17383" s="1"/>
    </row>
    <row r="17384">
      <c r="C17384" s="1"/>
    </row>
    <row r="17385">
      <c r="C17385" s="1"/>
    </row>
    <row r="17386">
      <c r="C17386" s="1"/>
    </row>
    <row r="17387">
      <c r="C17387" s="1"/>
    </row>
    <row r="17388">
      <c r="C17388" s="1"/>
    </row>
    <row r="17389">
      <c r="C17389" s="1"/>
    </row>
    <row r="17390">
      <c r="C17390" s="1"/>
    </row>
    <row r="17391">
      <c r="C17391" s="1"/>
    </row>
    <row r="17392">
      <c r="C17392" s="1"/>
    </row>
    <row r="17393">
      <c r="C17393" s="1"/>
    </row>
    <row r="17394">
      <c r="C17394" s="1"/>
    </row>
    <row r="17395">
      <c r="C17395" s="1"/>
    </row>
    <row r="17396">
      <c r="C17396" s="1"/>
    </row>
    <row r="17397">
      <c r="C17397" s="1"/>
    </row>
    <row r="17398">
      <c r="C17398" s="1"/>
    </row>
    <row r="17399">
      <c r="C17399" s="1"/>
    </row>
    <row r="17400">
      <c r="C17400" s="1"/>
    </row>
    <row r="17401">
      <c r="C17401" s="1"/>
    </row>
    <row r="17402">
      <c r="C17402" s="1"/>
    </row>
    <row r="17403">
      <c r="C17403" s="1"/>
    </row>
    <row r="17404">
      <c r="C17404" s="1"/>
    </row>
    <row r="17405">
      <c r="C17405" s="1"/>
    </row>
    <row r="17406">
      <c r="C17406" s="1"/>
    </row>
    <row r="17407">
      <c r="C17407" s="1"/>
    </row>
    <row r="17408">
      <c r="C17408" s="1"/>
    </row>
    <row r="17409">
      <c r="C17409" s="1"/>
    </row>
    <row r="17410">
      <c r="C17410" s="1"/>
    </row>
    <row r="17411">
      <c r="C17411" s="1"/>
    </row>
    <row r="17412">
      <c r="C17412" s="1"/>
    </row>
    <row r="17413">
      <c r="C17413" s="1"/>
    </row>
    <row r="17414">
      <c r="C17414" s="1"/>
    </row>
    <row r="17415">
      <c r="C17415" s="1"/>
    </row>
    <row r="17416">
      <c r="C17416" s="1"/>
    </row>
    <row r="17417">
      <c r="C17417" s="1"/>
    </row>
    <row r="17418">
      <c r="C17418" s="1"/>
    </row>
    <row r="17419">
      <c r="C17419" s="1"/>
    </row>
    <row r="17420">
      <c r="C17420" s="1"/>
    </row>
    <row r="17421">
      <c r="C17421" s="1"/>
    </row>
    <row r="17422">
      <c r="C17422" s="1"/>
    </row>
    <row r="17423">
      <c r="C17423" s="1"/>
    </row>
    <row r="17424">
      <c r="C17424" s="1"/>
    </row>
    <row r="17425">
      <c r="C17425" s="1"/>
    </row>
    <row r="17426">
      <c r="C17426" s="1"/>
    </row>
    <row r="17427">
      <c r="C17427" s="1"/>
    </row>
    <row r="17428">
      <c r="C17428" s="1"/>
    </row>
    <row r="17429">
      <c r="C17429" s="1"/>
    </row>
    <row r="17430">
      <c r="C17430" s="1"/>
    </row>
    <row r="17431">
      <c r="C17431" s="1"/>
    </row>
    <row r="17432">
      <c r="C17432" s="1"/>
    </row>
    <row r="17433">
      <c r="C17433" s="1"/>
    </row>
    <row r="17434">
      <c r="C17434" s="1"/>
    </row>
    <row r="17435">
      <c r="C17435" s="1"/>
    </row>
    <row r="17436">
      <c r="C17436" s="1"/>
    </row>
    <row r="17437">
      <c r="C17437" s="1"/>
    </row>
    <row r="17438">
      <c r="C17438" s="1"/>
    </row>
    <row r="17439">
      <c r="C17439" s="1"/>
    </row>
    <row r="17440">
      <c r="C17440" s="1"/>
    </row>
    <row r="17441">
      <c r="C17441" s="1"/>
    </row>
    <row r="17442">
      <c r="C17442" s="1"/>
    </row>
    <row r="17443">
      <c r="C17443" s="1"/>
    </row>
    <row r="17444">
      <c r="C17444" s="1"/>
    </row>
    <row r="17445">
      <c r="C17445" s="1"/>
    </row>
    <row r="17446">
      <c r="C17446" s="1"/>
    </row>
    <row r="17447">
      <c r="C17447" s="1"/>
    </row>
    <row r="17448">
      <c r="C17448" s="1"/>
    </row>
    <row r="17449">
      <c r="C17449" s="1"/>
    </row>
    <row r="17450">
      <c r="C17450" s="1"/>
    </row>
    <row r="17451">
      <c r="C17451" s="1"/>
    </row>
    <row r="17452">
      <c r="C17452" s="1"/>
    </row>
    <row r="17453">
      <c r="C17453" s="1"/>
    </row>
    <row r="17454">
      <c r="C17454" s="1"/>
    </row>
    <row r="17455">
      <c r="C17455" s="1"/>
    </row>
    <row r="17456">
      <c r="C17456" s="1"/>
    </row>
    <row r="17457">
      <c r="C17457" s="1"/>
    </row>
    <row r="17458">
      <c r="C17458" s="1"/>
    </row>
    <row r="17459">
      <c r="C17459" s="1"/>
    </row>
    <row r="17460">
      <c r="C17460" s="1"/>
    </row>
    <row r="17461">
      <c r="C17461" s="1"/>
    </row>
    <row r="17462">
      <c r="C17462" s="1"/>
    </row>
    <row r="17463">
      <c r="C17463" s="1"/>
    </row>
    <row r="17464">
      <c r="C17464" s="1"/>
    </row>
    <row r="17465">
      <c r="C17465" s="1"/>
    </row>
    <row r="17466">
      <c r="C17466" s="1"/>
    </row>
    <row r="17467">
      <c r="C17467" s="1"/>
    </row>
    <row r="17468">
      <c r="C17468" s="1"/>
    </row>
    <row r="17469">
      <c r="C17469" s="1"/>
    </row>
    <row r="17470">
      <c r="C17470" s="1"/>
    </row>
    <row r="17471">
      <c r="C17471" s="1"/>
    </row>
    <row r="17472">
      <c r="C17472" s="1"/>
    </row>
    <row r="17473">
      <c r="C17473" s="1"/>
    </row>
    <row r="17474">
      <c r="C17474" s="1"/>
    </row>
    <row r="17475">
      <c r="C17475" s="1"/>
    </row>
    <row r="17476">
      <c r="C17476" s="1"/>
    </row>
    <row r="17477">
      <c r="C17477" s="1"/>
    </row>
    <row r="17478">
      <c r="C17478" s="1"/>
    </row>
    <row r="17479">
      <c r="C17479" s="1"/>
    </row>
    <row r="17480">
      <c r="C17480" s="1"/>
    </row>
    <row r="17481">
      <c r="C17481" s="1"/>
    </row>
    <row r="17482">
      <c r="C17482" s="1"/>
    </row>
    <row r="17483">
      <c r="C17483" s="1"/>
    </row>
    <row r="17484">
      <c r="C17484" s="1"/>
    </row>
    <row r="17485">
      <c r="C17485" s="1"/>
    </row>
    <row r="17486">
      <c r="C17486" s="1"/>
    </row>
    <row r="17487">
      <c r="C17487" s="1"/>
    </row>
    <row r="17488">
      <c r="C17488" s="1"/>
    </row>
    <row r="17489">
      <c r="C17489" s="1"/>
    </row>
    <row r="17490">
      <c r="C17490" s="1"/>
    </row>
    <row r="17491">
      <c r="C17491" s="1"/>
    </row>
    <row r="17492">
      <c r="C17492" s="1"/>
    </row>
    <row r="17493">
      <c r="C17493" s="1"/>
    </row>
    <row r="17494">
      <c r="C17494" s="1"/>
    </row>
    <row r="17495">
      <c r="C17495" s="1"/>
    </row>
    <row r="17496">
      <c r="C17496" s="1"/>
    </row>
    <row r="17497">
      <c r="C17497" s="1"/>
    </row>
    <row r="17498">
      <c r="C17498" s="1"/>
    </row>
    <row r="17499">
      <c r="C17499" s="1"/>
    </row>
    <row r="17500">
      <c r="C17500" s="1"/>
    </row>
    <row r="17501">
      <c r="C17501" s="1"/>
    </row>
    <row r="17502">
      <c r="C17502" s="1"/>
    </row>
    <row r="17503">
      <c r="C17503" s="1"/>
    </row>
    <row r="17504">
      <c r="C17504" s="1"/>
    </row>
    <row r="17505">
      <c r="C17505" s="1"/>
    </row>
    <row r="17506">
      <c r="C17506" s="1"/>
    </row>
    <row r="17507">
      <c r="C17507" s="1"/>
    </row>
    <row r="17508">
      <c r="C17508" s="1"/>
    </row>
    <row r="17509">
      <c r="C17509" s="1"/>
    </row>
    <row r="17510">
      <c r="C17510" s="1"/>
    </row>
    <row r="17511">
      <c r="C17511" s="1"/>
    </row>
    <row r="17512">
      <c r="C17512" s="1"/>
    </row>
    <row r="17513">
      <c r="C17513" s="1"/>
    </row>
    <row r="17514">
      <c r="C17514" s="1"/>
    </row>
    <row r="17515">
      <c r="C17515" s="1"/>
    </row>
    <row r="17516">
      <c r="C17516" s="1"/>
    </row>
    <row r="17517">
      <c r="C17517" s="1"/>
    </row>
    <row r="17518">
      <c r="C17518" s="1"/>
    </row>
    <row r="17519">
      <c r="C17519" s="1"/>
    </row>
    <row r="17520">
      <c r="C17520" s="1"/>
    </row>
    <row r="17521">
      <c r="C17521" s="1"/>
    </row>
    <row r="17522">
      <c r="C17522" s="1"/>
    </row>
    <row r="17523">
      <c r="C17523" s="1"/>
    </row>
    <row r="17524">
      <c r="C17524" s="1"/>
    </row>
    <row r="17525">
      <c r="C17525" s="1"/>
    </row>
    <row r="17526">
      <c r="C17526" s="1"/>
    </row>
    <row r="17527">
      <c r="C17527" s="1"/>
    </row>
    <row r="17528">
      <c r="C17528" s="1"/>
    </row>
    <row r="17529">
      <c r="C17529" s="1"/>
    </row>
    <row r="17530">
      <c r="C17530" s="1"/>
    </row>
    <row r="17531">
      <c r="C17531" s="1"/>
    </row>
    <row r="17532">
      <c r="C17532" s="1"/>
    </row>
    <row r="17533">
      <c r="C17533" s="1"/>
    </row>
    <row r="17534">
      <c r="C17534" s="1"/>
    </row>
    <row r="17535">
      <c r="C17535" s="1"/>
    </row>
    <row r="17536">
      <c r="C17536" s="1"/>
    </row>
    <row r="17537">
      <c r="C17537" s="1"/>
    </row>
    <row r="17538">
      <c r="C17538" s="1"/>
    </row>
    <row r="17539">
      <c r="C17539" s="1"/>
    </row>
    <row r="17540">
      <c r="C17540" s="1"/>
    </row>
    <row r="17541">
      <c r="C17541" s="1"/>
    </row>
    <row r="17542">
      <c r="C17542" s="1"/>
    </row>
    <row r="17543">
      <c r="C17543" s="1"/>
    </row>
    <row r="17544">
      <c r="C17544" s="1"/>
    </row>
    <row r="17545">
      <c r="C17545" s="1"/>
    </row>
    <row r="17546">
      <c r="C17546" s="1"/>
    </row>
    <row r="17547">
      <c r="C17547" s="1"/>
    </row>
    <row r="17548">
      <c r="C17548" s="1"/>
    </row>
    <row r="17549">
      <c r="C17549" s="1"/>
    </row>
    <row r="17550">
      <c r="C17550" s="1"/>
    </row>
    <row r="17551">
      <c r="C17551" s="1"/>
    </row>
    <row r="17552">
      <c r="C17552" s="1"/>
    </row>
    <row r="17553">
      <c r="C17553" s="1"/>
    </row>
    <row r="17554">
      <c r="C17554" s="1"/>
    </row>
    <row r="17555">
      <c r="C17555" s="1"/>
    </row>
    <row r="17556">
      <c r="C17556" s="1"/>
    </row>
    <row r="17557">
      <c r="C17557" s="1"/>
    </row>
    <row r="17558">
      <c r="C17558" s="1"/>
    </row>
    <row r="17559">
      <c r="C17559" s="1"/>
    </row>
    <row r="17560">
      <c r="C17560" s="1"/>
    </row>
    <row r="17561">
      <c r="C17561" s="1"/>
    </row>
    <row r="17562">
      <c r="C17562" s="1"/>
    </row>
    <row r="17563">
      <c r="C17563" s="1"/>
    </row>
    <row r="17564">
      <c r="C17564" s="1"/>
    </row>
    <row r="17565">
      <c r="C17565" s="1"/>
    </row>
    <row r="17566">
      <c r="C17566" s="1"/>
    </row>
    <row r="17567">
      <c r="C17567" s="1"/>
    </row>
    <row r="17568">
      <c r="C17568" s="1"/>
    </row>
    <row r="17569">
      <c r="C17569" s="1"/>
    </row>
    <row r="17570">
      <c r="C17570" s="1"/>
    </row>
    <row r="17571">
      <c r="C17571" s="1"/>
    </row>
    <row r="17572">
      <c r="C17572" s="1"/>
    </row>
    <row r="17573">
      <c r="C17573" s="1"/>
    </row>
    <row r="17574">
      <c r="C17574" s="1"/>
    </row>
    <row r="17575">
      <c r="C17575" s="1"/>
    </row>
    <row r="17576">
      <c r="C17576" s="1"/>
    </row>
    <row r="17577">
      <c r="C17577" s="1"/>
    </row>
    <row r="17578">
      <c r="C17578" s="1"/>
    </row>
    <row r="17579">
      <c r="C17579" s="1"/>
    </row>
    <row r="17580">
      <c r="C17580" s="1"/>
    </row>
    <row r="17581">
      <c r="C17581" s="1"/>
    </row>
    <row r="17582">
      <c r="C17582" s="1"/>
    </row>
    <row r="17583">
      <c r="C17583" s="1"/>
    </row>
    <row r="17584">
      <c r="C17584" s="1"/>
    </row>
    <row r="17585">
      <c r="C17585" s="1"/>
    </row>
    <row r="17586">
      <c r="C17586" s="1"/>
    </row>
    <row r="17587">
      <c r="C17587" s="1"/>
    </row>
    <row r="17588">
      <c r="C17588" s="1"/>
    </row>
    <row r="17589">
      <c r="C17589" s="1"/>
    </row>
    <row r="17590">
      <c r="C17590" s="1"/>
    </row>
    <row r="17591">
      <c r="C17591" s="1"/>
    </row>
    <row r="17592">
      <c r="C17592" s="1"/>
    </row>
    <row r="17593">
      <c r="C17593" s="1"/>
    </row>
    <row r="17594">
      <c r="C17594" s="1"/>
    </row>
    <row r="17595">
      <c r="C17595" s="1"/>
    </row>
    <row r="17596">
      <c r="C17596" s="1"/>
    </row>
    <row r="17597">
      <c r="C17597" s="1"/>
    </row>
    <row r="17598">
      <c r="C17598" s="1"/>
    </row>
    <row r="17599">
      <c r="C17599" s="1"/>
    </row>
    <row r="17600">
      <c r="C17600" s="1"/>
    </row>
    <row r="17601">
      <c r="C17601" s="1"/>
    </row>
    <row r="17602">
      <c r="C17602" s="1"/>
    </row>
    <row r="17603">
      <c r="C17603" s="1"/>
    </row>
    <row r="17604">
      <c r="C17604" s="1"/>
    </row>
    <row r="17605">
      <c r="C17605" s="1"/>
    </row>
    <row r="17606">
      <c r="C17606" s="1"/>
    </row>
    <row r="17607">
      <c r="C17607" s="1"/>
    </row>
    <row r="17608">
      <c r="C17608" s="1"/>
    </row>
    <row r="17609">
      <c r="C17609" s="1"/>
    </row>
    <row r="17610">
      <c r="C17610" s="1"/>
    </row>
    <row r="17611">
      <c r="C17611" s="1"/>
    </row>
    <row r="17612">
      <c r="C17612" s="1"/>
    </row>
    <row r="17613">
      <c r="C17613" s="1"/>
    </row>
    <row r="17614">
      <c r="C17614" s="1"/>
    </row>
    <row r="17615">
      <c r="C17615" s="1"/>
    </row>
    <row r="17616">
      <c r="C17616" s="1"/>
    </row>
    <row r="17617">
      <c r="C17617" s="1"/>
    </row>
    <row r="17618">
      <c r="C17618" s="1"/>
    </row>
    <row r="17619">
      <c r="C17619" s="1"/>
    </row>
    <row r="17620">
      <c r="C17620" s="1"/>
    </row>
    <row r="17621">
      <c r="C17621" s="1"/>
    </row>
    <row r="17622">
      <c r="C17622" s="1"/>
    </row>
    <row r="17623">
      <c r="C17623" s="1"/>
    </row>
    <row r="17624">
      <c r="C17624" s="1"/>
    </row>
    <row r="17625">
      <c r="C17625" s="1"/>
    </row>
    <row r="17626">
      <c r="C17626" s="1"/>
    </row>
    <row r="17627">
      <c r="C17627" s="1"/>
    </row>
    <row r="17628">
      <c r="C17628" s="1"/>
    </row>
    <row r="17629">
      <c r="C17629" s="1"/>
    </row>
    <row r="17630">
      <c r="C17630" s="1"/>
    </row>
    <row r="17631">
      <c r="C17631" s="1"/>
    </row>
    <row r="17632">
      <c r="C17632" s="1"/>
    </row>
    <row r="17633">
      <c r="C17633" s="1"/>
    </row>
    <row r="17634">
      <c r="C17634" s="1"/>
    </row>
    <row r="17635">
      <c r="C17635" s="1"/>
    </row>
    <row r="17636">
      <c r="C17636" s="1"/>
    </row>
    <row r="17637">
      <c r="C17637" s="1"/>
    </row>
    <row r="17638">
      <c r="C17638" s="1"/>
    </row>
    <row r="17639">
      <c r="C17639" s="1"/>
    </row>
    <row r="17640">
      <c r="C17640" s="1"/>
    </row>
    <row r="17641">
      <c r="C17641" s="1"/>
    </row>
    <row r="17642">
      <c r="C17642" s="1"/>
    </row>
    <row r="17643">
      <c r="C17643" s="1"/>
    </row>
    <row r="17644">
      <c r="C17644" s="1"/>
    </row>
    <row r="17645">
      <c r="C17645" s="1"/>
    </row>
    <row r="17646">
      <c r="C17646" s="1"/>
    </row>
    <row r="17647">
      <c r="C17647" s="1"/>
    </row>
    <row r="17648">
      <c r="C17648" s="1"/>
    </row>
    <row r="17649">
      <c r="C17649" s="1"/>
    </row>
    <row r="17650">
      <c r="C17650" s="1"/>
    </row>
    <row r="17651">
      <c r="C17651" s="1"/>
    </row>
    <row r="17652">
      <c r="C17652" s="1"/>
    </row>
    <row r="17653">
      <c r="C17653" s="1"/>
    </row>
    <row r="17654">
      <c r="C17654" s="1"/>
    </row>
    <row r="17655">
      <c r="C17655" s="1"/>
    </row>
    <row r="17656">
      <c r="C17656" s="1"/>
    </row>
    <row r="17657">
      <c r="C17657" s="1"/>
    </row>
    <row r="17658">
      <c r="C17658" s="1"/>
    </row>
    <row r="17659">
      <c r="C17659" s="1"/>
    </row>
    <row r="17660">
      <c r="C17660" s="1"/>
    </row>
    <row r="17661">
      <c r="C17661" s="1"/>
    </row>
    <row r="17662">
      <c r="C17662" s="1"/>
    </row>
    <row r="17663">
      <c r="C17663" s="1"/>
    </row>
    <row r="17664">
      <c r="C17664" s="1"/>
    </row>
    <row r="17665">
      <c r="C17665" s="1"/>
    </row>
    <row r="17666">
      <c r="C17666" s="1"/>
    </row>
    <row r="17667">
      <c r="C17667" s="1"/>
    </row>
    <row r="17668">
      <c r="C17668" s="1"/>
    </row>
    <row r="17669">
      <c r="C17669" s="1"/>
    </row>
    <row r="17670">
      <c r="C17670" s="1"/>
    </row>
    <row r="17671">
      <c r="C17671" s="1"/>
    </row>
    <row r="17672">
      <c r="C17672" s="1"/>
    </row>
    <row r="17673">
      <c r="C17673" s="1"/>
    </row>
    <row r="17674">
      <c r="C17674" s="1"/>
    </row>
    <row r="17675">
      <c r="C17675" s="1"/>
    </row>
    <row r="17676">
      <c r="C17676" s="1"/>
    </row>
    <row r="17677">
      <c r="C17677" s="1"/>
    </row>
    <row r="17678">
      <c r="C17678" s="1"/>
    </row>
    <row r="17679">
      <c r="C17679" s="1"/>
    </row>
    <row r="17680">
      <c r="C17680" s="1"/>
    </row>
    <row r="17681">
      <c r="C17681" s="1"/>
    </row>
    <row r="17682">
      <c r="C17682" s="1"/>
    </row>
    <row r="17683">
      <c r="C17683" s="1"/>
    </row>
    <row r="17684">
      <c r="C17684" s="1"/>
    </row>
    <row r="17685">
      <c r="C17685" s="1"/>
    </row>
    <row r="17686">
      <c r="C17686" s="1"/>
    </row>
    <row r="17687">
      <c r="C17687" s="1"/>
    </row>
    <row r="17688">
      <c r="C17688" s="1"/>
    </row>
    <row r="17689">
      <c r="C17689" s="1"/>
    </row>
    <row r="17690">
      <c r="C17690" s="1"/>
    </row>
    <row r="17691">
      <c r="C17691" s="1"/>
    </row>
    <row r="17692">
      <c r="C17692" s="1"/>
    </row>
    <row r="17693">
      <c r="C17693" s="1"/>
    </row>
    <row r="17694">
      <c r="C17694" s="1"/>
    </row>
    <row r="17695">
      <c r="C17695" s="1"/>
    </row>
    <row r="17696">
      <c r="C17696" s="1"/>
    </row>
    <row r="17697">
      <c r="C17697" s="1"/>
    </row>
    <row r="17698">
      <c r="C17698" s="1"/>
    </row>
    <row r="17699">
      <c r="C17699" s="1"/>
    </row>
    <row r="17700">
      <c r="C17700" s="1"/>
    </row>
    <row r="17701">
      <c r="C17701" s="1"/>
    </row>
    <row r="17702">
      <c r="C17702" s="1"/>
    </row>
    <row r="17703">
      <c r="C17703" s="1"/>
    </row>
    <row r="17704">
      <c r="C17704" s="1"/>
    </row>
    <row r="17705">
      <c r="C17705" s="1"/>
    </row>
    <row r="17706">
      <c r="C17706" s="1"/>
    </row>
    <row r="17707">
      <c r="C17707" s="1"/>
    </row>
    <row r="17708">
      <c r="C17708" s="1"/>
    </row>
    <row r="17709">
      <c r="C17709" s="1"/>
    </row>
    <row r="17710">
      <c r="C17710" s="1"/>
    </row>
    <row r="17711">
      <c r="C17711" s="1"/>
    </row>
    <row r="17712">
      <c r="C17712" s="1"/>
    </row>
    <row r="17713">
      <c r="C17713" s="1"/>
    </row>
    <row r="17714">
      <c r="C17714" s="1"/>
    </row>
    <row r="17715">
      <c r="C17715" s="1"/>
    </row>
    <row r="17716">
      <c r="C17716" s="1"/>
    </row>
    <row r="17717">
      <c r="C17717" s="1"/>
    </row>
    <row r="17718">
      <c r="C17718" s="1"/>
    </row>
    <row r="17719">
      <c r="C17719" s="1"/>
    </row>
    <row r="17720">
      <c r="C17720" s="1"/>
    </row>
    <row r="17721">
      <c r="C17721" s="1"/>
    </row>
    <row r="17722">
      <c r="C17722" s="1"/>
    </row>
    <row r="17723">
      <c r="C17723" s="1"/>
    </row>
    <row r="17724">
      <c r="C17724" s="1"/>
    </row>
    <row r="17725">
      <c r="C17725" s="1"/>
    </row>
    <row r="17726">
      <c r="C17726" s="1"/>
    </row>
    <row r="17727">
      <c r="C17727" s="1"/>
    </row>
    <row r="17728">
      <c r="C17728" s="1"/>
    </row>
    <row r="17729">
      <c r="C17729" s="1"/>
    </row>
    <row r="17730">
      <c r="C17730" s="1"/>
    </row>
    <row r="17731">
      <c r="C17731" s="1"/>
    </row>
    <row r="17732">
      <c r="C17732" s="1"/>
    </row>
    <row r="17733">
      <c r="C17733" s="1"/>
    </row>
    <row r="17734">
      <c r="C17734" s="1"/>
    </row>
    <row r="17735">
      <c r="C17735" s="1"/>
    </row>
    <row r="17736">
      <c r="C17736" s="1"/>
    </row>
    <row r="17737">
      <c r="C17737" s="1"/>
    </row>
    <row r="17738">
      <c r="C17738" s="1"/>
    </row>
    <row r="17739">
      <c r="C17739" s="1"/>
    </row>
    <row r="17740">
      <c r="C17740" s="1"/>
    </row>
    <row r="17741">
      <c r="C17741" s="1"/>
    </row>
    <row r="17742">
      <c r="C17742" s="1"/>
    </row>
    <row r="17743">
      <c r="C17743" s="1"/>
    </row>
    <row r="17744">
      <c r="C17744" s="1"/>
    </row>
    <row r="17745">
      <c r="C17745" s="1"/>
    </row>
    <row r="17746">
      <c r="C17746" s="1"/>
    </row>
    <row r="17747">
      <c r="C17747" s="1"/>
    </row>
    <row r="17748">
      <c r="C17748" s="1"/>
    </row>
    <row r="17749">
      <c r="C17749" s="1"/>
    </row>
    <row r="17750">
      <c r="C17750" s="1"/>
    </row>
    <row r="17751">
      <c r="C17751" s="1"/>
    </row>
    <row r="17752">
      <c r="C17752" s="1"/>
    </row>
    <row r="17753">
      <c r="C17753" s="1"/>
    </row>
    <row r="17754">
      <c r="C17754" s="1"/>
    </row>
    <row r="17755">
      <c r="C17755" s="1"/>
    </row>
    <row r="17756">
      <c r="C17756" s="1"/>
    </row>
    <row r="17757">
      <c r="C17757" s="1"/>
    </row>
    <row r="17758">
      <c r="C17758" s="1"/>
    </row>
    <row r="17759">
      <c r="C17759" s="1"/>
    </row>
    <row r="17760">
      <c r="C17760" s="1"/>
    </row>
    <row r="17761">
      <c r="C17761" s="1"/>
    </row>
    <row r="17762">
      <c r="C17762" s="1"/>
    </row>
    <row r="17763">
      <c r="C17763" s="1"/>
    </row>
    <row r="17764">
      <c r="C17764" s="1"/>
    </row>
    <row r="17765">
      <c r="C17765" s="1"/>
    </row>
    <row r="17766">
      <c r="C17766" s="1"/>
    </row>
    <row r="17767">
      <c r="C17767" s="1"/>
    </row>
    <row r="17768">
      <c r="C17768" s="1"/>
    </row>
    <row r="17769">
      <c r="C17769" s="1"/>
    </row>
    <row r="17770">
      <c r="C17770" s="1"/>
    </row>
    <row r="17771">
      <c r="C17771" s="1"/>
    </row>
    <row r="17772">
      <c r="C17772" s="1"/>
    </row>
    <row r="17773">
      <c r="C17773" s="1"/>
    </row>
    <row r="17774">
      <c r="C17774" s="1"/>
    </row>
    <row r="17775">
      <c r="C17775" s="1"/>
    </row>
    <row r="17776">
      <c r="C17776" s="1"/>
    </row>
    <row r="17777">
      <c r="C17777" s="1"/>
    </row>
    <row r="17778">
      <c r="C17778" s="1"/>
    </row>
    <row r="17779">
      <c r="C17779" s="1"/>
    </row>
    <row r="17780">
      <c r="C17780" s="1"/>
    </row>
    <row r="17781">
      <c r="C17781" s="1"/>
    </row>
    <row r="17782">
      <c r="C17782" s="1"/>
    </row>
    <row r="17783">
      <c r="C17783" s="1"/>
    </row>
    <row r="17784">
      <c r="C17784" s="1"/>
    </row>
    <row r="17785">
      <c r="C17785" s="1"/>
    </row>
    <row r="17786">
      <c r="C17786" s="1"/>
    </row>
    <row r="17787">
      <c r="C17787" s="1"/>
    </row>
    <row r="17788">
      <c r="C17788" s="1"/>
    </row>
    <row r="17789">
      <c r="C17789" s="1"/>
    </row>
    <row r="17790">
      <c r="C17790" s="1"/>
    </row>
    <row r="17791">
      <c r="C17791" s="1"/>
    </row>
    <row r="17792">
      <c r="C17792" s="1"/>
    </row>
    <row r="17793">
      <c r="C17793" s="1"/>
    </row>
    <row r="17794">
      <c r="C17794" s="1"/>
    </row>
    <row r="17795">
      <c r="C17795" s="1"/>
    </row>
    <row r="17796">
      <c r="C17796" s="1"/>
    </row>
    <row r="17797">
      <c r="C17797" s="1"/>
    </row>
    <row r="17798">
      <c r="C17798" s="1"/>
    </row>
    <row r="17799">
      <c r="C17799" s="1"/>
    </row>
    <row r="17800">
      <c r="C17800" s="1"/>
    </row>
    <row r="17801">
      <c r="C17801" s="1"/>
    </row>
    <row r="17802">
      <c r="C17802" s="1"/>
    </row>
    <row r="17803">
      <c r="C17803" s="1"/>
    </row>
    <row r="17804">
      <c r="C17804" s="1"/>
    </row>
    <row r="17805">
      <c r="C17805" s="1"/>
    </row>
    <row r="17806">
      <c r="C17806" s="1"/>
    </row>
    <row r="17807">
      <c r="C17807" s="1"/>
    </row>
    <row r="17808">
      <c r="C17808" s="1"/>
    </row>
    <row r="17809">
      <c r="C17809" s="1"/>
    </row>
    <row r="17810">
      <c r="C17810" s="1"/>
    </row>
    <row r="17811">
      <c r="C17811" s="1"/>
    </row>
    <row r="17812">
      <c r="C17812" s="1"/>
    </row>
    <row r="17813">
      <c r="C17813" s="1"/>
    </row>
    <row r="17814">
      <c r="C17814" s="1"/>
    </row>
    <row r="17815">
      <c r="C17815" s="1"/>
    </row>
    <row r="17816">
      <c r="C17816" s="1"/>
    </row>
    <row r="17817">
      <c r="C17817" s="1"/>
    </row>
    <row r="17818">
      <c r="C17818" s="1"/>
    </row>
    <row r="17819">
      <c r="C17819" s="1"/>
    </row>
    <row r="17820">
      <c r="C17820" s="1"/>
    </row>
    <row r="17821">
      <c r="C17821" s="1"/>
    </row>
    <row r="17822">
      <c r="C17822" s="1"/>
    </row>
    <row r="17823">
      <c r="C17823" s="1"/>
    </row>
    <row r="17824">
      <c r="C17824" s="1"/>
    </row>
    <row r="17825">
      <c r="C17825" s="1"/>
    </row>
    <row r="17826">
      <c r="C17826" s="1"/>
    </row>
    <row r="17827">
      <c r="C17827" s="1"/>
    </row>
    <row r="17828">
      <c r="C17828" s="1"/>
    </row>
    <row r="17829">
      <c r="C17829" s="1"/>
    </row>
    <row r="17830">
      <c r="C17830" s="1"/>
    </row>
    <row r="17831">
      <c r="C17831" s="1"/>
    </row>
    <row r="17832">
      <c r="C17832" s="1"/>
    </row>
    <row r="17833">
      <c r="C17833" s="1"/>
    </row>
    <row r="17834">
      <c r="C17834" s="1"/>
    </row>
    <row r="17835">
      <c r="C17835" s="1"/>
    </row>
    <row r="17836">
      <c r="C17836" s="1"/>
    </row>
    <row r="17837">
      <c r="C17837" s="1"/>
    </row>
    <row r="17838">
      <c r="C17838" s="1"/>
    </row>
    <row r="17839">
      <c r="C17839" s="1"/>
    </row>
    <row r="17840">
      <c r="C17840" s="1"/>
    </row>
    <row r="17841">
      <c r="C17841" s="1"/>
    </row>
    <row r="17842">
      <c r="C17842" s="1"/>
    </row>
    <row r="17843">
      <c r="C17843" s="1"/>
    </row>
    <row r="17844">
      <c r="C17844" s="1"/>
    </row>
    <row r="17845">
      <c r="C17845" s="1"/>
    </row>
    <row r="17846">
      <c r="C17846" s="1"/>
    </row>
    <row r="17847">
      <c r="C17847" s="1"/>
    </row>
    <row r="17848">
      <c r="C17848" s="1"/>
    </row>
    <row r="17849">
      <c r="C17849" s="1"/>
    </row>
    <row r="17850">
      <c r="C17850" s="1"/>
    </row>
    <row r="17851">
      <c r="C17851" s="1"/>
    </row>
    <row r="17852">
      <c r="C17852" s="1"/>
    </row>
    <row r="17853">
      <c r="C17853" s="1"/>
    </row>
    <row r="17854">
      <c r="C17854" s="1"/>
    </row>
    <row r="17855">
      <c r="C17855" s="1"/>
    </row>
    <row r="17856">
      <c r="C17856" s="1"/>
    </row>
    <row r="17857">
      <c r="C17857" s="1"/>
    </row>
    <row r="17858">
      <c r="C17858" s="1"/>
    </row>
    <row r="17859">
      <c r="C17859" s="1"/>
    </row>
    <row r="17860">
      <c r="C17860" s="1"/>
    </row>
    <row r="17861">
      <c r="C17861" s="1"/>
    </row>
    <row r="17862">
      <c r="C17862" s="1"/>
    </row>
    <row r="17863">
      <c r="C17863" s="1"/>
    </row>
    <row r="17864">
      <c r="C17864" s="1"/>
    </row>
    <row r="17865">
      <c r="C17865" s="1"/>
    </row>
    <row r="17866">
      <c r="C17866" s="1"/>
    </row>
    <row r="17867">
      <c r="C17867" s="1"/>
    </row>
    <row r="17868">
      <c r="C17868" s="1"/>
    </row>
    <row r="17869">
      <c r="C17869" s="1"/>
    </row>
    <row r="17870">
      <c r="C17870" s="1"/>
    </row>
    <row r="17871">
      <c r="C17871" s="1"/>
    </row>
    <row r="17872">
      <c r="C17872" s="1"/>
    </row>
    <row r="17873">
      <c r="C17873" s="1"/>
    </row>
    <row r="17874">
      <c r="C17874" s="1"/>
    </row>
    <row r="17875">
      <c r="C17875" s="1"/>
    </row>
    <row r="17876">
      <c r="C17876" s="1"/>
    </row>
    <row r="17877">
      <c r="C17877" s="1"/>
    </row>
    <row r="17878">
      <c r="C17878" s="1"/>
    </row>
    <row r="17879">
      <c r="C17879" s="1"/>
    </row>
    <row r="17880">
      <c r="C17880" s="1"/>
    </row>
    <row r="17881">
      <c r="C17881" s="1"/>
    </row>
    <row r="17882">
      <c r="C17882" s="1"/>
    </row>
    <row r="17883">
      <c r="C17883" s="1"/>
    </row>
    <row r="17884">
      <c r="C17884" s="1"/>
    </row>
    <row r="17885">
      <c r="C17885" s="1"/>
    </row>
    <row r="17886">
      <c r="C17886" s="1"/>
    </row>
    <row r="17887">
      <c r="C17887" s="1"/>
    </row>
    <row r="17888">
      <c r="C17888" s="1"/>
    </row>
    <row r="17889">
      <c r="C17889" s="1"/>
    </row>
    <row r="17890">
      <c r="C17890" s="1"/>
    </row>
    <row r="17891">
      <c r="C17891" s="1"/>
    </row>
    <row r="17892">
      <c r="C17892" s="1"/>
    </row>
    <row r="17893">
      <c r="C17893" s="1"/>
    </row>
    <row r="17894">
      <c r="C17894" s="1"/>
    </row>
    <row r="17895">
      <c r="C17895" s="1"/>
    </row>
    <row r="17896">
      <c r="C17896" s="1"/>
    </row>
    <row r="17897">
      <c r="C17897" s="1"/>
    </row>
    <row r="17898">
      <c r="C17898" s="1"/>
    </row>
    <row r="17899">
      <c r="C17899" s="1"/>
    </row>
    <row r="17900">
      <c r="C17900" s="1"/>
    </row>
    <row r="17901">
      <c r="C17901" s="1"/>
    </row>
    <row r="17902">
      <c r="C17902" s="1"/>
    </row>
    <row r="17903">
      <c r="C17903" s="1"/>
    </row>
    <row r="17904">
      <c r="C17904" s="1"/>
    </row>
    <row r="17905">
      <c r="C17905" s="1"/>
    </row>
    <row r="17906">
      <c r="C17906" s="1"/>
    </row>
    <row r="17907">
      <c r="C17907" s="1"/>
    </row>
    <row r="17908">
      <c r="C17908" s="1"/>
    </row>
    <row r="17909">
      <c r="C17909" s="1"/>
    </row>
    <row r="17910">
      <c r="C17910" s="1"/>
    </row>
    <row r="17911">
      <c r="C17911" s="1"/>
    </row>
    <row r="17912">
      <c r="C17912" s="1"/>
    </row>
    <row r="17913">
      <c r="C17913" s="1"/>
    </row>
    <row r="17914">
      <c r="C17914" s="1"/>
    </row>
    <row r="17915">
      <c r="C17915" s="1"/>
    </row>
    <row r="17916">
      <c r="C17916" s="1"/>
    </row>
    <row r="17917">
      <c r="C17917" s="1"/>
    </row>
    <row r="17918">
      <c r="C17918" s="1"/>
    </row>
    <row r="17919">
      <c r="C17919" s="1"/>
    </row>
    <row r="17920">
      <c r="C17920" s="1"/>
    </row>
    <row r="17921">
      <c r="C17921" s="1"/>
    </row>
    <row r="17922">
      <c r="C17922" s="1"/>
    </row>
    <row r="17923">
      <c r="C17923" s="1"/>
    </row>
    <row r="17924">
      <c r="C17924" s="1"/>
    </row>
    <row r="17925">
      <c r="C17925" s="1"/>
    </row>
    <row r="17926">
      <c r="C17926" s="1"/>
    </row>
    <row r="17927">
      <c r="C17927" s="1"/>
    </row>
    <row r="17928">
      <c r="C17928" s="1"/>
    </row>
    <row r="17929">
      <c r="C17929" s="1"/>
    </row>
    <row r="17930">
      <c r="C17930" s="1"/>
    </row>
    <row r="17931">
      <c r="C17931" s="1"/>
    </row>
    <row r="17932">
      <c r="C17932" s="1"/>
    </row>
    <row r="17933">
      <c r="C17933" s="1"/>
    </row>
    <row r="17934">
      <c r="C17934" s="1"/>
    </row>
    <row r="17935">
      <c r="C17935" s="1"/>
    </row>
    <row r="17936">
      <c r="C17936" s="1"/>
    </row>
    <row r="17937">
      <c r="C17937" s="1"/>
    </row>
    <row r="17938">
      <c r="C17938" s="1"/>
    </row>
    <row r="17939">
      <c r="C17939" s="1"/>
    </row>
    <row r="17940">
      <c r="C17940" s="1"/>
    </row>
    <row r="17941">
      <c r="C17941" s="1"/>
    </row>
    <row r="17942">
      <c r="C17942" s="1"/>
    </row>
    <row r="17943">
      <c r="C17943" s="1"/>
    </row>
    <row r="17944">
      <c r="C17944" s="1"/>
    </row>
    <row r="17945">
      <c r="C17945" s="1"/>
    </row>
    <row r="17946">
      <c r="C17946" s="1"/>
    </row>
    <row r="17947">
      <c r="C17947" s="1"/>
    </row>
    <row r="17948">
      <c r="C17948" s="1"/>
    </row>
    <row r="17949">
      <c r="C17949" s="1"/>
    </row>
    <row r="17950">
      <c r="C17950" s="1"/>
    </row>
    <row r="17951">
      <c r="C17951" s="1"/>
    </row>
    <row r="17952">
      <c r="C17952" s="1"/>
    </row>
    <row r="17953">
      <c r="C17953" s="1"/>
    </row>
    <row r="17954">
      <c r="C17954" s="1"/>
    </row>
    <row r="17955">
      <c r="C17955" s="1"/>
    </row>
    <row r="17956">
      <c r="C17956" s="1"/>
    </row>
    <row r="17957">
      <c r="C17957" s="1"/>
    </row>
    <row r="17958">
      <c r="C17958" s="1"/>
    </row>
    <row r="17959">
      <c r="C17959" s="1"/>
    </row>
    <row r="17960">
      <c r="C17960" s="1"/>
    </row>
    <row r="17961">
      <c r="C17961" s="1"/>
    </row>
    <row r="17962">
      <c r="C17962" s="1"/>
    </row>
    <row r="17963">
      <c r="C17963" s="1"/>
    </row>
    <row r="17964">
      <c r="C17964" s="1"/>
    </row>
    <row r="17965">
      <c r="C17965" s="1"/>
    </row>
    <row r="17966">
      <c r="C17966" s="1"/>
    </row>
    <row r="17967">
      <c r="C17967" s="1"/>
    </row>
    <row r="17968">
      <c r="C17968" s="1"/>
    </row>
    <row r="17969">
      <c r="C17969" s="1"/>
    </row>
    <row r="17970">
      <c r="C17970" s="1"/>
    </row>
    <row r="17971">
      <c r="C17971" s="1"/>
    </row>
    <row r="17972">
      <c r="C17972" s="1"/>
    </row>
    <row r="17973">
      <c r="C17973" s="1"/>
    </row>
    <row r="17974">
      <c r="C17974" s="1"/>
    </row>
    <row r="17975">
      <c r="C17975" s="1"/>
    </row>
    <row r="17976">
      <c r="C17976" s="1"/>
    </row>
    <row r="17977">
      <c r="C17977" s="1"/>
    </row>
    <row r="17978">
      <c r="C17978" s="1"/>
    </row>
    <row r="17979">
      <c r="C17979" s="1"/>
    </row>
    <row r="17980">
      <c r="C17980" s="1"/>
    </row>
    <row r="17981">
      <c r="C17981" s="1"/>
    </row>
    <row r="17982">
      <c r="C17982" s="1"/>
    </row>
    <row r="17983">
      <c r="C17983" s="1"/>
    </row>
    <row r="17984">
      <c r="C17984" s="1"/>
    </row>
    <row r="17985">
      <c r="C17985" s="1"/>
    </row>
    <row r="17986">
      <c r="C17986" s="1"/>
    </row>
    <row r="17987">
      <c r="C17987" s="1"/>
    </row>
    <row r="17988">
      <c r="C17988" s="1"/>
    </row>
    <row r="17989">
      <c r="C17989" s="1"/>
    </row>
    <row r="17990">
      <c r="C17990" s="1"/>
    </row>
    <row r="17991">
      <c r="C17991" s="1"/>
    </row>
    <row r="17992">
      <c r="C17992" s="1"/>
    </row>
    <row r="17993">
      <c r="C17993" s="1"/>
    </row>
    <row r="17994">
      <c r="C17994" s="1"/>
    </row>
    <row r="17995">
      <c r="C17995" s="1"/>
    </row>
    <row r="17996">
      <c r="C17996" s="1"/>
    </row>
    <row r="17997">
      <c r="C17997" s="1"/>
    </row>
    <row r="17998">
      <c r="C17998" s="1"/>
    </row>
    <row r="17999">
      <c r="C17999" s="1"/>
    </row>
    <row r="18000">
      <c r="C18000" s="1"/>
    </row>
    <row r="18001">
      <c r="C18001" s="1"/>
    </row>
    <row r="18002">
      <c r="C18002" s="1"/>
    </row>
    <row r="18003">
      <c r="C18003" s="1"/>
    </row>
    <row r="18004">
      <c r="C18004" s="1"/>
    </row>
    <row r="18005">
      <c r="C18005" s="1"/>
    </row>
    <row r="18006">
      <c r="C18006" s="1"/>
    </row>
    <row r="18007">
      <c r="C18007" s="1"/>
    </row>
    <row r="18008">
      <c r="C18008" s="1"/>
    </row>
    <row r="18009">
      <c r="C18009" s="1"/>
    </row>
    <row r="18010">
      <c r="C18010" s="1"/>
    </row>
    <row r="18011">
      <c r="C18011" s="1"/>
    </row>
    <row r="18012">
      <c r="C18012" s="1"/>
    </row>
    <row r="18013">
      <c r="C18013" s="1"/>
    </row>
    <row r="18014">
      <c r="C18014" s="1"/>
    </row>
    <row r="18015">
      <c r="C18015" s="1"/>
    </row>
    <row r="18016">
      <c r="C18016" s="1"/>
    </row>
    <row r="18017">
      <c r="C18017" s="1"/>
    </row>
    <row r="18018">
      <c r="C18018" s="1"/>
    </row>
    <row r="18019">
      <c r="C18019" s="1"/>
    </row>
    <row r="18020">
      <c r="C18020" s="1"/>
    </row>
    <row r="18021">
      <c r="C18021" s="1"/>
    </row>
    <row r="18022">
      <c r="C18022" s="1"/>
    </row>
    <row r="18023">
      <c r="C18023" s="1"/>
    </row>
    <row r="18024">
      <c r="C18024" s="1"/>
    </row>
    <row r="18025">
      <c r="C18025" s="1"/>
    </row>
    <row r="18026">
      <c r="C18026" s="1"/>
    </row>
    <row r="18027">
      <c r="C18027" s="1"/>
    </row>
    <row r="18028">
      <c r="C18028" s="1"/>
    </row>
    <row r="18029">
      <c r="C18029" s="1"/>
    </row>
    <row r="18030">
      <c r="C18030" s="1"/>
    </row>
    <row r="18031">
      <c r="C18031" s="1"/>
    </row>
    <row r="18032">
      <c r="C18032" s="1"/>
    </row>
    <row r="18033">
      <c r="C18033" s="1"/>
    </row>
    <row r="18034">
      <c r="C18034" s="1"/>
    </row>
    <row r="18035">
      <c r="C18035" s="1"/>
    </row>
    <row r="18036">
      <c r="C18036" s="1"/>
    </row>
    <row r="18037">
      <c r="C18037" s="1"/>
    </row>
    <row r="18038">
      <c r="C18038" s="1"/>
    </row>
    <row r="18039">
      <c r="C18039" s="1"/>
    </row>
    <row r="18040">
      <c r="C18040" s="1"/>
    </row>
    <row r="18041">
      <c r="C18041" s="1"/>
    </row>
    <row r="18042">
      <c r="C18042" s="1"/>
    </row>
    <row r="18043">
      <c r="C18043" s="1"/>
    </row>
    <row r="18044">
      <c r="C18044" s="1"/>
    </row>
    <row r="18045">
      <c r="C18045" s="1"/>
    </row>
    <row r="18046">
      <c r="C18046" s="1"/>
    </row>
    <row r="18047">
      <c r="C18047" s="1"/>
    </row>
    <row r="18048">
      <c r="C18048" s="1"/>
    </row>
    <row r="18049">
      <c r="C18049" s="1"/>
    </row>
    <row r="18050">
      <c r="C18050" s="1"/>
    </row>
    <row r="18051">
      <c r="C18051" s="1"/>
    </row>
    <row r="18052">
      <c r="C18052" s="1"/>
    </row>
    <row r="18053">
      <c r="C18053" s="1"/>
    </row>
    <row r="18054">
      <c r="C18054" s="1"/>
    </row>
    <row r="18055">
      <c r="C18055" s="1"/>
    </row>
    <row r="18056">
      <c r="C18056" s="1"/>
    </row>
    <row r="18057">
      <c r="C18057" s="1"/>
    </row>
    <row r="18058">
      <c r="C18058" s="1"/>
    </row>
    <row r="18059">
      <c r="C18059" s="1"/>
    </row>
    <row r="18060">
      <c r="C18060" s="1"/>
    </row>
    <row r="18061">
      <c r="C18061" s="1"/>
    </row>
    <row r="18062">
      <c r="C18062" s="1"/>
    </row>
    <row r="18063">
      <c r="C18063" s="1"/>
    </row>
    <row r="18064">
      <c r="C18064" s="1"/>
    </row>
    <row r="18065">
      <c r="C18065" s="1"/>
    </row>
    <row r="18066">
      <c r="C18066" s="1"/>
    </row>
    <row r="18067">
      <c r="C18067" s="1"/>
    </row>
    <row r="18068">
      <c r="C18068" s="1"/>
    </row>
    <row r="18069">
      <c r="C18069" s="1"/>
    </row>
    <row r="18070">
      <c r="C18070" s="1"/>
    </row>
    <row r="18071">
      <c r="C18071" s="1"/>
    </row>
    <row r="18072">
      <c r="C18072" s="1"/>
    </row>
    <row r="18073">
      <c r="C18073" s="1"/>
    </row>
    <row r="18074">
      <c r="C18074" s="1"/>
    </row>
    <row r="18075">
      <c r="C18075" s="1"/>
    </row>
    <row r="18076">
      <c r="C18076" s="1"/>
    </row>
    <row r="18077">
      <c r="C18077" s="1"/>
    </row>
    <row r="18078">
      <c r="C18078" s="1"/>
    </row>
    <row r="18079">
      <c r="C18079" s="1"/>
    </row>
    <row r="18080">
      <c r="C18080" s="1"/>
    </row>
    <row r="18081">
      <c r="C18081" s="1"/>
    </row>
    <row r="18082">
      <c r="C18082" s="1"/>
    </row>
    <row r="18083">
      <c r="C18083" s="1"/>
    </row>
    <row r="18084">
      <c r="C18084" s="1"/>
    </row>
    <row r="18085">
      <c r="C18085" s="1"/>
    </row>
    <row r="18086">
      <c r="C18086" s="1"/>
    </row>
    <row r="18087">
      <c r="C18087" s="1"/>
    </row>
    <row r="18088">
      <c r="C18088" s="1"/>
    </row>
    <row r="18089">
      <c r="C18089" s="1"/>
    </row>
    <row r="18090">
      <c r="C18090" s="1"/>
    </row>
    <row r="18091">
      <c r="C18091" s="1"/>
    </row>
    <row r="18092">
      <c r="C18092" s="1"/>
    </row>
    <row r="18093">
      <c r="C18093" s="1"/>
    </row>
    <row r="18094">
      <c r="C18094" s="1"/>
    </row>
    <row r="18095">
      <c r="C18095" s="1"/>
    </row>
    <row r="18096">
      <c r="C18096" s="1"/>
    </row>
    <row r="18097">
      <c r="C18097" s="1"/>
    </row>
    <row r="18098">
      <c r="C18098" s="1"/>
    </row>
    <row r="18099">
      <c r="C18099" s="1"/>
    </row>
    <row r="18100">
      <c r="C18100" s="1"/>
    </row>
    <row r="18101">
      <c r="C18101" s="1"/>
    </row>
    <row r="18102">
      <c r="C18102" s="1"/>
    </row>
    <row r="18103">
      <c r="C18103" s="1"/>
    </row>
    <row r="18104">
      <c r="C18104" s="1"/>
    </row>
    <row r="18105">
      <c r="C18105" s="1"/>
    </row>
    <row r="18106">
      <c r="C18106" s="1"/>
    </row>
    <row r="18107">
      <c r="C18107" s="1"/>
    </row>
    <row r="18108">
      <c r="C18108" s="1"/>
    </row>
    <row r="18109">
      <c r="C18109" s="1"/>
    </row>
    <row r="18110">
      <c r="C18110" s="1"/>
    </row>
    <row r="18111">
      <c r="C18111" s="1"/>
    </row>
    <row r="18112">
      <c r="C18112" s="1"/>
    </row>
    <row r="18113">
      <c r="C18113" s="1"/>
    </row>
    <row r="18114">
      <c r="C18114" s="1"/>
    </row>
    <row r="18115">
      <c r="C18115" s="1"/>
    </row>
    <row r="18116">
      <c r="C18116" s="1"/>
    </row>
    <row r="18117">
      <c r="C18117" s="1"/>
    </row>
    <row r="18118">
      <c r="C18118" s="1"/>
    </row>
    <row r="18119">
      <c r="C18119" s="1"/>
    </row>
    <row r="18120">
      <c r="C18120" s="1"/>
    </row>
    <row r="18121">
      <c r="C18121" s="1"/>
    </row>
    <row r="18122">
      <c r="C18122" s="1"/>
    </row>
    <row r="18123">
      <c r="C18123" s="1"/>
    </row>
    <row r="18124">
      <c r="C18124" s="1"/>
    </row>
    <row r="18125">
      <c r="C18125" s="1"/>
    </row>
    <row r="18126">
      <c r="C18126" s="1"/>
    </row>
    <row r="18127">
      <c r="C18127" s="1"/>
    </row>
    <row r="18128">
      <c r="C18128" s="1"/>
    </row>
    <row r="18129">
      <c r="C18129" s="1"/>
    </row>
    <row r="18130">
      <c r="C18130" s="1"/>
    </row>
    <row r="18131">
      <c r="C18131" s="1"/>
    </row>
    <row r="18132">
      <c r="C18132" s="1"/>
    </row>
    <row r="18133">
      <c r="C18133" s="1"/>
    </row>
    <row r="18134">
      <c r="C18134" s="1"/>
    </row>
    <row r="18135">
      <c r="C18135" s="1"/>
    </row>
    <row r="18136">
      <c r="C18136" s="1"/>
    </row>
    <row r="18137">
      <c r="C18137" s="1"/>
    </row>
    <row r="18138">
      <c r="C18138" s="1"/>
    </row>
    <row r="18139">
      <c r="C18139" s="1"/>
    </row>
    <row r="18140">
      <c r="C18140" s="1"/>
    </row>
    <row r="18141">
      <c r="C18141" s="1"/>
    </row>
    <row r="18142">
      <c r="C18142" s="1"/>
    </row>
    <row r="18143">
      <c r="C18143" s="1"/>
    </row>
    <row r="18144">
      <c r="C18144" s="1"/>
    </row>
    <row r="18145">
      <c r="C18145" s="1"/>
    </row>
    <row r="18146">
      <c r="C18146" s="1"/>
    </row>
    <row r="18147">
      <c r="C18147" s="1"/>
    </row>
    <row r="18148">
      <c r="C18148" s="1"/>
    </row>
    <row r="18149">
      <c r="C18149" s="1"/>
    </row>
    <row r="18150">
      <c r="C18150" s="1"/>
    </row>
    <row r="18151">
      <c r="C18151" s="1"/>
    </row>
    <row r="18152">
      <c r="C18152" s="1"/>
    </row>
    <row r="18153">
      <c r="C18153" s="1"/>
    </row>
    <row r="18154">
      <c r="C18154" s="1"/>
    </row>
    <row r="18155">
      <c r="C18155" s="1"/>
    </row>
    <row r="18156">
      <c r="C18156" s="1"/>
    </row>
    <row r="18157">
      <c r="C18157" s="1"/>
    </row>
    <row r="18158">
      <c r="C18158" s="1"/>
    </row>
    <row r="18159">
      <c r="C18159" s="1"/>
    </row>
    <row r="18160">
      <c r="C18160" s="1"/>
    </row>
    <row r="18161">
      <c r="C18161" s="1"/>
    </row>
    <row r="18162">
      <c r="C18162" s="1"/>
    </row>
    <row r="18163">
      <c r="C18163" s="1"/>
    </row>
    <row r="18164">
      <c r="C18164" s="1"/>
    </row>
    <row r="18165">
      <c r="C18165" s="1"/>
    </row>
    <row r="18166">
      <c r="C18166" s="1"/>
    </row>
    <row r="18167">
      <c r="C18167" s="1"/>
    </row>
    <row r="18168">
      <c r="C18168" s="1"/>
    </row>
    <row r="18169">
      <c r="C18169" s="1"/>
    </row>
    <row r="18170">
      <c r="C18170" s="1"/>
    </row>
    <row r="18171">
      <c r="C18171" s="1"/>
    </row>
    <row r="18172">
      <c r="C18172" s="1"/>
    </row>
    <row r="18173">
      <c r="C18173" s="1"/>
    </row>
    <row r="18174">
      <c r="C18174" s="1"/>
    </row>
    <row r="18175">
      <c r="C18175" s="1"/>
    </row>
    <row r="18176">
      <c r="C18176" s="1"/>
    </row>
    <row r="18177">
      <c r="C18177" s="1"/>
    </row>
    <row r="18178">
      <c r="C18178" s="1"/>
    </row>
    <row r="18179">
      <c r="C18179" s="1"/>
    </row>
    <row r="18180">
      <c r="C18180" s="1"/>
    </row>
    <row r="18181">
      <c r="C18181" s="1"/>
    </row>
    <row r="18182">
      <c r="C18182" s="1"/>
    </row>
    <row r="18183">
      <c r="C18183" s="1"/>
    </row>
    <row r="18184">
      <c r="C18184" s="1"/>
    </row>
    <row r="18185">
      <c r="C18185" s="1"/>
    </row>
    <row r="18186">
      <c r="C18186" s="1"/>
    </row>
    <row r="18187">
      <c r="C18187" s="1"/>
    </row>
    <row r="18188">
      <c r="C18188" s="1"/>
    </row>
    <row r="18189">
      <c r="C18189" s="1"/>
    </row>
    <row r="18190">
      <c r="C18190" s="1"/>
    </row>
    <row r="18191">
      <c r="C18191" s="1"/>
    </row>
    <row r="18192">
      <c r="C18192" s="1"/>
    </row>
    <row r="18193">
      <c r="C18193" s="1"/>
    </row>
    <row r="18194">
      <c r="C18194" s="1"/>
    </row>
    <row r="18195">
      <c r="C18195" s="1"/>
    </row>
    <row r="18196">
      <c r="C18196" s="1"/>
    </row>
    <row r="18197">
      <c r="C18197" s="1"/>
    </row>
    <row r="18198">
      <c r="C18198" s="1"/>
    </row>
    <row r="18199">
      <c r="C18199" s="1"/>
    </row>
    <row r="18200">
      <c r="C18200" s="1"/>
    </row>
    <row r="18201">
      <c r="C18201" s="1"/>
    </row>
    <row r="18202">
      <c r="C18202" s="1"/>
    </row>
    <row r="18203">
      <c r="C18203" s="1"/>
    </row>
    <row r="18204">
      <c r="C18204" s="1"/>
    </row>
    <row r="18205">
      <c r="C18205" s="1"/>
    </row>
    <row r="18206">
      <c r="C18206" s="1"/>
    </row>
    <row r="18207">
      <c r="C18207" s="1"/>
    </row>
    <row r="18208">
      <c r="C18208" s="1"/>
    </row>
    <row r="18209">
      <c r="C18209" s="1"/>
    </row>
    <row r="18210">
      <c r="C18210" s="1"/>
    </row>
    <row r="18211">
      <c r="C18211" s="1"/>
    </row>
    <row r="18212">
      <c r="C18212" s="1"/>
    </row>
    <row r="18213">
      <c r="C18213" s="1"/>
    </row>
    <row r="18214">
      <c r="C18214" s="1"/>
    </row>
    <row r="18215">
      <c r="C18215" s="1"/>
    </row>
    <row r="18216">
      <c r="C18216" s="1"/>
    </row>
    <row r="18217">
      <c r="C18217" s="1"/>
    </row>
    <row r="18218">
      <c r="C18218" s="1"/>
    </row>
    <row r="18219">
      <c r="C18219" s="1"/>
    </row>
    <row r="18220">
      <c r="C18220" s="1"/>
    </row>
    <row r="18221">
      <c r="C18221" s="1"/>
    </row>
    <row r="18222">
      <c r="C18222" s="1"/>
    </row>
    <row r="18223">
      <c r="C18223" s="1"/>
    </row>
    <row r="18224">
      <c r="C18224" s="1"/>
    </row>
    <row r="18225">
      <c r="C18225" s="1"/>
    </row>
    <row r="18226">
      <c r="C18226" s="1"/>
    </row>
    <row r="18227">
      <c r="C18227" s="1"/>
    </row>
    <row r="18228">
      <c r="C18228" s="1"/>
    </row>
    <row r="18229">
      <c r="C18229" s="1"/>
    </row>
    <row r="18230">
      <c r="C18230" s="1"/>
    </row>
    <row r="18231">
      <c r="C18231" s="1"/>
    </row>
    <row r="18232">
      <c r="C18232" s="1"/>
    </row>
    <row r="18233">
      <c r="C18233" s="1"/>
    </row>
    <row r="18234">
      <c r="C18234" s="1"/>
    </row>
    <row r="18235">
      <c r="C18235" s="1"/>
    </row>
    <row r="18236">
      <c r="C18236" s="1"/>
    </row>
    <row r="18237">
      <c r="C18237" s="1"/>
    </row>
    <row r="18238">
      <c r="C18238" s="1"/>
    </row>
    <row r="18239">
      <c r="C18239" s="1"/>
    </row>
    <row r="18240">
      <c r="C18240" s="1"/>
    </row>
    <row r="18241">
      <c r="C18241" s="1"/>
    </row>
    <row r="18242">
      <c r="C18242" s="1"/>
    </row>
    <row r="18243">
      <c r="C18243" s="1"/>
    </row>
    <row r="18244">
      <c r="C18244" s="1"/>
    </row>
    <row r="18245">
      <c r="C18245" s="1"/>
    </row>
    <row r="18246">
      <c r="C18246" s="1"/>
    </row>
    <row r="18247">
      <c r="C18247" s="1"/>
    </row>
    <row r="18248">
      <c r="C18248" s="1"/>
    </row>
    <row r="18249">
      <c r="C18249" s="1"/>
    </row>
    <row r="18250">
      <c r="C18250" s="1"/>
    </row>
    <row r="18251">
      <c r="C18251" s="1"/>
    </row>
    <row r="18252">
      <c r="C18252" s="1"/>
    </row>
    <row r="18253">
      <c r="C18253" s="1"/>
    </row>
    <row r="18254">
      <c r="C18254" s="1"/>
    </row>
    <row r="18255">
      <c r="C18255" s="1"/>
    </row>
    <row r="18256">
      <c r="C18256" s="1"/>
    </row>
    <row r="18257">
      <c r="C18257" s="1"/>
    </row>
    <row r="18258">
      <c r="C18258" s="1"/>
    </row>
    <row r="18259">
      <c r="C18259" s="1"/>
    </row>
    <row r="18260">
      <c r="C18260" s="1"/>
    </row>
    <row r="18261">
      <c r="C18261" s="1"/>
    </row>
    <row r="18262">
      <c r="C18262" s="1"/>
    </row>
    <row r="18263">
      <c r="C18263" s="1"/>
    </row>
    <row r="18264">
      <c r="C18264" s="1"/>
    </row>
    <row r="18265">
      <c r="C18265" s="1"/>
    </row>
    <row r="18266">
      <c r="C18266" s="1"/>
    </row>
    <row r="18267">
      <c r="C18267" s="1"/>
    </row>
    <row r="18268">
      <c r="C18268" s="1"/>
    </row>
    <row r="18269">
      <c r="C18269" s="1"/>
    </row>
    <row r="18270">
      <c r="C18270" s="1"/>
    </row>
    <row r="18271">
      <c r="C18271" s="1"/>
    </row>
    <row r="18272">
      <c r="C18272" s="1"/>
    </row>
    <row r="18273">
      <c r="C18273" s="1"/>
    </row>
    <row r="18274">
      <c r="C18274" s="1"/>
    </row>
    <row r="18275">
      <c r="C18275" s="1"/>
    </row>
    <row r="18276">
      <c r="C18276" s="1"/>
    </row>
    <row r="18277">
      <c r="C18277" s="1"/>
    </row>
    <row r="18278">
      <c r="C18278" s="1"/>
    </row>
    <row r="18279">
      <c r="C18279" s="1"/>
    </row>
    <row r="18280">
      <c r="C18280" s="1"/>
    </row>
    <row r="18281">
      <c r="C18281" s="1"/>
    </row>
    <row r="18282">
      <c r="C18282" s="1"/>
    </row>
    <row r="18283">
      <c r="C18283" s="1"/>
    </row>
    <row r="18284">
      <c r="C18284" s="1"/>
    </row>
    <row r="18285">
      <c r="C18285" s="1"/>
    </row>
    <row r="18286">
      <c r="C18286" s="1"/>
    </row>
    <row r="18287">
      <c r="C18287" s="1"/>
    </row>
    <row r="18288">
      <c r="C18288" s="1"/>
    </row>
    <row r="18289">
      <c r="C18289" s="1"/>
    </row>
    <row r="18290">
      <c r="C18290" s="1"/>
    </row>
    <row r="18291">
      <c r="C18291" s="1"/>
    </row>
    <row r="18292">
      <c r="C18292" s="1"/>
    </row>
    <row r="18293">
      <c r="C18293" s="1"/>
    </row>
    <row r="18294">
      <c r="C18294" s="1"/>
    </row>
    <row r="18295">
      <c r="C18295" s="1"/>
    </row>
    <row r="18296">
      <c r="C18296" s="1"/>
    </row>
    <row r="18297">
      <c r="C18297" s="1"/>
    </row>
    <row r="18298">
      <c r="C18298" s="1"/>
    </row>
    <row r="18299">
      <c r="C18299" s="1"/>
    </row>
    <row r="18300">
      <c r="C18300" s="1"/>
    </row>
    <row r="18301">
      <c r="C18301" s="1"/>
    </row>
    <row r="18302">
      <c r="C18302" s="1"/>
    </row>
    <row r="18303">
      <c r="C18303" s="1"/>
    </row>
    <row r="18304">
      <c r="C18304" s="1"/>
    </row>
    <row r="18305">
      <c r="C18305" s="1"/>
    </row>
    <row r="18306">
      <c r="C18306" s="1"/>
    </row>
    <row r="18307">
      <c r="C18307" s="1"/>
    </row>
    <row r="18308">
      <c r="C18308" s="1"/>
    </row>
    <row r="18309">
      <c r="C18309" s="1"/>
    </row>
    <row r="18310">
      <c r="C18310" s="1"/>
    </row>
    <row r="18311">
      <c r="C18311" s="1"/>
    </row>
    <row r="18312">
      <c r="C18312" s="1"/>
    </row>
    <row r="18313">
      <c r="C18313" s="1"/>
    </row>
    <row r="18314">
      <c r="C18314" s="1"/>
    </row>
    <row r="18315">
      <c r="C18315" s="1"/>
    </row>
    <row r="18316">
      <c r="C18316" s="1"/>
    </row>
    <row r="18317">
      <c r="C18317" s="1"/>
    </row>
    <row r="18318">
      <c r="C18318" s="1"/>
    </row>
    <row r="18319">
      <c r="C18319" s="1"/>
    </row>
    <row r="18320">
      <c r="C18320" s="1"/>
    </row>
    <row r="18321">
      <c r="C18321" s="1"/>
    </row>
    <row r="18322">
      <c r="C18322" s="1"/>
    </row>
    <row r="18323">
      <c r="C18323" s="1"/>
    </row>
    <row r="18324">
      <c r="C18324" s="1"/>
    </row>
    <row r="18325">
      <c r="C18325" s="1"/>
    </row>
    <row r="18326">
      <c r="C18326" s="1"/>
    </row>
    <row r="18327">
      <c r="C18327" s="1"/>
    </row>
    <row r="18328">
      <c r="C18328" s="1"/>
    </row>
    <row r="18329">
      <c r="C18329" s="1"/>
    </row>
    <row r="18330">
      <c r="C18330" s="1"/>
    </row>
    <row r="18331">
      <c r="C18331" s="1"/>
    </row>
    <row r="18332">
      <c r="C18332" s="1"/>
    </row>
    <row r="18333">
      <c r="C18333" s="1"/>
    </row>
    <row r="18334">
      <c r="C18334" s="1"/>
    </row>
    <row r="18335">
      <c r="C18335" s="1"/>
    </row>
    <row r="18336">
      <c r="C18336" s="1"/>
    </row>
    <row r="18337">
      <c r="C18337" s="1"/>
    </row>
    <row r="18338">
      <c r="C18338" s="1"/>
    </row>
    <row r="18339">
      <c r="C18339" s="1"/>
    </row>
    <row r="18340">
      <c r="C18340" s="1"/>
    </row>
    <row r="18341">
      <c r="C18341" s="1"/>
    </row>
    <row r="18342">
      <c r="C18342" s="1"/>
    </row>
    <row r="18343">
      <c r="C18343" s="1"/>
    </row>
    <row r="18344">
      <c r="C18344" s="1"/>
    </row>
    <row r="18345">
      <c r="C18345" s="1"/>
    </row>
    <row r="18346">
      <c r="C18346" s="1"/>
    </row>
    <row r="18347">
      <c r="C18347" s="1"/>
    </row>
    <row r="18348">
      <c r="C18348" s="1"/>
    </row>
    <row r="18349">
      <c r="C18349" s="1"/>
    </row>
    <row r="18350">
      <c r="C18350" s="1"/>
    </row>
    <row r="18351">
      <c r="C18351" s="1"/>
    </row>
    <row r="18352">
      <c r="C18352" s="1"/>
    </row>
    <row r="18353">
      <c r="C18353" s="1"/>
    </row>
    <row r="18354">
      <c r="C18354" s="1"/>
    </row>
    <row r="18355">
      <c r="C18355" s="1"/>
    </row>
    <row r="18356">
      <c r="C18356" s="1"/>
    </row>
    <row r="18357">
      <c r="C18357" s="1"/>
    </row>
    <row r="18358">
      <c r="C18358" s="1"/>
    </row>
    <row r="18359">
      <c r="C18359" s="1"/>
    </row>
    <row r="18360">
      <c r="C18360" s="1"/>
    </row>
    <row r="18361">
      <c r="C18361" s="1"/>
    </row>
    <row r="18362">
      <c r="C18362" s="1"/>
    </row>
    <row r="18363">
      <c r="C18363" s="1"/>
    </row>
    <row r="18364">
      <c r="C18364" s="1"/>
    </row>
    <row r="18365">
      <c r="C18365" s="1"/>
    </row>
    <row r="18366">
      <c r="C18366" s="1"/>
    </row>
    <row r="18367">
      <c r="C18367" s="1"/>
    </row>
    <row r="18368">
      <c r="C18368" s="1"/>
    </row>
    <row r="18369">
      <c r="C18369" s="1"/>
    </row>
    <row r="18370">
      <c r="C18370" s="1"/>
    </row>
    <row r="18371">
      <c r="C18371" s="1"/>
    </row>
    <row r="18372">
      <c r="C18372" s="1"/>
    </row>
    <row r="18373">
      <c r="C18373" s="1"/>
    </row>
    <row r="18374">
      <c r="C18374" s="1"/>
    </row>
    <row r="18375">
      <c r="C18375" s="1"/>
    </row>
    <row r="18376">
      <c r="C18376" s="1"/>
    </row>
    <row r="18377">
      <c r="C18377" s="1"/>
    </row>
    <row r="18378">
      <c r="C18378" s="1"/>
    </row>
    <row r="18379">
      <c r="C18379" s="1"/>
    </row>
    <row r="18380">
      <c r="C18380" s="1"/>
    </row>
    <row r="18381">
      <c r="C18381" s="1"/>
    </row>
    <row r="18382">
      <c r="C18382" s="1"/>
    </row>
    <row r="18383">
      <c r="C18383" s="1"/>
    </row>
    <row r="18384">
      <c r="C18384" s="1"/>
    </row>
    <row r="18385">
      <c r="C18385" s="1"/>
    </row>
    <row r="18386">
      <c r="C18386" s="1"/>
    </row>
    <row r="18387">
      <c r="C18387" s="1"/>
    </row>
    <row r="18388">
      <c r="C18388" s="1"/>
    </row>
    <row r="18389">
      <c r="C18389" s="1"/>
    </row>
    <row r="18390">
      <c r="C18390" s="1"/>
    </row>
    <row r="18391">
      <c r="C18391" s="1"/>
    </row>
    <row r="18392">
      <c r="C18392" s="1"/>
    </row>
    <row r="18393">
      <c r="C18393" s="1"/>
    </row>
    <row r="18394">
      <c r="C18394" s="1"/>
    </row>
    <row r="18395">
      <c r="C18395" s="1"/>
    </row>
    <row r="18396">
      <c r="C18396" s="1"/>
    </row>
    <row r="18397">
      <c r="C18397" s="1"/>
    </row>
    <row r="18398">
      <c r="C18398" s="1"/>
    </row>
    <row r="18399">
      <c r="C18399" s="1"/>
    </row>
    <row r="18400">
      <c r="C18400" s="1"/>
    </row>
    <row r="18401">
      <c r="C18401" s="1"/>
    </row>
    <row r="18402">
      <c r="C18402" s="1"/>
    </row>
    <row r="18403">
      <c r="C18403" s="1"/>
    </row>
    <row r="18404">
      <c r="C18404" s="1"/>
    </row>
    <row r="18405">
      <c r="C18405" s="1"/>
    </row>
    <row r="18406">
      <c r="C18406" s="1"/>
    </row>
    <row r="18407">
      <c r="C18407" s="1"/>
    </row>
    <row r="18408">
      <c r="C18408" s="1"/>
    </row>
    <row r="18409">
      <c r="C18409" s="1"/>
    </row>
    <row r="18410">
      <c r="C18410" s="1"/>
    </row>
    <row r="18411">
      <c r="C18411" s="1"/>
    </row>
    <row r="18412">
      <c r="C18412" s="1"/>
    </row>
    <row r="18413">
      <c r="C18413" s="1"/>
    </row>
    <row r="18414">
      <c r="C18414" s="1"/>
    </row>
    <row r="18415">
      <c r="C18415" s="1"/>
    </row>
    <row r="18416">
      <c r="C18416" s="1"/>
    </row>
    <row r="18417">
      <c r="C18417" s="1"/>
    </row>
    <row r="18418">
      <c r="C18418" s="1"/>
    </row>
    <row r="18419">
      <c r="C18419" s="1"/>
    </row>
    <row r="18420">
      <c r="C18420" s="1"/>
    </row>
    <row r="18421">
      <c r="C18421" s="1"/>
    </row>
    <row r="18422">
      <c r="C18422" s="1"/>
    </row>
    <row r="18423">
      <c r="C18423" s="1"/>
    </row>
    <row r="18424">
      <c r="C18424" s="1"/>
    </row>
    <row r="18425">
      <c r="C18425" s="1"/>
    </row>
    <row r="18426">
      <c r="C18426" s="1"/>
    </row>
    <row r="18427">
      <c r="C18427" s="1"/>
    </row>
    <row r="18428">
      <c r="C18428" s="1"/>
    </row>
    <row r="18429">
      <c r="C18429" s="1"/>
    </row>
    <row r="18430">
      <c r="C18430" s="1"/>
    </row>
    <row r="18431">
      <c r="C18431" s="1"/>
    </row>
    <row r="18432">
      <c r="C18432" s="1"/>
    </row>
    <row r="18433">
      <c r="C18433" s="1"/>
    </row>
    <row r="18434">
      <c r="C18434" s="1"/>
    </row>
    <row r="18435">
      <c r="C18435" s="1"/>
    </row>
    <row r="18436">
      <c r="C18436" s="1"/>
    </row>
    <row r="18437">
      <c r="C18437" s="1"/>
    </row>
    <row r="18438">
      <c r="C18438" s="1"/>
    </row>
    <row r="18439">
      <c r="C18439" s="1"/>
    </row>
    <row r="18440">
      <c r="C18440" s="1"/>
    </row>
    <row r="18441">
      <c r="C18441" s="1"/>
    </row>
    <row r="18442">
      <c r="C18442" s="1"/>
    </row>
    <row r="18443">
      <c r="C18443" s="1"/>
    </row>
    <row r="18444">
      <c r="C18444" s="1"/>
    </row>
    <row r="18445">
      <c r="C18445" s="1"/>
    </row>
    <row r="18446">
      <c r="C18446" s="1"/>
    </row>
    <row r="18447">
      <c r="C18447" s="1"/>
    </row>
    <row r="18448">
      <c r="C18448" s="1"/>
    </row>
    <row r="18449">
      <c r="C18449" s="1"/>
    </row>
    <row r="18450">
      <c r="C18450" s="1"/>
    </row>
    <row r="18451">
      <c r="C18451" s="1"/>
    </row>
    <row r="18452">
      <c r="C18452" s="1"/>
    </row>
    <row r="18453">
      <c r="C18453" s="1"/>
    </row>
    <row r="18454">
      <c r="C18454" s="1"/>
    </row>
    <row r="18455">
      <c r="C18455" s="1"/>
    </row>
    <row r="18456">
      <c r="C18456" s="1"/>
    </row>
    <row r="18457">
      <c r="C18457" s="1"/>
    </row>
    <row r="18458">
      <c r="C18458" s="1"/>
    </row>
    <row r="18459">
      <c r="C18459" s="1"/>
    </row>
    <row r="18460">
      <c r="C18460" s="1"/>
    </row>
    <row r="18461">
      <c r="C18461" s="1"/>
    </row>
    <row r="18462">
      <c r="C18462" s="1"/>
    </row>
    <row r="18463">
      <c r="C18463" s="1"/>
    </row>
    <row r="18464">
      <c r="C18464" s="1"/>
    </row>
    <row r="18465">
      <c r="C18465" s="1"/>
    </row>
    <row r="18466">
      <c r="C18466" s="1"/>
    </row>
    <row r="18467">
      <c r="C18467" s="1"/>
    </row>
    <row r="18468">
      <c r="C18468" s="1"/>
    </row>
    <row r="18469">
      <c r="C18469" s="1"/>
    </row>
    <row r="18470">
      <c r="C18470" s="1"/>
    </row>
    <row r="18471">
      <c r="C18471" s="1"/>
    </row>
    <row r="18472">
      <c r="C18472" s="1"/>
    </row>
    <row r="18473">
      <c r="C18473" s="1"/>
    </row>
    <row r="18474">
      <c r="C18474" s="1"/>
    </row>
    <row r="18475">
      <c r="C18475" s="1"/>
    </row>
    <row r="18476">
      <c r="C18476" s="1"/>
    </row>
    <row r="18477">
      <c r="C18477" s="1"/>
    </row>
    <row r="18478">
      <c r="C18478" s="1"/>
    </row>
    <row r="18479">
      <c r="C18479" s="1"/>
    </row>
    <row r="18480">
      <c r="C18480" s="1"/>
    </row>
    <row r="18481">
      <c r="C18481" s="1"/>
    </row>
    <row r="18482">
      <c r="C18482" s="1"/>
    </row>
    <row r="18483">
      <c r="C18483" s="1"/>
    </row>
    <row r="18484">
      <c r="C18484" s="1"/>
    </row>
    <row r="18485">
      <c r="C18485" s="1"/>
    </row>
    <row r="18486">
      <c r="C18486" s="1"/>
    </row>
    <row r="18487">
      <c r="C18487" s="1"/>
    </row>
    <row r="18488">
      <c r="C18488" s="1"/>
    </row>
    <row r="18489">
      <c r="C18489" s="1"/>
    </row>
    <row r="18490">
      <c r="C18490" s="1"/>
    </row>
    <row r="18491">
      <c r="C18491" s="1"/>
    </row>
    <row r="18492">
      <c r="C18492" s="1"/>
    </row>
    <row r="18493">
      <c r="C18493" s="1"/>
    </row>
    <row r="18494">
      <c r="C18494" s="1"/>
    </row>
    <row r="18495">
      <c r="C18495" s="1"/>
    </row>
    <row r="18496">
      <c r="C18496" s="1"/>
    </row>
    <row r="18497">
      <c r="C18497" s="1"/>
    </row>
    <row r="18498">
      <c r="C18498" s="1"/>
    </row>
    <row r="18499">
      <c r="C18499" s="1"/>
    </row>
    <row r="18500">
      <c r="C18500" s="1"/>
    </row>
    <row r="18501">
      <c r="C18501" s="1"/>
    </row>
    <row r="18502">
      <c r="C18502" s="1"/>
    </row>
    <row r="18503">
      <c r="C18503" s="1"/>
    </row>
    <row r="18504">
      <c r="C18504" s="1"/>
    </row>
    <row r="18505">
      <c r="C18505" s="1"/>
    </row>
    <row r="18506">
      <c r="C18506" s="1"/>
    </row>
    <row r="18507">
      <c r="C18507" s="1"/>
    </row>
    <row r="18508">
      <c r="C18508" s="1"/>
    </row>
    <row r="18509">
      <c r="C18509" s="1"/>
    </row>
    <row r="18510">
      <c r="C18510" s="1"/>
    </row>
    <row r="18511">
      <c r="C18511" s="1"/>
    </row>
    <row r="18512">
      <c r="C18512" s="1"/>
    </row>
    <row r="18513">
      <c r="C18513" s="1"/>
    </row>
    <row r="18514">
      <c r="C18514" s="1"/>
    </row>
    <row r="18515">
      <c r="C18515" s="1"/>
    </row>
    <row r="18516">
      <c r="C18516" s="1"/>
    </row>
    <row r="18517">
      <c r="C18517" s="1"/>
    </row>
    <row r="18518">
      <c r="C18518" s="1"/>
    </row>
    <row r="18519">
      <c r="C18519" s="1"/>
    </row>
    <row r="18520">
      <c r="C18520" s="1"/>
    </row>
    <row r="18521">
      <c r="C18521" s="1"/>
    </row>
    <row r="18522">
      <c r="C18522" s="1"/>
    </row>
    <row r="18523">
      <c r="C18523" s="1"/>
    </row>
    <row r="18524">
      <c r="C18524" s="1"/>
    </row>
    <row r="18525">
      <c r="C18525" s="1"/>
    </row>
    <row r="18526">
      <c r="C18526" s="1"/>
    </row>
    <row r="18527">
      <c r="C18527" s="1"/>
    </row>
    <row r="18528">
      <c r="C18528" s="1"/>
    </row>
    <row r="18529">
      <c r="C18529" s="1"/>
    </row>
    <row r="18530">
      <c r="C18530" s="1"/>
    </row>
    <row r="18531">
      <c r="C18531" s="1"/>
    </row>
    <row r="18532">
      <c r="C18532" s="1"/>
    </row>
    <row r="18533">
      <c r="C18533" s="1"/>
    </row>
    <row r="18534">
      <c r="C18534" s="1"/>
    </row>
    <row r="18535">
      <c r="C18535" s="1"/>
    </row>
    <row r="18536">
      <c r="C18536" s="1"/>
    </row>
    <row r="18537">
      <c r="C18537" s="1"/>
    </row>
    <row r="18538">
      <c r="C18538" s="1"/>
    </row>
    <row r="18539">
      <c r="C18539" s="1"/>
    </row>
    <row r="18540">
      <c r="C18540" s="1"/>
    </row>
    <row r="18541">
      <c r="C18541" s="1"/>
    </row>
    <row r="18542">
      <c r="C18542" s="1"/>
    </row>
    <row r="18543">
      <c r="C18543" s="1"/>
    </row>
    <row r="18544">
      <c r="C18544" s="1"/>
    </row>
    <row r="18545">
      <c r="C18545" s="1"/>
    </row>
    <row r="18546">
      <c r="C18546" s="1"/>
    </row>
    <row r="18547">
      <c r="C18547" s="1"/>
    </row>
    <row r="18548">
      <c r="C18548" s="1"/>
    </row>
    <row r="18549">
      <c r="C18549" s="1"/>
    </row>
    <row r="18550">
      <c r="C18550" s="1"/>
    </row>
    <row r="18551">
      <c r="C18551" s="1"/>
    </row>
    <row r="18552">
      <c r="C18552" s="1"/>
    </row>
    <row r="18553">
      <c r="C18553" s="1"/>
    </row>
    <row r="18554">
      <c r="C18554" s="1"/>
    </row>
    <row r="18555">
      <c r="C18555" s="1"/>
    </row>
    <row r="18556">
      <c r="C18556" s="1"/>
    </row>
    <row r="18557">
      <c r="C18557" s="1"/>
    </row>
    <row r="18558">
      <c r="C18558" s="1"/>
    </row>
    <row r="18559">
      <c r="C18559" s="1"/>
    </row>
    <row r="18560">
      <c r="C18560" s="1"/>
    </row>
    <row r="18561">
      <c r="C18561" s="1"/>
    </row>
    <row r="18562">
      <c r="C18562" s="1"/>
    </row>
    <row r="18563">
      <c r="C18563" s="1"/>
    </row>
    <row r="18564">
      <c r="C18564" s="1"/>
    </row>
    <row r="18565">
      <c r="C18565" s="1"/>
    </row>
    <row r="18566">
      <c r="C18566" s="1"/>
    </row>
    <row r="18567">
      <c r="C18567" s="1"/>
    </row>
    <row r="18568">
      <c r="C18568" s="1"/>
    </row>
    <row r="18569">
      <c r="C18569" s="1"/>
    </row>
    <row r="18570">
      <c r="C18570" s="1"/>
    </row>
    <row r="18571">
      <c r="C18571" s="1"/>
    </row>
    <row r="18572">
      <c r="C18572" s="1"/>
    </row>
    <row r="18573">
      <c r="C18573" s="1"/>
    </row>
    <row r="18574">
      <c r="C18574" s="1"/>
    </row>
    <row r="18575">
      <c r="C18575" s="1"/>
    </row>
    <row r="18576">
      <c r="C18576" s="1"/>
    </row>
    <row r="18577">
      <c r="C18577" s="1"/>
    </row>
    <row r="18578">
      <c r="C18578" s="1"/>
    </row>
    <row r="18579">
      <c r="C18579" s="1"/>
    </row>
    <row r="18580">
      <c r="C18580" s="1"/>
    </row>
    <row r="18581">
      <c r="C18581" s="1"/>
    </row>
    <row r="18582">
      <c r="C18582" s="1"/>
    </row>
    <row r="18583">
      <c r="C18583" s="1"/>
    </row>
    <row r="18584">
      <c r="C18584" s="1"/>
    </row>
    <row r="18585">
      <c r="C18585" s="1"/>
    </row>
    <row r="18586">
      <c r="C18586" s="1"/>
    </row>
    <row r="18587">
      <c r="C18587" s="1"/>
    </row>
    <row r="18588">
      <c r="C18588" s="1"/>
    </row>
    <row r="18589">
      <c r="C18589" s="1"/>
    </row>
    <row r="18590">
      <c r="C18590" s="1"/>
    </row>
    <row r="18591">
      <c r="C18591" s="1"/>
    </row>
    <row r="18592">
      <c r="C18592" s="1"/>
    </row>
    <row r="18593">
      <c r="C18593" s="1"/>
    </row>
    <row r="18594">
      <c r="C18594" s="1"/>
    </row>
    <row r="18595">
      <c r="C18595" s="1"/>
    </row>
    <row r="18596">
      <c r="C18596" s="1"/>
    </row>
    <row r="18597">
      <c r="C18597" s="1"/>
    </row>
    <row r="18598">
      <c r="C18598" s="1"/>
    </row>
    <row r="18599">
      <c r="C18599" s="1"/>
    </row>
    <row r="18600">
      <c r="C18600" s="1"/>
    </row>
    <row r="18601">
      <c r="C18601" s="1"/>
    </row>
    <row r="18602">
      <c r="C18602" s="1"/>
    </row>
    <row r="18603">
      <c r="C18603" s="1"/>
    </row>
    <row r="18604">
      <c r="C18604" s="1"/>
    </row>
    <row r="18605">
      <c r="C18605" s="1"/>
    </row>
    <row r="18606">
      <c r="C18606" s="1"/>
    </row>
    <row r="18607">
      <c r="C18607" s="1"/>
    </row>
    <row r="18608">
      <c r="C18608" s="1"/>
    </row>
    <row r="18609">
      <c r="C18609" s="1"/>
    </row>
    <row r="18610">
      <c r="C18610" s="1"/>
    </row>
    <row r="18611">
      <c r="C18611" s="1"/>
    </row>
    <row r="18612">
      <c r="C18612" s="1"/>
    </row>
    <row r="18613">
      <c r="C18613" s="1"/>
    </row>
    <row r="18614">
      <c r="C18614" s="1"/>
    </row>
    <row r="18615">
      <c r="C18615" s="1"/>
    </row>
    <row r="18616">
      <c r="C18616" s="1"/>
    </row>
    <row r="18617">
      <c r="C18617" s="1"/>
    </row>
    <row r="18618">
      <c r="C18618" s="1"/>
    </row>
    <row r="18619">
      <c r="C18619" s="1"/>
    </row>
    <row r="18620">
      <c r="C18620" s="1"/>
    </row>
    <row r="18621">
      <c r="C18621" s="1"/>
    </row>
    <row r="18622">
      <c r="C18622" s="1"/>
    </row>
    <row r="18623">
      <c r="C18623" s="1"/>
    </row>
    <row r="18624">
      <c r="C18624" s="1"/>
    </row>
    <row r="18625">
      <c r="C18625" s="1"/>
    </row>
    <row r="18626">
      <c r="C18626" s="1"/>
    </row>
    <row r="18627">
      <c r="C18627" s="1"/>
    </row>
    <row r="18628">
      <c r="C18628" s="1"/>
    </row>
    <row r="18629">
      <c r="C18629" s="1"/>
    </row>
    <row r="18630">
      <c r="C18630" s="1"/>
    </row>
    <row r="18631">
      <c r="C18631" s="1"/>
    </row>
    <row r="18632">
      <c r="C18632" s="1"/>
    </row>
    <row r="18633">
      <c r="C18633" s="1"/>
    </row>
    <row r="18634">
      <c r="C18634" s="1"/>
    </row>
    <row r="18635">
      <c r="C18635" s="1"/>
    </row>
    <row r="18636">
      <c r="C18636" s="1"/>
    </row>
    <row r="18637">
      <c r="C18637" s="1"/>
    </row>
    <row r="18638">
      <c r="C18638" s="1"/>
    </row>
    <row r="18639">
      <c r="C18639" s="1"/>
    </row>
    <row r="18640">
      <c r="C18640" s="1"/>
    </row>
    <row r="18641">
      <c r="C18641" s="1"/>
    </row>
    <row r="18642">
      <c r="C18642" s="1"/>
    </row>
    <row r="18643">
      <c r="C18643" s="1"/>
    </row>
    <row r="18644">
      <c r="C18644" s="1"/>
    </row>
    <row r="18645">
      <c r="C18645" s="1"/>
    </row>
    <row r="18646">
      <c r="C18646" s="1"/>
    </row>
    <row r="18647">
      <c r="C18647" s="1"/>
    </row>
    <row r="18648">
      <c r="C18648" s="1"/>
    </row>
    <row r="18649">
      <c r="C18649" s="1"/>
    </row>
    <row r="18650">
      <c r="C18650" s="1"/>
    </row>
    <row r="18651">
      <c r="C18651" s="1"/>
    </row>
    <row r="18652">
      <c r="C18652" s="1"/>
    </row>
    <row r="18653">
      <c r="C18653" s="1"/>
    </row>
    <row r="18654">
      <c r="C18654" s="1"/>
    </row>
    <row r="18655">
      <c r="C18655" s="1"/>
    </row>
    <row r="18656">
      <c r="C18656" s="1"/>
    </row>
    <row r="18657">
      <c r="C18657" s="1"/>
    </row>
    <row r="18658">
      <c r="C18658" s="1"/>
    </row>
    <row r="18659">
      <c r="C18659" s="1"/>
    </row>
    <row r="18660">
      <c r="C18660" s="1"/>
    </row>
    <row r="18661">
      <c r="C18661" s="1"/>
    </row>
    <row r="18662">
      <c r="C18662" s="1"/>
    </row>
    <row r="18663">
      <c r="C18663" s="1"/>
    </row>
    <row r="18664">
      <c r="C18664" s="1"/>
    </row>
    <row r="18665">
      <c r="C18665" s="1"/>
    </row>
    <row r="18666">
      <c r="C18666" s="1"/>
    </row>
    <row r="18667">
      <c r="C18667" s="1"/>
    </row>
    <row r="18668">
      <c r="C18668" s="1"/>
    </row>
    <row r="18669">
      <c r="C18669" s="1"/>
    </row>
    <row r="18670">
      <c r="C18670" s="1"/>
    </row>
    <row r="18671">
      <c r="C18671" s="1"/>
    </row>
    <row r="18672">
      <c r="C18672" s="1"/>
    </row>
    <row r="18673">
      <c r="C18673" s="1"/>
    </row>
    <row r="18674">
      <c r="C18674" s="1"/>
    </row>
    <row r="18675">
      <c r="C18675" s="1"/>
    </row>
    <row r="18676">
      <c r="C18676" s="1"/>
    </row>
    <row r="18677">
      <c r="C18677" s="1"/>
    </row>
    <row r="18678">
      <c r="C18678" s="1"/>
    </row>
    <row r="18679">
      <c r="C18679" s="1"/>
    </row>
    <row r="18680">
      <c r="C18680" s="1"/>
    </row>
    <row r="18681">
      <c r="C18681" s="1"/>
    </row>
    <row r="18682">
      <c r="C18682" s="1"/>
    </row>
    <row r="18683">
      <c r="C18683" s="1"/>
    </row>
    <row r="18684">
      <c r="C18684" s="1"/>
    </row>
    <row r="18685">
      <c r="C18685" s="1"/>
    </row>
    <row r="18686">
      <c r="C18686" s="1"/>
    </row>
    <row r="18687">
      <c r="C18687" s="1"/>
    </row>
    <row r="18688">
      <c r="C18688" s="1"/>
    </row>
    <row r="18689">
      <c r="C18689" s="1"/>
    </row>
    <row r="18690">
      <c r="C18690" s="1"/>
    </row>
    <row r="18691">
      <c r="C18691" s="1"/>
    </row>
    <row r="18692">
      <c r="C18692" s="1"/>
    </row>
    <row r="18693">
      <c r="C18693" s="1"/>
    </row>
    <row r="18694">
      <c r="C18694" s="1"/>
    </row>
    <row r="18695">
      <c r="C18695" s="1"/>
    </row>
    <row r="18696">
      <c r="C18696" s="1"/>
    </row>
    <row r="18697">
      <c r="C18697" s="1"/>
    </row>
    <row r="18698">
      <c r="C18698" s="1"/>
    </row>
    <row r="18699">
      <c r="C18699" s="1"/>
    </row>
    <row r="18700">
      <c r="C18700" s="1"/>
    </row>
    <row r="18701">
      <c r="C18701" s="1"/>
    </row>
    <row r="18702">
      <c r="C18702" s="1"/>
    </row>
    <row r="18703">
      <c r="C18703" s="1"/>
    </row>
    <row r="18704">
      <c r="C18704" s="1"/>
    </row>
    <row r="18705">
      <c r="C18705" s="1"/>
    </row>
    <row r="18706">
      <c r="C18706" s="1"/>
    </row>
    <row r="18707">
      <c r="C18707" s="1"/>
    </row>
    <row r="18708">
      <c r="C18708" s="1"/>
    </row>
    <row r="18709">
      <c r="C18709" s="1"/>
    </row>
    <row r="18710">
      <c r="C18710" s="1"/>
    </row>
    <row r="18711">
      <c r="C18711" s="1"/>
    </row>
    <row r="18712">
      <c r="C18712" s="1"/>
    </row>
    <row r="18713">
      <c r="C18713" s="1"/>
    </row>
    <row r="18714">
      <c r="C18714" s="1"/>
    </row>
    <row r="18715">
      <c r="C18715" s="1"/>
    </row>
    <row r="18716">
      <c r="C18716" s="1"/>
    </row>
    <row r="18717">
      <c r="C18717" s="1"/>
    </row>
    <row r="18718">
      <c r="C18718" s="1"/>
    </row>
    <row r="18719">
      <c r="C18719" s="1"/>
    </row>
    <row r="18720">
      <c r="C18720" s="1"/>
    </row>
    <row r="18721">
      <c r="C18721" s="1"/>
    </row>
    <row r="18722">
      <c r="C18722" s="1"/>
    </row>
    <row r="18723">
      <c r="C18723" s="1"/>
    </row>
    <row r="18724">
      <c r="C18724" s="1"/>
    </row>
    <row r="18725">
      <c r="C18725" s="1"/>
    </row>
    <row r="18726">
      <c r="C18726" s="1"/>
    </row>
    <row r="18727">
      <c r="C18727" s="1"/>
    </row>
    <row r="18728">
      <c r="C18728" s="1"/>
    </row>
    <row r="18729">
      <c r="C18729" s="1"/>
    </row>
    <row r="18730">
      <c r="C18730" s="1"/>
    </row>
    <row r="18731">
      <c r="C18731" s="1"/>
    </row>
    <row r="18732">
      <c r="C18732" s="1"/>
    </row>
    <row r="18733">
      <c r="C18733" s="1"/>
    </row>
    <row r="18734">
      <c r="C18734" s="1"/>
    </row>
    <row r="18735">
      <c r="C18735" s="1"/>
    </row>
    <row r="18736">
      <c r="C18736" s="1"/>
    </row>
    <row r="18737">
      <c r="C18737" s="1"/>
    </row>
    <row r="18738">
      <c r="C18738" s="1"/>
    </row>
    <row r="18739">
      <c r="C18739" s="1"/>
    </row>
    <row r="18740">
      <c r="C18740" s="1"/>
    </row>
    <row r="18741">
      <c r="C18741" s="1"/>
    </row>
    <row r="18742">
      <c r="C18742" s="1"/>
    </row>
    <row r="18743">
      <c r="C18743" s="1"/>
    </row>
    <row r="18744">
      <c r="C18744" s="1"/>
    </row>
    <row r="18745">
      <c r="C18745" s="1"/>
    </row>
    <row r="18746">
      <c r="C18746" s="1"/>
    </row>
    <row r="18747">
      <c r="C18747" s="1"/>
    </row>
    <row r="18748">
      <c r="C18748" s="1"/>
    </row>
    <row r="18749">
      <c r="C18749" s="1"/>
    </row>
    <row r="18750">
      <c r="C18750" s="1"/>
    </row>
    <row r="18751">
      <c r="C18751" s="1"/>
    </row>
    <row r="18752">
      <c r="C18752" s="1"/>
    </row>
    <row r="18753">
      <c r="C18753" s="1"/>
    </row>
    <row r="18754">
      <c r="C18754" s="1"/>
    </row>
    <row r="18755">
      <c r="C18755" s="1"/>
    </row>
    <row r="18756">
      <c r="C18756" s="1"/>
    </row>
    <row r="18757">
      <c r="C18757" s="1"/>
    </row>
    <row r="18758">
      <c r="C18758" s="1"/>
    </row>
    <row r="18759">
      <c r="C18759" s="1"/>
    </row>
    <row r="18760">
      <c r="C18760" s="1"/>
    </row>
    <row r="18761">
      <c r="C18761" s="1"/>
    </row>
    <row r="18762">
      <c r="C18762" s="1"/>
    </row>
    <row r="18763">
      <c r="C18763" s="1"/>
    </row>
    <row r="18764">
      <c r="C18764" s="1"/>
    </row>
    <row r="18765">
      <c r="C18765" s="1"/>
    </row>
    <row r="18766">
      <c r="C18766" s="1"/>
    </row>
    <row r="18767">
      <c r="C18767" s="1"/>
    </row>
    <row r="18768">
      <c r="C18768" s="1"/>
    </row>
    <row r="18769">
      <c r="C18769" s="1"/>
    </row>
    <row r="18770">
      <c r="C18770" s="1"/>
    </row>
    <row r="18771">
      <c r="C18771" s="1"/>
    </row>
    <row r="18772">
      <c r="C18772" s="1"/>
    </row>
    <row r="18773">
      <c r="C18773" s="1"/>
    </row>
    <row r="18774">
      <c r="C18774" s="1"/>
    </row>
    <row r="18775">
      <c r="C18775" s="1"/>
    </row>
    <row r="18776">
      <c r="C18776" s="1"/>
    </row>
    <row r="18777">
      <c r="C18777" s="1"/>
    </row>
    <row r="18778">
      <c r="C18778" s="1"/>
    </row>
    <row r="18779">
      <c r="C18779" s="1"/>
    </row>
    <row r="18780">
      <c r="C18780" s="1"/>
    </row>
    <row r="18781">
      <c r="C18781" s="1"/>
    </row>
    <row r="18782">
      <c r="C18782" s="1"/>
    </row>
    <row r="18783">
      <c r="C18783" s="1"/>
    </row>
    <row r="18784">
      <c r="C18784" s="1"/>
    </row>
    <row r="18785">
      <c r="C18785" s="1"/>
    </row>
    <row r="18786">
      <c r="C18786" s="1"/>
    </row>
    <row r="18787">
      <c r="C18787" s="1"/>
    </row>
    <row r="18788">
      <c r="C18788" s="1"/>
    </row>
    <row r="18789">
      <c r="C18789" s="1"/>
    </row>
    <row r="18790">
      <c r="C18790" s="1"/>
    </row>
    <row r="18791">
      <c r="C18791" s="1"/>
    </row>
    <row r="18792">
      <c r="C18792" s="1"/>
    </row>
    <row r="18793">
      <c r="C18793" s="1"/>
    </row>
    <row r="18794">
      <c r="C18794" s="1"/>
    </row>
    <row r="18795">
      <c r="C18795" s="1"/>
    </row>
    <row r="18796">
      <c r="C18796" s="1"/>
    </row>
    <row r="18797">
      <c r="C18797" s="1"/>
    </row>
    <row r="18798">
      <c r="C18798" s="1"/>
    </row>
    <row r="18799">
      <c r="C18799" s="1"/>
    </row>
    <row r="18800">
      <c r="C18800" s="1"/>
    </row>
    <row r="18801">
      <c r="C18801" s="1"/>
    </row>
    <row r="18802">
      <c r="C18802" s="1"/>
    </row>
    <row r="18803">
      <c r="C18803" s="1"/>
    </row>
    <row r="18804">
      <c r="C18804" s="1"/>
    </row>
    <row r="18805">
      <c r="C18805" s="1"/>
    </row>
    <row r="18806">
      <c r="C18806" s="1"/>
    </row>
    <row r="18807">
      <c r="C18807" s="1"/>
    </row>
    <row r="18808">
      <c r="C18808" s="1"/>
    </row>
    <row r="18809">
      <c r="C18809" s="1"/>
    </row>
    <row r="18810">
      <c r="C18810" s="1"/>
    </row>
    <row r="18811">
      <c r="C18811" s="1"/>
    </row>
    <row r="18812">
      <c r="C18812" s="1"/>
    </row>
    <row r="18813">
      <c r="C18813" s="1"/>
    </row>
    <row r="18814">
      <c r="C18814" s="1"/>
    </row>
    <row r="18815">
      <c r="C18815" s="1"/>
    </row>
    <row r="18816">
      <c r="C18816" s="1"/>
    </row>
    <row r="18817">
      <c r="C18817" s="1"/>
    </row>
    <row r="18818">
      <c r="C18818" s="1"/>
    </row>
    <row r="18819">
      <c r="C18819" s="1"/>
    </row>
    <row r="18820">
      <c r="C18820" s="1"/>
    </row>
    <row r="18821">
      <c r="C18821" s="1"/>
    </row>
    <row r="18822">
      <c r="C18822" s="1"/>
    </row>
    <row r="18823">
      <c r="C18823" s="1"/>
    </row>
    <row r="18824">
      <c r="C18824" s="1"/>
    </row>
    <row r="18825">
      <c r="C18825" s="1"/>
    </row>
    <row r="18826">
      <c r="C18826" s="1"/>
    </row>
    <row r="18827">
      <c r="C18827" s="1"/>
    </row>
    <row r="18828">
      <c r="C18828" s="1"/>
    </row>
    <row r="18829">
      <c r="C18829" s="1"/>
    </row>
    <row r="18830">
      <c r="C18830" s="1"/>
    </row>
    <row r="18831">
      <c r="C18831" s="1"/>
    </row>
    <row r="18832">
      <c r="C18832" s="1"/>
    </row>
    <row r="18833">
      <c r="C18833" s="1"/>
    </row>
    <row r="18834">
      <c r="C18834" s="1"/>
    </row>
    <row r="18835">
      <c r="C18835" s="1"/>
    </row>
    <row r="18836">
      <c r="C18836" s="1"/>
    </row>
    <row r="18837">
      <c r="C18837" s="1"/>
    </row>
    <row r="18838">
      <c r="C18838" s="1"/>
    </row>
    <row r="18839">
      <c r="C18839" s="1"/>
    </row>
    <row r="18840">
      <c r="C18840" s="1"/>
    </row>
    <row r="18841">
      <c r="C18841" s="1"/>
    </row>
    <row r="18842">
      <c r="C18842" s="1"/>
    </row>
    <row r="18843">
      <c r="C18843" s="1"/>
    </row>
    <row r="18844">
      <c r="C18844" s="1"/>
    </row>
    <row r="18845">
      <c r="C18845" s="1"/>
    </row>
    <row r="18846">
      <c r="C18846" s="1"/>
    </row>
    <row r="18847">
      <c r="C18847" s="1"/>
    </row>
    <row r="18848">
      <c r="C18848" s="1"/>
    </row>
    <row r="18849">
      <c r="C18849" s="1"/>
    </row>
    <row r="18850">
      <c r="C18850" s="1"/>
    </row>
    <row r="18851">
      <c r="C18851" s="1"/>
    </row>
    <row r="18852">
      <c r="C18852" s="1"/>
    </row>
    <row r="18853">
      <c r="C18853" s="1"/>
    </row>
    <row r="18854">
      <c r="C18854" s="1"/>
    </row>
    <row r="18855">
      <c r="C18855" s="1"/>
    </row>
    <row r="18856">
      <c r="C18856" s="1"/>
    </row>
    <row r="18857">
      <c r="C18857" s="1"/>
    </row>
    <row r="18858">
      <c r="C18858" s="1"/>
    </row>
    <row r="18859">
      <c r="C18859" s="1"/>
    </row>
    <row r="18860">
      <c r="C18860" s="1"/>
    </row>
    <row r="18861">
      <c r="C18861" s="1"/>
    </row>
    <row r="18862">
      <c r="C18862" s="1"/>
    </row>
    <row r="18863">
      <c r="C18863" s="1"/>
    </row>
    <row r="18864">
      <c r="C18864" s="1"/>
    </row>
    <row r="18865">
      <c r="C18865" s="1"/>
    </row>
    <row r="18866">
      <c r="C18866" s="1"/>
    </row>
    <row r="18867">
      <c r="C18867" s="1"/>
    </row>
    <row r="18868">
      <c r="C18868" s="1"/>
    </row>
    <row r="18869">
      <c r="C18869" s="1"/>
    </row>
    <row r="18870">
      <c r="C18870" s="1"/>
    </row>
    <row r="18871">
      <c r="C18871" s="1"/>
    </row>
    <row r="18872">
      <c r="C18872" s="1"/>
    </row>
    <row r="18873">
      <c r="C18873" s="1"/>
    </row>
    <row r="18874">
      <c r="C18874" s="1"/>
    </row>
    <row r="18875">
      <c r="C18875" s="1"/>
    </row>
    <row r="18876">
      <c r="C18876" s="1"/>
    </row>
    <row r="18877">
      <c r="C18877" s="1"/>
    </row>
    <row r="18878">
      <c r="C18878" s="1"/>
    </row>
    <row r="18879">
      <c r="C18879" s="1"/>
    </row>
    <row r="18880">
      <c r="C18880" s="1"/>
    </row>
    <row r="18881">
      <c r="C18881" s="1"/>
    </row>
    <row r="18882">
      <c r="C18882" s="1"/>
    </row>
    <row r="18883">
      <c r="C18883" s="1"/>
    </row>
    <row r="18884">
      <c r="C18884" s="1"/>
    </row>
    <row r="18885">
      <c r="C18885" s="1"/>
    </row>
    <row r="18886">
      <c r="C18886" s="1"/>
    </row>
    <row r="18887">
      <c r="C18887" s="1"/>
    </row>
    <row r="18888">
      <c r="C18888" s="1"/>
    </row>
    <row r="18889">
      <c r="C18889" s="1"/>
    </row>
    <row r="18890">
      <c r="C18890" s="1"/>
    </row>
    <row r="18891">
      <c r="C18891" s="1"/>
    </row>
    <row r="18892">
      <c r="C18892" s="1"/>
    </row>
    <row r="18893">
      <c r="C18893" s="1"/>
    </row>
    <row r="18894">
      <c r="C18894" s="1"/>
    </row>
    <row r="18895">
      <c r="C18895" s="1"/>
    </row>
    <row r="18896">
      <c r="C18896" s="1"/>
    </row>
    <row r="18897">
      <c r="C18897" s="1"/>
    </row>
    <row r="18898">
      <c r="C18898" s="1"/>
    </row>
    <row r="18899">
      <c r="C18899" s="1"/>
    </row>
    <row r="18900">
      <c r="C18900" s="1"/>
    </row>
    <row r="18901">
      <c r="C18901" s="1"/>
    </row>
    <row r="18902">
      <c r="C18902" s="1"/>
    </row>
    <row r="18903">
      <c r="C18903" s="1"/>
    </row>
    <row r="18904">
      <c r="C18904" s="1"/>
    </row>
    <row r="18905">
      <c r="C18905" s="1"/>
    </row>
    <row r="18906">
      <c r="C18906" s="1"/>
    </row>
    <row r="18907">
      <c r="C18907" s="1"/>
    </row>
    <row r="18908">
      <c r="C18908" s="1"/>
    </row>
    <row r="18909">
      <c r="C18909" s="1"/>
    </row>
    <row r="18910">
      <c r="C18910" s="1"/>
    </row>
    <row r="18911">
      <c r="C18911" s="1"/>
    </row>
    <row r="18912">
      <c r="C18912" s="1"/>
    </row>
    <row r="18913">
      <c r="C18913" s="1"/>
    </row>
    <row r="18914">
      <c r="C18914" s="1"/>
    </row>
    <row r="18915">
      <c r="C18915" s="1"/>
    </row>
    <row r="18916">
      <c r="C18916" s="1"/>
    </row>
    <row r="18917">
      <c r="C18917" s="1"/>
    </row>
    <row r="18918">
      <c r="C18918" s="1"/>
    </row>
    <row r="18919">
      <c r="C18919" s="1"/>
    </row>
    <row r="18920">
      <c r="C18920" s="1"/>
    </row>
    <row r="18921">
      <c r="C18921" s="1"/>
    </row>
    <row r="18922">
      <c r="C18922" s="1"/>
    </row>
    <row r="18923">
      <c r="C18923" s="1"/>
    </row>
    <row r="18924">
      <c r="C18924" s="1"/>
    </row>
    <row r="18925">
      <c r="C18925" s="1"/>
    </row>
    <row r="18926">
      <c r="C18926" s="1"/>
    </row>
    <row r="18927">
      <c r="C18927" s="1"/>
    </row>
    <row r="18928">
      <c r="C18928" s="1"/>
    </row>
    <row r="18929">
      <c r="C18929" s="1"/>
    </row>
    <row r="18930">
      <c r="C18930" s="1"/>
    </row>
    <row r="18931">
      <c r="C18931" s="1"/>
    </row>
    <row r="18932">
      <c r="C18932" s="1"/>
    </row>
    <row r="18933">
      <c r="C18933" s="1"/>
    </row>
    <row r="18934">
      <c r="C18934" s="1"/>
    </row>
    <row r="18935">
      <c r="C18935" s="1"/>
    </row>
    <row r="18936">
      <c r="C18936" s="1"/>
    </row>
    <row r="18937">
      <c r="C18937" s="1"/>
    </row>
    <row r="18938">
      <c r="C18938" s="1"/>
    </row>
    <row r="18939">
      <c r="C18939" s="1"/>
    </row>
    <row r="18940">
      <c r="C18940" s="1"/>
    </row>
    <row r="18941">
      <c r="C18941" s="1"/>
    </row>
    <row r="18942">
      <c r="C18942" s="1"/>
    </row>
    <row r="18943">
      <c r="C18943" s="1"/>
    </row>
    <row r="18944">
      <c r="C18944" s="1"/>
    </row>
    <row r="18945">
      <c r="C18945" s="1"/>
    </row>
    <row r="18946">
      <c r="C18946" s="1"/>
    </row>
    <row r="18947">
      <c r="C18947" s="1"/>
    </row>
    <row r="18948">
      <c r="C18948" s="1"/>
    </row>
    <row r="18949">
      <c r="C18949" s="1"/>
    </row>
    <row r="18950">
      <c r="C18950" s="1"/>
    </row>
    <row r="18951">
      <c r="C18951" s="1"/>
    </row>
    <row r="18952">
      <c r="C18952" s="1"/>
    </row>
    <row r="18953">
      <c r="C18953" s="1"/>
    </row>
    <row r="18954">
      <c r="C18954" s="1"/>
    </row>
    <row r="18955">
      <c r="C18955" s="1"/>
    </row>
    <row r="18956">
      <c r="C18956" s="1"/>
    </row>
    <row r="18957">
      <c r="C18957" s="1"/>
    </row>
    <row r="18958">
      <c r="C18958" s="1"/>
    </row>
    <row r="18959">
      <c r="C18959" s="1"/>
    </row>
    <row r="18960">
      <c r="C18960" s="1"/>
    </row>
    <row r="18961">
      <c r="C18961" s="1"/>
    </row>
    <row r="18962">
      <c r="C18962" s="1"/>
    </row>
    <row r="18963">
      <c r="C18963" s="1"/>
    </row>
    <row r="18964">
      <c r="C18964" s="1"/>
    </row>
    <row r="18965">
      <c r="C18965" s="1"/>
    </row>
    <row r="18966">
      <c r="C18966" s="1"/>
    </row>
    <row r="18967">
      <c r="C18967" s="1"/>
    </row>
    <row r="18968">
      <c r="C18968" s="1"/>
    </row>
    <row r="18969">
      <c r="C18969" s="1"/>
    </row>
    <row r="18970">
      <c r="C18970" s="1"/>
    </row>
    <row r="18971">
      <c r="C18971" s="1"/>
    </row>
    <row r="18972">
      <c r="C18972" s="1"/>
    </row>
    <row r="18973">
      <c r="C18973" s="1"/>
    </row>
    <row r="18974">
      <c r="C18974" s="1"/>
    </row>
    <row r="18975">
      <c r="C18975" s="1"/>
    </row>
    <row r="18976">
      <c r="C18976" s="1"/>
    </row>
    <row r="18977">
      <c r="C18977" s="1"/>
    </row>
    <row r="18978">
      <c r="C18978" s="1"/>
    </row>
    <row r="18979">
      <c r="C18979" s="1"/>
    </row>
    <row r="18980">
      <c r="C18980" s="1"/>
    </row>
    <row r="18981">
      <c r="C18981" s="1"/>
    </row>
    <row r="18982">
      <c r="C18982" s="1"/>
    </row>
    <row r="18983">
      <c r="C18983" s="1"/>
    </row>
    <row r="18984">
      <c r="C18984" s="1"/>
    </row>
    <row r="18985">
      <c r="C18985" s="1"/>
    </row>
    <row r="18986">
      <c r="C18986" s="1"/>
    </row>
    <row r="18987">
      <c r="C18987" s="1"/>
    </row>
    <row r="18988">
      <c r="C18988" s="1"/>
    </row>
    <row r="18989">
      <c r="C18989" s="1"/>
    </row>
    <row r="18990">
      <c r="C18990" s="1"/>
    </row>
    <row r="18991">
      <c r="C18991" s="1"/>
    </row>
    <row r="18992">
      <c r="C18992" s="1"/>
    </row>
    <row r="18993">
      <c r="C18993" s="1"/>
    </row>
    <row r="18994">
      <c r="C18994" s="1"/>
    </row>
    <row r="18995">
      <c r="C18995" s="1"/>
    </row>
    <row r="18996">
      <c r="C18996" s="1"/>
    </row>
    <row r="18997">
      <c r="C18997" s="1"/>
    </row>
    <row r="18998">
      <c r="C18998" s="1"/>
    </row>
    <row r="18999">
      <c r="C18999" s="1"/>
    </row>
    <row r="19000">
      <c r="C19000" s="1"/>
    </row>
    <row r="19001">
      <c r="C19001" s="1"/>
    </row>
    <row r="19002">
      <c r="C19002" s="1"/>
    </row>
    <row r="19003">
      <c r="C19003" s="1"/>
    </row>
    <row r="19004">
      <c r="C19004" s="1"/>
    </row>
    <row r="19005">
      <c r="C19005" s="1"/>
    </row>
    <row r="19006">
      <c r="C19006" s="1"/>
    </row>
    <row r="19007">
      <c r="C19007" s="1"/>
    </row>
    <row r="19008">
      <c r="C19008" s="1"/>
    </row>
    <row r="19009">
      <c r="C19009" s="1"/>
    </row>
    <row r="19010">
      <c r="C19010" s="1"/>
    </row>
    <row r="19011">
      <c r="C19011" s="1"/>
    </row>
    <row r="19012">
      <c r="C19012" s="1"/>
    </row>
    <row r="19013">
      <c r="C19013" s="1"/>
    </row>
    <row r="19014">
      <c r="C19014" s="1"/>
    </row>
    <row r="19015">
      <c r="C19015" s="1"/>
    </row>
    <row r="19016">
      <c r="C19016" s="1"/>
    </row>
    <row r="19017">
      <c r="C19017" s="1"/>
    </row>
    <row r="19018">
      <c r="C19018" s="1"/>
    </row>
    <row r="19019">
      <c r="C19019" s="1"/>
    </row>
    <row r="19020">
      <c r="C19020" s="1"/>
    </row>
    <row r="19021">
      <c r="C19021" s="1"/>
    </row>
    <row r="19022">
      <c r="C19022" s="1"/>
    </row>
    <row r="19023">
      <c r="C19023" s="1"/>
    </row>
    <row r="19024">
      <c r="C19024" s="1"/>
    </row>
    <row r="19025">
      <c r="C19025" s="1"/>
    </row>
    <row r="19026">
      <c r="C19026" s="1"/>
    </row>
    <row r="19027">
      <c r="C19027" s="1"/>
    </row>
    <row r="19028">
      <c r="C19028" s="1"/>
    </row>
    <row r="19029">
      <c r="C19029" s="1"/>
    </row>
    <row r="19030">
      <c r="C19030" s="1"/>
    </row>
    <row r="19031">
      <c r="C19031" s="1"/>
    </row>
    <row r="19032">
      <c r="C19032" s="1"/>
    </row>
    <row r="19033">
      <c r="C19033" s="1"/>
    </row>
    <row r="19034">
      <c r="C19034" s="1"/>
    </row>
    <row r="19035">
      <c r="C19035" s="1"/>
    </row>
    <row r="19036">
      <c r="C19036" s="1"/>
    </row>
    <row r="19037">
      <c r="C19037" s="1"/>
    </row>
    <row r="19038">
      <c r="C19038" s="1"/>
    </row>
    <row r="19039">
      <c r="C19039" s="1"/>
    </row>
    <row r="19040">
      <c r="C19040" s="1"/>
    </row>
    <row r="19041">
      <c r="C19041" s="1"/>
    </row>
    <row r="19042">
      <c r="C19042" s="1"/>
    </row>
    <row r="19043">
      <c r="C19043" s="1"/>
    </row>
    <row r="19044">
      <c r="C19044" s="1"/>
    </row>
    <row r="19045">
      <c r="C19045" s="1"/>
    </row>
    <row r="19046">
      <c r="C19046" s="1"/>
    </row>
    <row r="19047">
      <c r="C19047" s="1"/>
    </row>
    <row r="19048">
      <c r="C19048" s="1"/>
    </row>
    <row r="19049">
      <c r="C19049" s="1"/>
    </row>
    <row r="19050">
      <c r="C19050" s="1"/>
    </row>
    <row r="19051">
      <c r="C19051" s="1"/>
    </row>
    <row r="19052">
      <c r="C19052" s="1"/>
    </row>
    <row r="19053">
      <c r="C19053" s="1"/>
    </row>
    <row r="19054">
      <c r="C19054" s="1"/>
    </row>
    <row r="19055">
      <c r="C19055" s="1"/>
    </row>
    <row r="19056">
      <c r="C19056" s="1"/>
    </row>
    <row r="19057">
      <c r="C19057" s="1"/>
    </row>
    <row r="19058">
      <c r="C19058" s="1"/>
    </row>
    <row r="19059">
      <c r="C19059" s="1"/>
    </row>
    <row r="19060">
      <c r="C19060" s="1"/>
    </row>
    <row r="19061">
      <c r="C19061" s="1"/>
    </row>
    <row r="19062">
      <c r="C19062" s="1"/>
    </row>
    <row r="19063">
      <c r="C19063" s="1"/>
    </row>
    <row r="19064">
      <c r="C19064" s="1"/>
    </row>
    <row r="19065">
      <c r="C19065" s="1"/>
    </row>
    <row r="19066">
      <c r="C19066" s="1"/>
    </row>
    <row r="19067">
      <c r="C19067" s="1"/>
    </row>
    <row r="19068">
      <c r="C19068" s="1"/>
    </row>
    <row r="19069">
      <c r="C19069" s="1"/>
    </row>
    <row r="19070">
      <c r="C19070" s="1"/>
    </row>
    <row r="19071">
      <c r="C19071" s="1"/>
    </row>
    <row r="19072">
      <c r="C19072" s="1"/>
    </row>
    <row r="19073">
      <c r="C19073" s="1"/>
    </row>
    <row r="19074">
      <c r="C19074" s="1"/>
    </row>
    <row r="19075">
      <c r="C19075" s="1"/>
    </row>
    <row r="19076">
      <c r="C19076" s="1"/>
    </row>
    <row r="19077">
      <c r="C19077" s="1"/>
    </row>
    <row r="19078">
      <c r="C19078" s="1"/>
    </row>
    <row r="19079">
      <c r="C19079" s="1"/>
    </row>
    <row r="19080">
      <c r="C19080" s="1"/>
    </row>
    <row r="19081">
      <c r="C19081" s="1"/>
    </row>
    <row r="19082">
      <c r="C19082" s="1"/>
    </row>
    <row r="19083">
      <c r="C19083" s="1"/>
    </row>
    <row r="19084">
      <c r="C19084" s="1"/>
    </row>
    <row r="19085">
      <c r="C19085" s="1"/>
    </row>
    <row r="19086">
      <c r="C19086" s="1"/>
    </row>
    <row r="19087">
      <c r="C19087" s="1"/>
    </row>
    <row r="19088">
      <c r="C19088" s="1"/>
    </row>
    <row r="19089">
      <c r="C19089" s="1"/>
    </row>
    <row r="19090">
      <c r="C19090" s="1"/>
    </row>
    <row r="19091">
      <c r="C19091" s="1"/>
    </row>
    <row r="19092">
      <c r="C19092" s="1"/>
    </row>
    <row r="19093">
      <c r="C19093" s="1"/>
    </row>
    <row r="19094">
      <c r="C19094" s="1"/>
    </row>
    <row r="19095">
      <c r="C19095" s="1"/>
    </row>
    <row r="19096">
      <c r="C19096" s="1"/>
    </row>
    <row r="19097">
      <c r="C19097" s="1"/>
    </row>
    <row r="19098">
      <c r="C19098" s="1"/>
    </row>
    <row r="19099">
      <c r="C19099" s="1"/>
    </row>
    <row r="19100">
      <c r="C19100" s="1"/>
    </row>
    <row r="19101">
      <c r="C19101" s="1"/>
    </row>
    <row r="19102">
      <c r="C19102" s="1"/>
    </row>
    <row r="19103">
      <c r="C19103" s="1"/>
    </row>
    <row r="19104">
      <c r="C19104" s="1"/>
    </row>
    <row r="19105">
      <c r="C19105" s="1"/>
    </row>
    <row r="19106">
      <c r="C19106" s="1"/>
    </row>
    <row r="19107">
      <c r="C19107" s="1"/>
    </row>
    <row r="19108">
      <c r="C19108" s="1"/>
    </row>
    <row r="19109">
      <c r="C19109" s="1"/>
    </row>
    <row r="19110">
      <c r="C19110" s="1"/>
    </row>
    <row r="19111">
      <c r="C19111" s="1"/>
    </row>
    <row r="19112">
      <c r="C19112" s="1"/>
    </row>
    <row r="19113">
      <c r="C19113" s="1"/>
    </row>
    <row r="19114">
      <c r="C19114" s="1"/>
    </row>
    <row r="19115">
      <c r="C19115" s="1"/>
    </row>
    <row r="19116">
      <c r="C19116" s="1"/>
    </row>
    <row r="19117">
      <c r="C19117" s="1"/>
    </row>
    <row r="19118">
      <c r="C19118" s="1"/>
    </row>
    <row r="19119">
      <c r="C19119" s="1"/>
    </row>
    <row r="19120">
      <c r="C19120" s="1"/>
    </row>
    <row r="19121">
      <c r="C19121" s="1"/>
    </row>
    <row r="19122">
      <c r="C19122" s="1"/>
    </row>
    <row r="19123">
      <c r="C19123" s="1"/>
    </row>
    <row r="19124">
      <c r="C19124" s="1"/>
    </row>
    <row r="19125">
      <c r="C19125" s="1"/>
    </row>
    <row r="19126">
      <c r="C19126" s="1"/>
    </row>
    <row r="19127">
      <c r="C19127" s="1"/>
    </row>
    <row r="19128">
      <c r="C19128" s="1"/>
    </row>
    <row r="19129">
      <c r="C19129" s="1"/>
    </row>
    <row r="19130">
      <c r="C19130" s="1"/>
    </row>
    <row r="19131">
      <c r="C19131" s="1"/>
    </row>
    <row r="19132">
      <c r="C19132" s="1"/>
    </row>
    <row r="19133">
      <c r="C19133" s="1"/>
    </row>
    <row r="19134">
      <c r="C19134" s="1"/>
    </row>
    <row r="19135">
      <c r="C19135" s="1"/>
    </row>
    <row r="19136">
      <c r="C19136" s="1"/>
    </row>
    <row r="19137">
      <c r="C19137" s="1"/>
    </row>
    <row r="19138">
      <c r="C19138" s="1"/>
    </row>
    <row r="19139">
      <c r="C19139" s="1"/>
    </row>
    <row r="19140">
      <c r="C19140" s="1"/>
    </row>
    <row r="19141">
      <c r="C19141" s="1"/>
    </row>
    <row r="19142">
      <c r="C19142" s="1"/>
    </row>
    <row r="19143">
      <c r="C19143" s="1"/>
    </row>
    <row r="19144">
      <c r="C19144" s="1"/>
    </row>
    <row r="19145">
      <c r="C19145" s="1"/>
    </row>
    <row r="19146">
      <c r="C19146" s="1"/>
    </row>
    <row r="19147">
      <c r="C19147" s="1"/>
    </row>
    <row r="19148">
      <c r="C19148" s="1"/>
    </row>
    <row r="19149">
      <c r="C19149" s="1"/>
    </row>
    <row r="19150">
      <c r="C19150" s="1"/>
    </row>
    <row r="19151">
      <c r="C19151" s="1"/>
    </row>
    <row r="19152">
      <c r="C19152" s="1"/>
    </row>
    <row r="19153">
      <c r="C19153" s="1"/>
    </row>
    <row r="19154">
      <c r="C19154" s="1"/>
    </row>
    <row r="19155">
      <c r="C19155" s="1"/>
    </row>
    <row r="19156">
      <c r="C19156" s="1"/>
    </row>
    <row r="19157">
      <c r="C19157" s="1"/>
    </row>
    <row r="19158">
      <c r="C19158" s="1"/>
    </row>
    <row r="19159">
      <c r="C19159" s="1"/>
    </row>
    <row r="19160">
      <c r="C19160" s="1"/>
    </row>
    <row r="19161">
      <c r="C19161" s="1"/>
    </row>
    <row r="19162">
      <c r="C19162" s="1"/>
    </row>
    <row r="19163">
      <c r="C19163" s="1"/>
    </row>
    <row r="19164">
      <c r="C19164" s="1"/>
    </row>
    <row r="19165">
      <c r="C19165" s="1"/>
    </row>
    <row r="19166">
      <c r="C19166" s="1"/>
    </row>
    <row r="19167">
      <c r="C19167" s="1"/>
    </row>
    <row r="19168">
      <c r="C19168" s="1"/>
    </row>
    <row r="19169">
      <c r="C19169" s="1"/>
    </row>
    <row r="19170">
      <c r="C19170" s="1"/>
    </row>
    <row r="19171">
      <c r="C19171" s="1"/>
    </row>
    <row r="19172">
      <c r="C19172" s="1"/>
    </row>
    <row r="19173">
      <c r="C19173" s="1"/>
    </row>
    <row r="19174">
      <c r="C19174" s="1"/>
    </row>
    <row r="19175">
      <c r="C19175" s="1"/>
    </row>
    <row r="19176">
      <c r="C19176" s="1"/>
    </row>
    <row r="19177">
      <c r="C19177" s="1"/>
    </row>
    <row r="19178">
      <c r="C19178" s="1"/>
    </row>
    <row r="19179">
      <c r="C19179" s="1"/>
    </row>
    <row r="19180">
      <c r="C19180" s="1"/>
    </row>
    <row r="19181">
      <c r="C19181" s="1"/>
    </row>
    <row r="19182">
      <c r="C19182" s="1"/>
    </row>
    <row r="19183">
      <c r="C19183" s="1"/>
    </row>
    <row r="19184">
      <c r="C19184" s="1"/>
    </row>
    <row r="19185">
      <c r="C19185" s="1"/>
    </row>
    <row r="19186">
      <c r="C19186" s="1"/>
    </row>
    <row r="19187">
      <c r="C19187" s="1"/>
    </row>
    <row r="19188">
      <c r="C19188" s="1"/>
    </row>
    <row r="19189">
      <c r="C19189" s="1"/>
    </row>
    <row r="19190">
      <c r="C19190" s="1"/>
    </row>
    <row r="19191">
      <c r="C19191" s="1"/>
    </row>
    <row r="19192">
      <c r="C19192" s="1"/>
    </row>
    <row r="19193">
      <c r="C19193" s="1"/>
    </row>
    <row r="19194">
      <c r="C19194" s="1"/>
    </row>
    <row r="19195">
      <c r="C19195" s="1"/>
    </row>
    <row r="19196">
      <c r="C19196" s="1"/>
    </row>
    <row r="19197">
      <c r="C19197" s="1"/>
    </row>
    <row r="19198">
      <c r="C19198" s="1"/>
    </row>
    <row r="19199">
      <c r="C19199" s="1"/>
    </row>
    <row r="19200">
      <c r="C19200" s="1"/>
    </row>
    <row r="19201">
      <c r="C19201" s="1"/>
    </row>
    <row r="19202">
      <c r="C19202" s="1"/>
    </row>
    <row r="19203">
      <c r="C19203" s="1"/>
    </row>
    <row r="19204">
      <c r="C19204" s="1"/>
    </row>
    <row r="19205">
      <c r="C19205" s="1"/>
    </row>
    <row r="19206">
      <c r="C19206" s="1"/>
    </row>
    <row r="19207">
      <c r="C19207" s="1"/>
    </row>
    <row r="19208">
      <c r="C19208" s="1"/>
    </row>
    <row r="19209">
      <c r="C19209" s="1"/>
    </row>
    <row r="19210">
      <c r="C19210" s="1"/>
    </row>
    <row r="19211">
      <c r="C19211" s="1"/>
    </row>
    <row r="19212">
      <c r="C19212" s="1"/>
    </row>
    <row r="19213">
      <c r="C19213" s="1"/>
    </row>
    <row r="19214">
      <c r="C19214" s="1"/>
    </row>
    <row r="19215">
      <c r="C19215" s="1"/>
    </row>
    <row r="19216">
      <c r="C19216" s="1"/>
    </row>
    <row r="19217">
      <c r="C19217" s="1"/>
    </row>
    <row r="19218">
      <c r="C19218" s="1"/>
    </row>
    <row r="19219">
      <c r="C19219" s="1"/>
    </row>
    <row r="19220">
      <c r="C19220" s="1"/>
    </row>
    <row r="19221">
      <c r="C19221" s="1"/>
    </row>
    <row r="19222">
      <c r="C19222" s="1"/>
    </row>
    <row r="19223">
      <c r="C19223" s="1"/>
    </row>
    <row r="19224">
      <c r="C19224" s="1"/>
    </row>
    <row r="19225">
      <c r="C19225" s="1"/>
    </row>
    <row r="19226">
      <c r="C19226" s="1"/>
    </row>
    <row r="19227">
      <c r="C19227" s="1"/>
    </row>
    <row r="19228">
      <c r="C19228" s="1"/>
    </row>
    <row r="19229">
      <c r="C19229" s="1"/>
    </row>
    <row r="19230">
      <c r="C19230" s="1"/>
    </row>
    <row r="19231">
      <c r="C19231" s="1"/>
    </row>
    <row r="19232">
      <c r="C19232" s="1"/>
    </row>
    <row r="19233">
      <c r="C19233" s="1"/>
    </row>
    <row r="19234">
      <c r="C19234" s="1"/>
    </row>
    <row r="19235">
      <c r="C19235" s="1"/>
    </row>
    <row r="19236">
      <c r="C19236" s="1"/>
    </row>
    <row r="19237">
      <c r="C19237" s="1"/>
    </row>
    <row r="19238">
      <c r="C19238" s="1"/>
    </row>
    <row r="19239">
      <c r="C19239" s="1"/>
    </row>
    <row r="19240">
      <c r="C19240" s="1"/>
    </row>
    <row r="19241">
      <c r="C19241" s="1"/>
    </row>
    <row r="19242">
      <c r="C19242" s="1"/>
    </row>
    <row r="19243">
      <c r="C19243" s="1"/>
    </row>
    <row r="19244">
      <c r="C19244" s="1"/>
    </row>
    <row r="19245">
      <c r="C19245" s="1"/>
    </row>
    <row r="19246">
      <c r="C19246" s="1"/>
    </row>
    <row r="19247">
      <c r="C19247" s="1"/>
    </row>
    <row r="19248">
      <c r="C19248" s="1"/>
    </row>
    <row r="19249">
      <c r="C19249" s="1"/>
    </row>
    <row r="19250">
      <c r="C19250" s="1"/>
    </row>
    <row r="19251">
      <c r="C19251" s="1"/>
    </row>
    <row r="19252">
      <c r="C19252" s="1"/>
    </row>
    <row r="19253">
      <c r="C19253" s="1"/>
    </row>
    <row r="19254">
      <c r="C19254" s="1"/>
    </row>
    <row r="19255">
      <c r="C19255" s="1"/>
    </row>
    <row r="19256">
      <c r="C19256" s="1"/>
    </row>
    <row r="19257">
      <c r="C19257" s="1"/>
    </row>
    <row r="19258">
      <c r="C19258" s="1"/>
    </row>
    <row r="19259">
      <c r="C19259" s="1"/>
    </row>
    <row r="19260">
      <c r="C19260" s="1"/>
    </row>
    <row r="19261">
      <c r="C19261" s="1"/>
    </row>
    <row r="19262">
      <c r="C19262" s="1"/>
    </row>
    <row r="19263">
      <c r="C19263" s="1"/>
    </row>
    <row r="19264">
      <c r="C19264" s="1"/>
    </row>
    <row r="19265">
      <c r="C19265" s="1"/>
    </row>
    <row r="19266">
      <c r="C19266" s="1"/>
    </row>
    <row r="19267">
      <c r="C19267" s="1"/>
    </row>
    <row r="19268">
      <c r="C19268" s="1"/>
    </row>
    <row r="19269">
      <c r="C19269" s="1"/>
    </row>
    <row r="19270">
      <c r="C19270" s="1"/>
    </row>
    <row r="19271">
      <c r="C19271" s="1"/>
    </row>
    <row r="19272">
      <c r="C19272" s="1"/>
    </row>
    <row r="19273">
      <c r="C19273" s="1"/>
    </row>
    <row r="19274">
      <c r="C19274" s="1"/>
    </row>
    <row r="19275">
      <c r="C19275" s="1"/>
    </row>
    <row r="19276">
      <c r="C19276" s="1"/>
    </row>
    <row r="19277">
      <c r="C19277" s="1"/>
    </row>
    <row r="19278">
      <c r="C19278" s="1"/>
    </row>
    <row r="19279">
      <c r="C19279" s="1"/>
    </row>
    <row r="19280">
      <c r="C19280" s="1"/>
    </row>
    <row r="19281">
      <c r="C19281" s="1"/>
    </row>
    <row r="19282">
      <c r="C19282" s="1"/>
    </row>
    <row r="19283">
      <c r="C19283" s="1"/>
    </row>
    <row r="19284">
      <c r="C19284" s="1"/>
    </row>
    <row r="19285">
      <c r="C19285" s="1"/>
    </row>
    <row r="19286">
      <c r="C19286" s="1"/>
    </row>
    <row r="19287">
      <c r="C19287" s="1"/>
    </row>
    <row r="19288">
      <c r="C19288" s="1"/>
    </row>
    <row r="19289">
      <c r="C19289" s="1"/>
    </row>
    <row r="19290">
      <c r="C19290" s="1"/>
    </row>
    <row r="19291">
      <c r="C19291" s="1"/>
    </row>
    <row r="19292">
      <c r="C19292" s="1"/>
    </row>
    <row r="19293">
      <c r="C19293" s="1"/>
    </row>
    <row r="19294">
      <c r="C19294" s="1"/>
    </row>
    <row r="19295">
      <c r="C19295" s="1"/>
    </row>
    <row r="19296">
      <c r="C19296" s="1"/>
    </row>
    <row r="19297">
      <c r="C19297" s="1"/>
    </row>
    <row r="19298">
      <c r="C19298" s="1"/>
    </row>
    <row r="19299">
      <c r="C19299" s="1"/>
    </row>
    <row r="19300">
      <c r="C19300" s="1"/>
    </row>
    <row r="19301">
      <c r="C19301" s="1"/>
    </row>
    <row r="19302">
      <c r="C19302" s="1"/>
    </row>
    <row r="19303">
      <c r="C19303" s="1"/>
    </row>
    <row r="19304">
      <c r="C19304" s="1"/>
    </row>
    <row r="19305">
      <c r="C19305" s="1"/>
    </row>
    <row r="19306">
      <c r="C19306" s="1"/>
    </row>
    <row r="19307">
      <c r="C19307" s="1"/>
    </row>
    <row r="19308">
      <c r="C19308" s="1"/>
    </row>
    <row r="19309">
      <c r="C19309" s="1"/>
    </row>
    <row r="19310">
      <c r="C19310" s="1"/>
    </row>
    <row r="19311">
      <c r="C19311" s="1"/>
    </row>
    <row r="19312">
      <c r="C19312" s="1"/>
    </row>
    <row r="19313">
      <c r="C19313" s="1"/>
    </row>
    <row r="19314">
      <c r="C19314" s="1"/>
    </row>
    <row r="19315">
      <c r="C19315" s="1"/>
    </row>
    <row r="19316">
      <c r="C19316" s="1"/>
    </row>
    <row r="19317">
      <c r="C19317" s="1"/>
    </row>
    <row r="19318">
      <c r="C19318" s="1"/>
    </row>
    <row r="19319">
      <c r="C19319" s="1"/>
    </row>
    <row r="19320">
      <c r="C19320" s="1"/>
    </row>
    <row r="19321">
      <c r="C19321" s="1"/>
    </row>
    <row r="19322">
      <c r="C19322" s="1"/>
    </row>
    <row r="19323">
      <c r="C19323" s="1"/>
    </row>
    <row r="19324">
      <c r="C19324" s="1"/>
    </row>
    <row r="19325">
      <c r="C19325" s="1"/>
    </row>
    <row r="19326">
      <c r="C19326" s="1"/>
    </row>
    <row r="19327">
      <c r="C19327" s="1"/>
    </row>
    <row r="19328">
      <c r="C19328" s="1"/>
    </row>
    <row r="19329">
      <c r="C19329" s="1"/>
    </row>
    <row r="19330">
      <c r="C19330" s="1"/>
    </row>
    <row r="19331">
      <c r="C19331" s="1"/>
    </row>
    <row r="19332">
      <c r="C19332" s="1"/>
    </row>
    <row r="19333">
      <c r="C19333" s="1"/>
    </row>
    <row r="19334">
      <c r="C19334" s="1"/>
    </row>
    <row r="19335">
      <c r="C19335" s="1"/>
    </row>
    <row r="19336">
      <c r="C19336" s="1"/>
    </row>
    <row r="19337">
      <c r="C19337" s="1"/>
    </row>
    <row r="19338">
      <c r="C19338" s="1"/>
    </row>
    <row r="19339">
      <c r="C19339" s="1"/>
    </row>
    <row r="19340">
      <c r="C19340" s="1"/>
    </row>
    <row r="19341">
      <c r="C19341" s="1"/>
    </row>
    <row r="19342">
      <c r="C19342" s="1"/>
    </row>
    <row r="19343">
      <c r="C19343" s="1"/>
    </row>
    <row r="19344">
      <c r="C19344" s="1"/>
    </row>
    <row r="19345">
      <c r="C19345" s="1"/>
    </row>
    <row r="19346">
      <c r="C19346" s="1"/>
    </row>
    <row r="19347">
      <c r="C19347" s="1"/>
    </row>
    <row r="19348">
      <c r="C19348" s="1"/>
    </row>
    <row r="19349">
      <c r="C19349" s="1"/>
    </row>
    <row r="19350">
      <c r="C19350" s="1"/>
    </row>
    <row r="19351">
      <c r="C19351" s="1"/>
    </row>
    <row r="19352">
      <c r="C19352" s="1"/>
    </row>
    <row r="19353">
      <c r="C19353" s="1"/>
    </row>
    <row r="19354">
      <c r="C19354" s="1"/>
    </row>
    <row r="19355">
      <c r="C19355" s="1"/>
    </row>
    <row r="19356">
      <c r="C19356" s="1"/>
    </row>
    <row r="19357">
      <c r="C19357" s="1"/>
    </row>
    <row r="19358">
      <c r="C19358" s="1"/>
    </row>
    <row r="19359">
      <c r="C19359" s="1"/>
    </row>
    <row r="19360">
      <c r="C19360" s="1"/>
    </row>
    <row r="19361">
      <c r="C19361" s="1"/>
    </row>
    <row r="19362">
      <c r="C19362" s="1"/>
    </row>
    <row r="19363">
      <c r="C19363" s="1"/>
    </row>
    <row r="19364">
      <c r="C19364" s="1"/>
    </row>
    <row r="19365">
      <c r="C19365" s="1"/>
    </row>
    <row r="19366">
      <c r="C19366" s="1"/>
    </row>
    <row r="19367">
      <c r="C19367" s="1"/>
    </row>
    <row r="19368">
      <c r="C19368" s="1"/>
    </row>
    <row r="19369">
      <c r="C19369" s="1"/>
    </row>
    <row r="19370">
      <c r="C19370" s="1"/>
    </row>
    <row r="19371">
      <c r="C19371" s="1"/>
    </row>
    <row r="19372">
      <c r="C19372" s="1"/>
    </row>
    <row r="19373">
      <c r="C19373" s="1"/>
    </row>
    <row r="19374">
      <c r="C19374" s="1"/>
    </row>
    <row r="19375">
      <c r="C19375" s="1"/>
    </row>
    <row r="19376">
      <c r="C19376" s="1"/>
    </row>
    <row r="19377">
      <c r="C19377" s="1"/>
    </row>
    <row r="19378">
      <c r="C19378" s="1"/>
    </row>
    <row r="19379">
      <c r="C19379" s="1"/>
    </row>
    <row r="19380">
      <c r="C19380" s="1"/>
    </row>
    <row r="19381">
      <c r="C19381" s="1"/>
    </row>
    <row r="19382">
      <c r="C19382" s="1"/>
    </row>
    <row r="19383">
      <c r="C19383" s="1"/>
    </row>
    <row r="19384">
      <c r="C19384" s="1"/>
    </row>
    <row r="19385">
      <c r="C19385" s="1"/>
    </row>
    <row r="19386">
      <c r="C19386" s="1"/>
    </row>
    <row r="19387">
      <c r="C19387" s="1"/>
    </row>
    <row r="19388">
      <c r="C19388" s="1"/>
    </row>
    <row r="19389">
      <c r="C19389" s="1"/>
    </row>
    <row r="19390">
      <c r="C19390" s="1"/>
    </row>
    <row r="19391">
      <c r="C19391" s="1"/>
    </row>
    <row r="19392">
      <c r="C19392" s="1"/>
    </row>
    <row r="19393">
      <c r="C19393" s="1"/>
    </row>
    <row r="19394">
      <c r="C19394" s="1"/>
    </row>
    <row r="19395">
      <c r="C19395" s="1"/>
    </row>
    <row r="19396">
      <c r="C19396" s="1"/>
    </row>
    <row r="19397">
      <c r="C19397" s="1"/>
    </row>
    <row r="19398">
      <c r="C19398" s="1"/>
    </row>
    <row r="19399">
      <c r="C19399" s="1"/>
    </row>
    <row r="19400">
      <c r="C19400" s="1"/>
    </row>
    <row r="19401">
      <c r="C19401" s="1"/>
    </row>
    <row r="19402">
      <c r="C19402" s="1"/>
    </row>
    <row r="19403">
      <c r="C19403" s="1"/>
    </row>
    <row r="19404">
      <c r="C19404" s="1"/>
    </row>
    <row r="19405">
      <c r="C19405" s="1"/>
    </row>
    <row r="19406">
      <c r="C19406" s="1"/>
    </row>
    <row r="19407">
      <c r="C19407" s="1"/>
    </row>
    <row r="19408">
      <c r="C19408" s="1"/>
    </row>
    <row r="19409">
      <c r="C19409" s="1"/>
    </row>
    <row r="19410">
      <c r="C19410" s="1"/>
    </row>
    <row r="19411">
      <c r="C19411" s="1"/>
    </row>
    <row r="19412">
      <c r="C19412" s="1"/>
    </row>
    <row r="19413">
      <c r="C19413" s="1"/>
    </row>
    <row r="19414">
      <c r="C19414" s="1"/>
    </row>
    <row r="19415">
      <c r="C19415" s="1"/>
    </row>
    <row r="19416">
      <c r="C19416" s="1"/>
    </row>
    <row r="19417">
      <c r="C19417" s="1"/>
    </row>
    <row r="19418">
      <c r="C19418" s="1"/>
    </row>
    <row r="19419">
      <c r="C19419" s="1"/>
    </row>
    <row r="19420">
      <c r="C19420" s="1"/>
    </row>
    <row r="19421">
      <c r="C19421" s="1"/>
    </row>
    <row r="19422">
      <c r="C19422" s="1"/>
    </row>
    <row r="19423">
      <c r="C19423" s="1"/>
    </row>
    <row r="19424">
      <c r="C19424" s="1"/>
    </row>
    <row r="19425">
      <c r="C19425" s="1"/>
    </row>
    <row r="19426">
      <c r="C19426" s="1"/>
    </row>
    <row r="19427">
      <c r="C19427" s="1"/>
    </row>
    <row r="19428">
      <c r="C19428" s="1"/>
    </row>
    <row r="19429">
      <c r="C19429" s="1"/>
    </row>
    <row r="19430">
      <c r="C19430" s="1"/>
    </row>
    <row r="19431">
      <c r="C19431" s="1"/>
    </row>
    <row r="19432">
      <c r="C19432" s="1"/>
    </row>
    <row r="19433">
      <c r="C19433" s="1"/>
    </row>
    <row r="19434">
      <c r="C19434" s="1"/>
    </row>
    <row r="19435">
      <c r="C19435" s="1"/>
    </row>
    <row r="19436">
      <c r="C19436" s="1"/>
    </row>
    <row r="19437">
      <c r="C19437" s="1"/>
    </row>
    <row r="19438">
      <c r="C19438" s="1"/>
    </row>
    <row r="19439">
      <c r="C19439" s="1"/>
    </row>
    <row r="19440">
      <c r="C19440" s="1"/>
    </row>
    <row r="19441">
      <c r="C19441" s="1"/>
    </row>
    <row r="19442">
      <c r="C19442" s="1"/>
    </row>
    <row r="19443">
      <c r="C19443" s="1"/>
    </row>
    <row r="19444">
      <c r="C19444" s="1"/>
    </row>
    <row r="19445">
      <c r="C19445" s="1"/>
    </row>
    <row r="19446">
      <c r="C19446" s="1"/>
    </row>
    <row r="19447">
      <c r="C19447" s="1"/>
    </row>
    <row r="19448">
      <c r="C19448" s="1"/>
    </row>
    <row r="19449">
      <c r="C19449" s="1"/>
    </row>
    <row r="19450">
      <c r="C19450" s="1"/>
    </row>
    <row r="19451">
      <c r="C19451" s="1"/>
    </row>
    <row r="19452">
      <c r="C19452" s="1"/>
    </row>
    <row r="19453">
      <c r="C19453" s="1"/>
    </row>
    <row r="19454">
      <c r="C19454" s="1"/>
    </row>
    <row r="19455">
      <c r="C19455" s="1"/>
    </row>
    <row r="19456">
      <c r="C19456" s="1"/>
    </row>
    <row r="19457">
      <c r="C19457" s="1"/>
    </row>
    <row r="19458">
      <c r="C19458" s="1"/>
    </row>
    <row r="19459">
      <c r="C19459" s="1"/>
    </row>
    <row r="19460">
      <c r="C19460" s="1"/>
    </row>
    <row r="19461">
      <c r="C19461" s="1"/>
    </row>
    <row r="19462">
      <c r="C19462" s="1"/>
    </row>
    <row r="19463">
      <c r="C19463" s="1"/>
    </row>
    <row r="19464">
      <c r="C19464" s="1"/>
    </row>
    <row r="19465">
      <c r="C19465" s="1"/>
    </row>
    <row r="19466">
      <c r="C19466" s="1"/>
    </row>
    <row r="19467">
      <c r="C19467" s="1"/>
    </row>
    <row r="19468">
      <c r="C19468" s="1"/>
    </row>
    <row r="19469">
      <c r="C19469" s="1"/>
    </row>
    <row r="19470">
      <c r="C19470" s="1"/>
    </row>
    <row r="19471">
      <c r="C19471" s="1"/>
    </row>
    <row r="19472">
      <c r="C19472" s="1"/>
    </row>
    <row r="19473">
      <c r="C19473" s="1"/>
    </row>
    <row r="19474">
      <c r="C19474" s="1"/>
    </row>
    <row r="19475">
      <c r="C19475" s="1"/>
    </row>
    <row r="19476">
      <c r="C19476" s="1"/>
    </row>
    <row r="19477">
      <c r="C19477" s="1"/>
    </row>
    <row r="19478">
      <c r="C19478" s="1"/>
    </row>
    <row r="19479">
      <c r="C19479" s="1"/>
    </row>
    <row r="19480">
      <c r="C19480" s="1"/>
    </row>
    <row r="19481">
      <c r="C19481" s="1"/>
    </row>
    <row r="19482">
      <c r="C19482" s="1"/>
    </row>
    <row r="19483">
      <c r="C19483" s="1"/>
    </row>
    <row r="19484">
      <c r="C19484" s="1"/>
    </row>
    <row r="19485">
      <c r="C19485" s="1"/>
    </row>
    <row r="19486">
      <c r="C19486" s="1"/>
    </row>
    <row r="19487">
      <c r="C19487" s="1"/>
    </row>
    <row r="19488">
      <c r="C19488" s="1"/>
    </row>
    <row r="19489">
      <c r="C19489" s="1"/>
    </row>
    <row r="19490">
      <c r="C19490" s="1"/>
    </row>
    <row r="19491">
      <c r="C19491" s="1"/>
    </row>
    <row r="19492">
      <c r="C19492" s="1"/>
    </row>
    <row r="19493">
      <c r="C19493" s="1"/>
    </row>
    <row r="19494">
      <c r="C19494" s="1"/>
    </row>
    <row r="19495">
      <c r="C19495" s="1"/>
    </row>
    <row r="19496">
      <c r="C19496" s="1"/>
    </row>
    <row r="19497">
      <c r="C19497" s="1"/>
    </row>
    <row r="19498">
      <c r="C19498" s="1"/>
    </row>
    <row r="19499">
      <c r="C19499" s="1"/>
    </row>
    <row r="19500">
      <c r="C19500" s="1"/>
    </row>
    <row r="19501">
      <c r="C19501" s="1"/>
    </row>
    <row r="19502">
      <c r="C19502" s="1"/>
    </row>
    <row r="19503">
      <c r="C19503" s="1"/>
    </row>
    <row r="19504">
      <c r="C19504" s="1"/>
    </row>
    <row r="19505">
      <c r="C19505" s="1"/>
    </row>
    <row r="19506">
      <c r="C19506" s="1"/>
    </row>
    <row r="19507">
      <c r="C19507" s="1"/>
    </row>
    <row r="19508">
      <c r="C19508" s="1"/>
    </row>
    <row r="19509">
      <c r="C19509" s="1"/>
    </row>
    <row r="19510">
      <c r="C19510" s="1"/>
    </row>
    <row r="19511">
      <c r="C19511" s="1"/>
    </row>
    <row r="19512">
      <c r="C19512" s="1"/>
    </row>
    <row r="19513">
      <c r="C19513" s="1"/>
    </row>
    <row r="19514">
      <c r="C19514" s="1"/>
    </row>
    <row r="19515">
      <c r="C19515" s="1"/>
    </row>
    <row r="19516">
      <c r="C19516" s="1"/>
    </row>
    <row r="19517">
      <c r="C19517" s="1"/>
    </row>
    <row r="19518">
      <c r="C19518" s="1"/>
    </row>
    <row r="19519">
      <c r="C19519" s="1"/>
    </row>
    <row r="19520">
      <c r="C19520" s="1"/>
    </row>
    <row r="19521">
      <c r="C19521" s="1"/>
    </row>
    <row r="19522">
      <c r="C19522" s="1"/>
    </row>
    <row r="19523">
      <c r="C19523" s="1"/>
    </row>
    <row r="19524">
      <c r="C19524" s="1"/>
    </row>
    <row r="19525">
      <c r="C19525" s="1"/>
    </row>
    <row r="19526">
      <c r="C19526" s="1"/>
    </row>
    <row r="19527">
      <c r="C19527" s="1"/>
    </row>
    <row r="19528">
      <c r="C19528" s="1"/>
    </row>
    <row r="19529">
      <c r="C19529" s="1"/>
    </row>
    <row r="19530">
      <c r="C19530" s="1"/>
    </row>
    <row r="19531">
      <c r="C19531" s="1"/>
    </row>
    <row r="19532">
      <c r="C19532" s="1"/>
    </row>
    <row r="19533">
      <c r="C19533" s="1"/>
    </row>
    <row r="19534">
      <c r="C19534" s="1"/>
    </row>
    <row r="19535">
      <c r="C19535" s="1"/>
    </row>
    <row r="19536">
      <c r="C19536" s="1"/>
    </row>
    <row r="19537">
      <c r="C19537" s="1"/>
    </row>
    <row r="19538">
      <c r="C19538" s="1"/>
    </row>
    <row r="19539">
      <c r="C19539" s="1"/>
    </row>
    <row r="19540">
      <c r="C19540" s="1"/>
    </row>
    <row r="19541">
      <c r="C19541" s="1"/>
    </row>
    <row r="19542">
      <c r="C19542" s="1"/>
    </row>
    <row r="19543">
      <c r="C19543" s="1"/>
    </row>
    <row r="19544">
      <c r="C19544" s="1"/>
    </row>
    <row r="19545">
      <c r="C19545" s="1"/>
    </row>
    <row r="19546">
      <c r="C19546" s="1"/>
    </row>
    <row r="19547">
      <c r="C19547" s="1"/>
    </row>
    <row r="19548">
      <c r="C19548" s="1"/>
    </row>
    <row r="19549">
      <c r="C19549" s="1"/>
    </row>
    <row r="19550">
      <c r="C19550" s="1"/>
    </row>
    <row r="19551">
      <c r="C19551" s="1"/>
    </row>
    <row r="19552">
      <c r="C19552" s="1"/>
    </row>
    <row r="19553">
      <c r="C19553" s="1"/>
    </row>
    <row r="19554">
      <c r="C19554" s="1"/>
    </row>
    <row r="19555">
      <c r="C19555" s="1"/>
    </row>
    <row r="19556">
      <c r="C19556" s="1"/>
    </row>
    <row r="19557">
      <c r="C19557" s="1"/>
    </row>
    <row r="19558">
      <c r="C19558" s="1"/>
    </row>
    <row r="19559">
      <c r="C19559" s="1"/>
    </row>
    <row r="19560">
      <c r="C19560" s="1"/>
    </row>
    <row r="19561">
      <c r="C19561" s="1"/>
    </row>
    <row r="19562">
      <c r="C19562" s="1"/>
    </row>
    <row r="19563">
      <c r="C19563" s="1"/>
    </row>
    <row r="19564">
      <c r="C19564" s="1"/>
    </row>
    <row r="19565">
      <c r="C19565" s="1"/>
    </row>
    <row r="19566">
      <c r="C19566" s="1"/>
    </row>
    <row r="19567">
      <c r="C19567" s="1"/>
    </row>
    <row r="19568">
      <c r="C19568" s="1"/>
    </row>
    <row r="19569">
      <c r="C19569" s="1"/>
    </row>
    <row r="19570">
      <c r="C19570" s="1"/>
    </row>
    <row r="19571">
      <c r="C19571" s="1"/>
    </row>
    <row r="19572">
      <c r="C19572" s="1"/>
    </row>
    <row r="19573">
      <c r="C19573" s="1"/>
    </row>
    <row r="19574">
      <c r="C19574" s="1"/>
    </row>
    <row r="19575">
      <c r="C19575" s="1"/>
    </row>
    <row r="19576">
      <c r="C19576" s="1"/>
    </row>
    <row r="19577">
      <c r="C19577" s="1"/>
    </row>
    <row r="19578">
      <c r="C19578" s="1"/>
    </row>
    <row r="19579">
      <c r="C19579" s="1"/>
    </row>
    <row r="19580">
      <c r="C19580" s="1"/>
    </row>
    <row r="19581">
      <c r="C19581" s="1"/>
    </row>
    <row r="19582">
      <c r="C19582" s="1"/>
    </row>
    <row r="19583">
      <c r="C19583" s="1"/>
    </row>
    <row r="19584">
      <c r="C19584" s="1"/>
    </row>
    <row r="19585">
      <c r="C19585" s="1"/>
    </row>
    <row r="19586">
      <c r="C19586" s="1"/>
    </row>
    <row r="19587">
      <c r="C19587" s="1"/>
    </row>
    <row r="19588">
      <c r="C19588" s="1"/>
    </row>
    <row r="19589">
      <c r="C19589" s="1"/>
    </row>
    <row r="19590">
      <c r="C19590" s="1"/>
    </row>
    <row r="19591">
      <c r="C19591" s="1"/>
    </row>
    <row r="19592">
      <c r="C19592" s="1"/>
    </row>
    <row r="19593">
      <c r="C19593" s="1"/>
    </row>
    <row r="19594">
      <c r="C19594" s="1"/>
    </row>
    <row r="19595">
      <c r="C19595" s="1"/>
    </row>
    <row r="19596">
      <c r="C19596" s="1"/>
    </row>
    <row r="19597">
      <c r="C19597" s="1"/>
    </row>
    <row r="19598">
      <c r="C19598" s="1"/>
    </row>
    <row r="19599">
      <c r="C19599" s="1"/>
    </row>
    <row r="19600">
      <c r="C19600" s="1"/>
    </row>
    <row r="19601">
      <c r="C19601" s="1"/>
    </row>
    <row r="19602">
      <c r="C19602" s="1"/>
    </row>
    <row r="19603">
      <c r="C19603" s="1"/>
    </row>
    <row r="19604">
      <c r="C19604" s="1"/>
    </row>
    <row r="19605">
      <c r="C19605" s="1"/>
    </row>
    <row r="19606">
      <c r="C19606" s="1"/>
    </row>
    <row r="19607">
      <c r="C19607" s="1"/>
    </row>
    <row r="19608">
      <c r="C19608" s="1"/>
    </row>
    <row r="19609">
      <c r="C19609" s="1"/>
    </row>
    <row r="19610">
      <c r="C19610" s="1"/>
    </row>
    <row r="19611">
      <c r="C19611" s="1"/>
    </row>
    <row r="19612">
      <c r="C19612" s="1"/>
    </row>
    <row r="19613">
      <c r="C19613" s="1"/>
    </row>
    <row r="19614">
      <c r="C19614" s="1"/>
    </row>
    <row r="19615">
      <c r="C19615" s="1"/>
    </row>
    <row r="19616">
      <c r="C19616" s="1"/>
    </row>
    <row r="19617">
      <c r="C19617" s="1"/>
    </row>
    <row r="19618">
      <c r="C19618" s="1"/>
    </row>
    <row r="19619">
      <c r="C19619" s="1"/>
    </row>
    <row r="19620">
      <c r="C19620" s="1"/>
    </row>
    <row r="19621">
      <c r="C19621" s="1"/>
    </row>
    <row r="19622">
      <c r="C19622" s="1"/>
    </row>
    <row r="19623">
      <c r="C19623" s="1"/>
    </row>
    <row r="19624">
      <c r="C19624" s="1"/>
    </row>
    <row r="19625">
      <c r="C19625" s="1"/>
    </row>
    <row r="19626">
      <c r="C19626" s="1"/>
    </row>
    <row r="19627">
      <c r="C19627" s="1"/>
    </row>
    <row r="19628">
      <c r="C19628" s="1"/>
    </row>
    <row r="19629">
      <c r="C19629" s="1"/>
    </row>
    <row r="19630">
      <c r="C19630" s="1"/>
    </row>
    <row r="19631">
      <c r="C19631" s="1"/>
    </row>
    <row r="19632">
      <c r="C19632" s="1"/>
    </row>
    <row r="19633">
      <c r="C19633" s="1"/>
    </row>
    <row r="19634">
      <c r="C19634" s="1"/>
    </row>
    <row r="19635">
      <c r="C19635" s="1"/>
    </row>
    <row r="19636">
      <c r="C19636" s="1"/>
    </row>
    <row r="19637">
      <c r="C19637" s="1"/>
    </row>
    <row r="19638">
      <c r="C19638" s="1"/>
    </row>
    <row r="19639">
      <c r="C19639" s="1"/>
    </row>
    <row r="19640">
      <c r="C19640" s="1"/>
    </row>
    <row r="19641">
      <c r="C19641" s="1"/>
    </row>
    <row r="19642">
      <c r="C19642" s="1"/>
    </row>
    <row r="19643">
      <c r="C19643" s="1"/>
    </row>
    <row r="19644">
      <c r="C19644" s="1"/>
    </row>
    <row r="19645">
      <c r="C19645" s="1"/>
    </row>
    <row r="19646">
      <c r="C19646" s="1"/>
    </row>
    <row r="19647">
      <c r="C19647" s="1"/>
    </row>
    <row r="19648">
      <c r="C19648" s="1"/>
    </row>
    <row r="19649">
      <c r="C19649" s="1"/>
    </row>
    <row r="19650">
      <c r="C19650" s="1"/>
    </row>
    <row r="19651">
      <c r="C19651" s="1"/>
    </row>
    <row r="19652">
      <c r="C19652" s="1"/>
    </row>
    <row r="19653">
      <c r="C19653" s="1"/>
    </row>
    <row r="19654">
      <c r="C19654" s="1"/>
    </row>
    <row r="19655">
      <c r="C19655" s="1"/>
    </row>
    <row r="19656">
      <c r="C19656" s="1"/>
    </row>
    <row r="19657">
      <c r="C19657" s="1"/>
    </row>
    <row r="19658">
      <c r="C19658" s="1"/>
    </row>
    <row r="19659">
      <c r="C19659" s="1"/>
    </row>
    <row r="19660">
      <c r="C19660" s="1"/>
    </row>
    <row r="19661">
      <c r="C19661" s="1"/>
    </row>
    <row r="19662">
      <c r="C19662" s="1"/>
    </row>
    <row r="19663">
      <c r="C19663" s="1"/>
    </row>
    <row r="19664">
      <c r="C19664" s="1"/>
    </row>
    <row r="19665">
      <c r="C19665" s="1"/>
    </row>
    <row r="19666">
      <c r="C19666" s="1"/>
    </row>
    <row r="19667">
      <c r="C19667" s="1"/>
    </row>
    <row r="19668">
      <c r="C19668" s="1"/>
    </row>
    <row r="19669">
      <c r="C19669" s="1"/>
    </row>
    <row r="19670">
      <c r="C19670" s="1"/>
    </row>
    <row r="19671">
      <c r="C19671" s="1"/>
    </row>
    <row r="19672">
      <c r="C19672" s="1"/>
    </row>
    <row r="19673">
      <c r="C19673" s="1"/>
    </row>
    <row r="19674">
      <c r="C19674" s="1"/>
    </row>
    <row r="19675">
      <c r="C19675" s="1"/>
    </row>
    <row r="19676">
      <c r="C19676" s="1"/>
    </row>
    <row r="19677">
      <c r="C19677" s="1"/>
    </row>
    <row r="19678">
      <c r="C19678" s="1"/>
    </row>
    <row r="19679">
      <c r="C19679" s="1"/>
    </row>
    <row r="19680">
      <c r="C19680" s="1"/>
    </row>
    <row r="19681">
      <c r="C19681" s="1"/>
    </row>
    <row r="19682">
      <c r="C19682" s="1"/>
    </row>
    <row r="19683">
      <c r="C19683" s="1"/>
    </row>
    <row r="19684">
      <c r="C19684" s="1"/>
    </row>
    <row r="19685">
      <c r="C19685" s="1"/>
    </row>
    <row r="19686">
      <c r="C19686" s="1"/>
    </row>
    <row r="19687">
      <c r="C19687" s="1"/>
    </row>
    <row r="19688">
      <c r="C19688" s="1"/>
    </row>
    <row r="19689">
      <c r="C19689" s="1"/>
    </row>
    <row r="19690">
      <c r="C19690" s="1"/>
    </row>
    <row r="19691">
      <c r="C19691" s="1"/>
    </row>
    <row r="19692">
      <c r="C19692" s="1"/>
    </row>
    <row r="19693">
      <c r="C19693" s="1"/>
    </row>
    <row r="19694">
      <c r="C19694" s="1"/>
    </row>
    <row r="19695">
      <c r="C19695" s="1"/>
    </row>
    <row r="19696">
      <c r="C19696" s="1"/>
    </row>
    <row r="19697">
      <c r="C19697" s="1"/>
    </row>
    <row r="19698">
      <c r="C19698" s="1"/>
    </row>
    <row r="19699">
      <c r="C19699" s="1"/>
    </row>
    <row r="19700">
      <c r="C19700" s="1"/>
    </row>
    <row r="19701">
      <c r="C19701" s="1"/>
    </row>
    <row r="19702">
      <c r="C19702" s="1"/>
    </row>
    <row r="19703">
      <c r="C19703" s="1"/>
    </row>
    <row r="19704">
      <c r="C19704" s="1"/>
    </row>
    <row r="19705">
      <c r="C19705" s="1"/>
    </row>
    <row r="19706">
      <c r="C19706" s="1"/>
    </row>
    <row r="19707">
      <c r="C19707" s="1"/>
    </row>
    <row r="19708">
      <c r="C19708" s="1"/>
    </row>
    <row r="19709">
      <c r="C19709" s="1"/>
    </row>
    <row r="19710">
      <c r="C19710" s="1"/>
    </row>
    <row r="19711">
      <c r="C19711" s="1"/>
    </row>
    <row r="19712">
      <c r="C19712" s="1"/>
    </row>
    <row r="19713">
      <c r="C19713" s="1"/>
    </row>
    <row r="19714">
      <c r="C19714" s="1"/>
    </row>
    <row r="19715">
      <c r="C19715" s="1"/>
    </row>
    <row r="19716">
      <c r="C19716" s="1"/>
    </row>
    <row r="19717">
      <c r="C19717" s="1"/>
    </row>
    <row r="19718">
      <c r="C19718" s="1"/>
    </row>
    <row r="19719">
      <c r="C19719" s="1"/>
    </row>
    <row r="19720">
      <c r="C19720" s="1"/>
    </row>
    <row r="19721">
      <c r="C19721" s="1"/>
    </row>
    <row r="19722">
      <c r="C19722" s="1"/>
    </row>
    <row r="19723">
      <c r="C19723" s="1"/>
    </row>
    <row r="19724">
      <c r="C19724" s="1"/>
    </row>
    <row r="19725">
      <c r="C19725" s="1"/>
    </row>
    <row r="19726">
      <c r="C19726" s="1"/>
    </row>
    <row r="19727">
      <c r="C19727" s="1"/>
    </row>
    <row r="19728">
      <c r="C19728" s="1"/>
    </row>
    <row r="19729">
      <c r="C19729" s="1"/>
    </row>
    <row r="19730">
      <c r="C19730" s="1"/>
    </row>
    <row r="19731">
      <c r="C19731" s="1"/>
    </row>
    <row r="19732">
      <c r="C19732" s="1"/>
    </row>
    <row r="19733">
      <c r="C19733" s="1"/>
    </row>
    <row r="19734">
      <c r="C19734" s="1"/>
    </row>
    <row r="19735">
      <c r="C19735" s="1"/>
    </row>
    <row r="19736">
      <c r="C19736" s="1"/>
    </row>
    <row r="19737">
      <c r="C19737" s="1"/>
    </row>
    <row r="19738">
      <c r="C19738" s="1"/>
    </row>
    <row r="19739">
      <c r="C19739" s="1"/>
    </row>
    <row r="19740">
      <c r="C19740" s="1"/>
    </row>
    <row r="19741">
      <c r="C19741" s="1"/>
    </row>
    <row r="19742">
      <c r="C19742" s="1"/>
    </row>
    <row r="19743">
      <c r="C19743" s="1"/>
    </row>
    <row r="19744">
      <c r="C19744" s="1"/>
    </row>
    <row r="19745">
      <c r="C19745" s="1"/>
    </row>
    <row r="19746">
      <c r="C19746" s="1"/>
    </row>
    <row r="19747">
      <c r="C19747" s="1"/>
    </row>
    <row r="19748">
      <c r="C19748" s="1"/>
    </row>
    <row r="19749">
      <c r="C19749" s="1"/>
    </row>
    <row r="19750">
      <c r="C19750" s="1"/>
    </row>
    <row r="19751">
      <c r="C19751" s="1"/>
    </row>
    <row r="19752">
      <c r="C19752" s="1"/>
    </row>
    <row r="19753">
      <c r="C19753" s="1"/>
    </row>
    <row r="19754">
      <c r="C19754" s="1"/>
    </row>
    <row r="19755">
      <c r="C19755" s="1"/>
    </row>
    <row r="19756">
      <c r="C19756" s="1"/>
    </row>
    <row r="19757">
      <c r="C19757" s="1"/>
    </row>
    <row r="19758">
      <c r="C19758" s="1"/>
    </row>
    <row r="19759">
      <c r="C19759" s="1"/>
    </row>
    <row r="19760">
      <c r="C19760" s="1"/>
    </row>
    <row r="19761">
      <c r="C19761" s="1"/>
    </row>
    <row r="19762">
      <c r="C19762" s="1"/>
    </row>
    <row r="19763">
      <c r="C19763" s="1"/>
    </row>
    <row r="19764">
      <c r="C19764" s="1"/>
    </row>
    <row r="19765">
      <c r="C19765" s="1"/>
    </row>
    <row r="19766">
      <c r="C19766" s="1"/>
    </row>
    <row r="19767">
      <c r="C19767" s="1"/>
    </row>
    <row r="19768">
      <c r="C19768" s="1"/>
    </row>
    <row r="19769">
      <c r="C19769" s="1"/>
    </row>
    <row r="19770">
      <c r="C19770" s="1"/>
    </row>
    <row r="19771">
      <c r="C19771" s="1"/>
    </row>
    <row r="19772">
      <c r="C19772" s="1"/>
    </row>
    <row r="19773">
      <c r="C19773" s="1"/>
    </row>
    <row r="19774">
      <c r="C19774" s="1"/>
    </row>
    <row r="19775">
      <c r="C19775" s="1"/>
    </row>
    <row r="19776">
      <c r="C19776" s="1"/>
    </row>
    <row r="19777">
      <c r="C19777" s="1"/>
    </row>
    <row r="19778">
      <c r="C19778" s="1"/>
    </row>
    <row r="19779">
      <c r="C19779" s="1"/>
    </row>
    <row r="19780">
      <c r="C19780" s="1"/>
    </row>
    <row r="19781">
      <c r="C19781" s="1"/>
    </row>
    <row r="19782">
      <c r="C19782" s="1"/>
    </row>
    <row r="19783">
      <c r="C19783" s="1"/>
    </row>
    <row r="19784">
      <c r="C19784" s="1"/>
    </row>
    <row r="19785">
      <c r="C19785" s="1"/>
    </row>
    <row r="19786">
      <c r="C19786" s="1"/>
    </row>
    <row r="19787">
      <c r="C19787" s="1"/>
    </row>
    <row r="19788">
      <c r="C19788" s="1"/>
    </row>
    <row r="19789">
      <c r="C19789" s="1"/>
    </row>
    <row r="19790">
      <c r="C19790" s="1"/>
    </row>
    <row r="19791">
      <c r="C19791" s="1"/>
    </row>
    <row r="19792">
      <c r="C19792" s="1"/>
    </row>
    <row r="19793">
      <c r="C19793" s="1"/>
    </row>
    <row r="19794">
      <c r="C19794" s="1"/>
    </row>
    <row r="19795">
      <c r="C19795" s="1"/>
    </row>
    <row r="19796">
      <c r="C19796" s="1"/>
    </row>
    <row r="19797">
      <c r="C19797" s="1"/>
    </row>
    <row r="19798">
      <c r="C19798" s="1"/>
    </row>
    <row r="19799">
      <c r="C19799" s="1"/>
    </row>
    <row r="19800">
      <c r="C19800" s="1"/>
    </row>
    <row r="19801">
      <c r="C19801" s="1"/>
    </row>
    <row r="19802">
      <c r="C19802" s="1"/>
    </row>
    <row r="19803">
      <c r="C19803" s="1"/>
    </row>
    <row r="19804">
      <c r="C19804" s="1"/>
    </row>
    <row r="19805">
      <c r="C19805" s="1"/>
    </row>
    <row r="19806">
      <c r="C19806" s="1"/>
    </row>
    <row r="19807">
      <c r="C19807" s="1"/>
    </row>
    <row r="19808">
      <c r="C19808" s="1"/>
    </row>
    <row r="19809">
      <c r="C19809" s="1"/>
    </row>
    <row r="19810">
      <c r="C19810" s="1"/>
    </row>
    <row r="19811">
      <c r="C19811" s="1"/>
    </row>
    <row r="19812">
      <c r="C19812" s="1"/>
    </row>
    <row r="19813">
      <c r="C19813" s="1"/>
    </row>
    <row r="19814">
      <c r="C19814" s="1"/>
    </row>
    <row r="19815">
      <c r="C19815" s="1"/>
    </row>
    <row r="19816">
      <c r="C19816" s="1"/>
    </row>
    <row r="19817">
      <c r="C19817" s="1"/>
    </row>
    <row r="19818">
      <c r="C19818" s="1"/>
    </row>
    <row r="19819">
      <c r="C19819" s="1"/>
    </row>
    <row r="19820">
      <c r="C19820" s="1"/>
    </row>
    <row r="19821">
      <c r="C19821" s="1"/>
    </row>
    <row r="19822">
      <c r="C19822" s="1"/>
    </row>
    <row r="19823">
      <c r="C19823" s="1"/>
    </row>
    <row r="19824">
      <c r="C19824" s="1"/>
    </row>
    <row r="19825">
      <c r="C19825" s="1"/>
    </row>
    <row r="19826">
      <c r="C19826" s="1"/>
    </row>
    <row r="19827">
      <c r="C19827" s="1"/>
    </row>
    <row r="19828">
      <c r="C19828" s="1"/>
    </row>
    <row r="19829">
      <c r="C19829" s="1"/>
    </row>
    <row r="19830">
      <c r="C19830" s="1"/>
    </row>
    <row r="19831">
      <c r="C19831" s="1"/>
    </row>
    <row r="19832">
      <c r="C19832" s="1"/>
    </row>
    <row r="19833">
      <c r="C19833" s="1"/>
    </row>
    <row r="19834">
      <c r="C19834" s="1"/>
    </row>
    <row r="19835">
      <c r="C19835" s="1"/>
    </row>
    <row r="19836">
      <c r="C19836" s="1"/>
    </row>
    <row r="19837">
      <c r="C19837" s="1"/>
    </row>
    <row r="19838">
      <c r="C19838" s="1"/>
    </row>
    <row r="19839">
      <c r="C19839" s="1"/>
    </row>
    <row r="19840">
      <c r="C19840" s="1"/>
    </row>
    <row r="19841">
      <c r="C19841" s="1"/>
    </row>
    <row r="19842">
      <c r="C19842" s="1"/>
    </row>
    <row r="19843">
      <c r="C19843" s="1"/>
    </row>
    <row r="19844">
      <c r="C19844" s="1"/>
    </row>
    <row r="19845">
      <c r="C19845" s="1"/>
    </row>
    <row r="19846">
      <c r="C19846" s="1"/>
    </row>
    <row r="19847">
      <c r="C19847" s="1"/>
    </row>
    <row r="19848">
      <c r="C19848" s="1"/>
    </row>
    <row r="19849">
      <c r="C19849" s="1"/>
    </row>
    <row r="19850">
      <c r="C19850" s="1"/>
    </row>
    <row r="19851">
      <c r="C19851" s="1"/>
    </row>
    <row r="19852">
      <c r="C19852" s="1"/>
    </row>
    <row r="19853">
      <c r="C19853" s="1"/>
    </row>
    <row r="19854">
      <c r="C19854" s="1"/>
    </row>
    <row r="19855">
      <c r="C19855" s="1"/>
    </row>
    <row r="19856">
      <c r="C19856" s="1"/>
    </row>
    <row r="19857">
      <c r="C19857" s="1"/>
    </row>
    <row r="19858">
      <c r="C19858" s="1"/>
    </row>
    <row r="19859">
      <c r="C19859" s="1"/>
    </row>
    <row r="19860">
      <c r="C19860" s="1"/>
    </row>
    <row r="19861">
      <c r="C19861" s="1"/>
    </row>
    <row r="19862">
      <c r="C19862" s="1"/>
    </row>
    <row r="19863">
      <c r="C19863" s="1"/>
    </row>
    <row r="19864">
      <c r="C19864" s="1"/>
    </row>
    <row r="19865">
      <c r="C19865" s="1"/>
    </row>
    <row r="19866">
      <c r="C19866" s="1"/>
    </row>
    <row r="19867">
      <c r="C19867" s="1"/>
    </row>
    <row r="19868">
      <c r="C19868" s="1"/>
    </row>
    <row r="19869">
      <c r="C19869" s="1"/>
    </row>
    <row r="19870">
      <c r="C19870" s="1"/>
    </row>
    <row r="19871">
      <c r="C19871" s="1"/>
    </row>
    <row r="19872">
      <c r="C19872" s="1"/>
    </row>
    <row r="19873">
      <c r="C19873" s="1"/>
    </row>
    <row r="19874">
      <c r="C19874" s="1"/>
    </row>
    <row r="19875">
      <c r="C19875" s="1"/>
    </row>
    <row r="19876">
      <c r="C19876" s="1"/>
    </row>
    <row r="19877">
      <c r="C19877" s="1"/>
    </row>
    <row r="19878">
      <c r="C19878" s="1"/>
    </row>
    <row r="19879">
      <c r="C19879" s="1"/>
    </row>
    <row r="19880">
      <c r="C19880" s="1"/>
    </row>
    <row r="19881">
      <c r="C19881" s="1"/>
    </row>
    <row r="19882">
      <c r="C19882" s="1"/>
    </row>
    <row r="19883">
      <c r="C19883" s="1"/>
    </row>
    <row r="19884">
      <c r="C19884" s="1"/>
    </row>
    <row r="19885">
      <c r="C19885" s="1"/>
    </row>
    <row r="19886">
      <c r="C19886" s="1"/>
    </row>
    <row r="19887">
      <c r="C19887" s="1"/>
    </row>
    <row r="19888">
      <c r="C19888" s="1"/>
    </row>
    <row r="19889">
      <c r="C19889" s="1"/>
    </row>
    <row r="19890">
      <c r="C19890" s="1"/>
    </row>
    <row r="19891">
      <c r="C19891" s="1"/>
    </row>
    <row r="19892">
      <c r="C19892" s="1"/>
    </row>
    <row r="19893">
      <c r="C19893" s="1"/>
    </row>
    <row r="19894">
      <c r="C19894" s="1"/>
    </row>
    <row r="19895">
      <c r="C19895" s="1"/>
    </row>
    <row r="19896">
      <c r="C19896" s="1"/>
    </row>
    <row r="19897">
      <c r="C19897" s="1"/>
    </row>
    <row r="19898">
      <c r="C19898" s="1"/>
    </row>
    <row r="19899">
      <c r="C19899" s="1"/>
    </row>
    <row r="19900">
      <c r="C19900" s="1"/>
    </row>
    <row r="19901">
      <c r="C19901" s="1"/>
    </row>
    <row r="19902">
      <c r="C19902" s="1"/>
    </row>
    <row r="19903">
      <c r="C19903" s="1"/>
    </row>
    <row r="19904">
      <c r="C19904" s="1"/>
    </row>
    <row r="19905">
      <c r="C19905" s="1"/>
    </row>
    <row r="19906">
      <c r="C19906" s="1"/>
    </row>
    <row r="19907">
      <c r="C19907" s="1"/>
    </row>
    <row r="19908">
      <c r="C19908" s="1"/>
    </row>
    <row r="19909">
      <c r="C19909" s="1"/>
    </row>
    <row r="19910">
      <c r="C19910" s="1"/>
    </row>
    <row r="19911">
      <c r="C19911" s="1"/>
    </row>
    <row r="19912">
      <c r="C19912" s="1"/>
    </row>
    <row r="19913">
      <c r="C19913" s="1"/>
    </row>
    <row r="19914">
      <c r="C19914" s="1"/>
    </row>
    <row r="19915">
      <c r="C19915" s="1"/>
    </row>
    <row r="19916">
      <c r="C19916" s="1"/>
    </row>
    <row r="19917">
      <c r="C19917" s="1"/>
    </row>
    <row r="19918">
      <c r="C19918" s="1"/>
    </row>
    <row r="19919">
      <c r="C19919" s="1"/>
    </row>
    <row r="19920">
      <c r="C19920" s="1"/>
    </row>
    <row r="19921">
      <c r="C19921" s="1"/>
    </row>
    <row r="19922">
      <c r="C19922" s="1"/>
    </row>
    <row r="19923">
      <c r="C19923" s="1"/>
    </row>
    <row r="19924">
      <c r="C19924" s="1"/>
    </row>
    <row r="19925">
      <c r="C19925" s="1"/>
    </row>
    <row r="19926">
      <c r="C19926" s="1"/>
    </row>
    <row r="19927">
      <c r="C19927" s="1"/>
    </row>
    <row r="19928">
      <c r="C19928" s="1"/>
    </row>
    <row r="19929">
      <c r="C19929" s="1"/>
    </row>
    <row r="19930">
      <c r="C19930" s="1"/>
    </row>
    <row r="19931">
      <c r="C19931" s="1"/>
    </row>
    <row r="19932">
      <c r="C19932" s="1"/>
    </row>
    <row r="19933">
      <c r="C19933" s="1"/>
    </row>
    <row r="19934">
      <c r="C19934" s="1"/>
    </row>
    <row r="19935">
      <c r="C19935" s="1"/>
    </row>
    <row r="19936">
      <c r="C19936" s="1"/>
    </row>
    <row r="19937">
      <c r="C19937" s="1"/>
    </row>
    <row r="19938">
      <c r="C19938" s="1"/>
    </row>
    <row r="19939">
      <c r="C19939" s="1"/>
    </row>
    <row r="19940">
      <c r="C19940" s="1"/>
    </row>
    <row r="19941">
      <c r="C19941" s="1"/>
    </row>
    <row r="19942">
      <c r="C19942" s="1"/>
    </row>
    <row r="19943">
      <c r="C19943" s="1"/>
    </row>
    <row r="19944">
      <c r="C19944" s="1"/>
    </row>
    <row r="19945">
      <c r="C19945" s="1"/>
    </row>
    <row r="19946">
      <c r="C19946" s="1"/>
    </row>
    <row r="19947">
      <c r="C19947" s="1"/>
    </row>
    <row r="19948">
      <c r="C19948" s="1"/>
    </row>
    <row r="19949">
      <c r="C19949" s="1"/>
    </row>
    <row r="19950">
      <c r="C19950" s="1"/>
    </row>
    <row r="19951">
      <c r="C19951" s="1"/>
    </row>
    <row r="19952">
      <c r="C19952" s="1"/>
    </row>
    <row r="19953">
      <c r="C19953" s="1"/>
    </row>
    <row r="19954">
      <c r="C19954" s="1"/>
    </row>
    <row r="19955">
      <c r="C19955" s="1"/>
    </row>
    <row r="19956">
      <c r="C19956" s="1"/>
    </row>
    <row r="19957">
      <c r="C19957" s="1"/>
    </row>
    <row r="19958">
      <c r="C19958" s="1"/>
    </row>
    <row r="19959">
      <c r="C19959" s="1"/>
    </row>
    <row r="19960">
      <c r="C19960" s="1"/>
    </row>
    <row r="19961">
      <c r="C19961" s="1"/>
    </row>
    <row r="19962">
      <c r="C19962" s="1"/>
    </row>
    <row r="19963">
      <c r="C19963" s="1"/>
    </row>
    <row r="19964">
      <c r="C19964" s="1"/>
    </row>
    <row r="19965">
      <c r="C19965" s="1"/>
    </row>
    <row r="19966">
      <c r="C19966" s="1"/>
    </row>
    <row r="19967">
      <c r="C19967" s="1"/>
    </row>
    <row r="19968">
      <c r="C19968" s="1"/>
    </row>
    <row r="19969">
      <c r="C19969" s="1"/>
    </row>
    <row r="19970">
      <c r="C19970" s="1"/>
    </row>
    <row r="19971">
      <c r="C19971" s="1"/>
    </row>
    <row r="19972">
      <c r="C19972" s="1"/>
    </row>
    <row r="19973">
      <c r="C19973" s="1"/>
    </row>
    <row r="19974">
      <c r="C19974" s="1"/>
    </row>
    <row r="19975">
      <c r="C19975" s="1"/>
    </row>
    <row r="19976">
      <c r="C19976" s="1"/>
    </row>
    <row r="19977">
      <c r="C19977" s="1"/>
    </row>
    <row r="19978">
      <c r="C19978" s="1"/>
    </row>
    <row r="19979">
      <c r="C19979" s="1"/>
    </row>
    <row r="19980">
      <c r="C19980" s="1"/>
    </row>
    <row r="19981">
      <c r="C19981" s="1"/>
    </row>
    <row r="19982">
      <c r="C19982" s="1"/>
    </row>
    <row r="19983">
      <c r="C19983" s="1"/>
    </row>
    <row r="19984">
      <c r="C19984" s="1"/>
    </row>
    <row r="19985">
      <c r="C19985" s="1"/>
    </row>
    <row r="19986">
      <c r="C19986" s="1"/>
    </row>
    <row r="19987">
      <c r="C19987" s="1"/>
    </row>
    <row r="19988">
      <c r="C19988" s="1"/>
    </row>
    <row r="19989">
      <c r="C19989" s="1"/>
    </row>
    <row r="19990">
      <c r="C19990" s="1"/>
    </row>
    <row r="19991">
      <c r="C19991" s="1"/>
    </row>
    <row r="19992">
      <c r="C19992" s="1"/>
    </row>
    <row r="19993">
      <c r="C19993" s="1"/>
    </row>
    <row r="19994">
      <c r="C19994" s="1"/>
    </row>
    <row r="19995">
      <c r="C19995" s="1"/>
    </row>
    <row r="19996">
      <c r="C19996" s="1"/>
    </row>
    <row r="19997">
      <c r="C19997" s="1"/>
    </row>
    <row r="19998">
      <c r="C19998" s="1"/>
    </row>
    <row r="19999">
      <c r="C19999" s="1"/>
    </row>
    <row r="20000">
      <c r="C20000" s="1"/>
    </row>
    <row r="20001">
      <c r="C20001" s="1"/>
    </row>
    <row r="20002">
      <c r="C20002" s="1"/>
    </row>
    <row r="20003">
      <c r="C20003" s="1"/>
    </row>
    <row r="20004">
      <c r="C20004" s="1"/>
    </row>
    <row r="20005">
      <c r="C20005" s="1"/>
    </row>
    <row r="20006">
      <c r="C20006" s="1"/>
    </row>
    <row r="20007">
      <c r="C20007" s="1"/>
    </row>
    <row r="20008">
      <c r="C20008" s="1"/>
    </row>
    <row r="20009">
      <c r="C20009" s="1"/>
    </row>
    <row r="20010">
      <c r="C20010" s="1"/>
    </row>
    <row r="20011">
      <c r="C20011" s="1"/>
    </row>
    <row r="20012">
      <c r="C20012" s="1"/>
    </row>
    <row r="20013">
      <c r="C20013" s="1"/>
    </row>
    <row r="20014">
      <c r="C20014" s="1"/>
    </row>
    <row r="20015">
      <c r="C20015" s="1"/>
    </row>
    <row r="20016">
      <c r="C20016" s="1"/>
    </row>
    <row r="20017">
      <c r="C20017" s="1"/>
    </row>
    <row r="20018">
      <c r="C20018" s="1"/>
    </row>
    <row r="20019">
      <c r="C20019" s="1"/>
    </row>
    <row r="20020">
      <c r="C20020" s="1"/>
    </row>
    <row r="20021">
      <c r="C20021" s="1"/>
    </row>
    <row r="20022">
      <c r="C20022" s="1"/>
    </row>
    <row r="20023">
      <c r="C20023" s="1"/>
    </row>
    <row r="20024">
      <c r="C20024" s="1"/>
    </row>
    <row r="20025">
      <c r="C20025" s="1"/>
    </row>
    <row r="20026">
      <c r="C20026" s="1"/>
    </row>
    <row r="20027">
      <c r="C20027" s="1"/>
    </row>
    <row r="20028">
      <c r="C20028" s="1"/>
    </row>
    <row r="20029">
      <c r="C20029" s="1"/>
    </row>
    <row r="20030">
      <c r="C20030" s="1"/>
    </row>
    <row r="20031">
      <c r="C20031" s="1"/>
    </row>
    <row r="20032">
      <c r="C20032" s="1"/>
    </row>
    <row r="20033">
      <c r="C20033" s="1"/>
    </row>
    <row r="20034">
      <c r="C20034" s="1"/>
    </row>
    <row r="20035">
      <c r="C20035" s="1"/>
    </row>
    <row r="20036">
      <c r="C20036" s="1"/>
    </row>
    <row r="20037">
      <c r="C20037" s="1"/>
    </row>
    <row r="20038">
      <c r="C20038" s="1"/>
    </row>
    <row r="20039">
      <c r="C20039" s="1"/>
    </row>
    <row r="20040">
      <c r="C20040" s="1"/>
    </row>
    <row r="20041">
      <c r="C20041" s="1"/>
    </row>
    <row r="20042">
      <c r="C20042" s="1"/>
    </row>
    <row r="20043">
      <c r="C20043" s="1"/>
    </row>
    <row r="20044">
      <c r="C20044" s="1"/>
    </row>
    <row r="20045">
      <c r="C20045" s="1"/>
    </row>
    <row r="20046">
      <c r="C20046" s="1"/>
    </row>
    <row r="20047">
      <c r="C20047" s="1"/>
    </row>
    <row r="20048">
      <c r="C20048" s="1"/>
    </row>
    <row r="20049">
      <c r="C20049" s="1"/>
    </row>
    <row r="20050">
      <c r="C20050" s="1"/>
    </row>
    <row r="20051">
      <c r="C20051" s="1"/>
    </row>
    <row r="20052">
      <c r="C20052" s="1"/>
    </row>
    <row r="20053">
      <c r="C20053" s="1"/>
    </row>
    <row r="20054">
      <c r="C20054" s="1"/>
    </row>
    <row r="20055">
      <c r="C20055" s="1"/>
    </row>
    <row r="20056">
      <c r="C20056" s="1"/>
    </row>
    <row r="20057">
      <c r="C20057" s="1"/>
    </row>
    <row r="20058">
      <c r="C20058" s="1"/>
    </row>
    <row r="20059">
      <c r="C20059" s="1"/>
    </row>
    <row r="20060">
      <c r="C20060" s="1"/>
    </row>
    <row r="20061">
      <c r="C20061" s="1"/>
    </row>
    <row r="20062">
      <c r="C20062" s="1"/>
    </row>
    <row r="20063">
      <c r="C20063" s="1"/>
    </row>
    <row r="20064">
      <c r="C20064" s="1"/>
    </row>
    <row r="20065">
      <c r="C20065" s="1"/>
    </row>
    <row r="20066">
      <c r="C20066" s="1"/>
    </row>
    <row r="20067">
      <c r="C20067" s="1"/>
    </row>
    <row r="20068">
      <c r="C20068" s="1"/>
    </row>
    <row r="20069">
      <c r="C20069" s="1"/>
    </row>
    <row r="20070">
      <c r="C20070" s="1"/>
    </row>
    <row r="20071">
      <c r="C20071" s="1"/>
    </row>
    <row r="20072">
      <c r="C20072" s="1"/>
    </row>
    <row r="20073">
      <c r="C20073" s="1"/>
    </row>
    <row r="20074">
      <c r="C20074" s="1"/>
    </row>
    <row r="20075">
      <c r="C20075" s="1"/>
    </row>
    <row r="20076">
      <c r="C20076" s="1"/>
    </row>
    <row r="20077">
      <c r="C20077" s="1"/>
    </row>
    <row r="20078">
      <c r="C20078" s="1"/>
    </row>
    <row r="20079">
      <c r="C20079" s="1"/>
    </row>
    <row r="20080">
      <c r="C20080" s="1"/>
    </row>
    <row r="20081">
      <c r="C20081" s="1"/>
    </row>
    <row r="20082">
      <c r="C20082" s="1"/>
    </row>
    <row r="20083">
      <c r="C20083" s="1"/>
    </row>
    <row r="20084">
      <c r="C20084" s="1"/>
    </row>
    <row r="20085">
      <c r="C20085" s="1"/>
    </row>
    <row r="20086">
      <c r="C20086" s="1"/>
    </row>
    <row r="20087">
      <c r="C20087" s="1"/>
    </row>
    <row r="20088">
      <c r="C20088" s="1"/>
    </row>
    <row r="20089">
      <c r="C20089" s="1"/>
    </row>
    <row r="20090">
      <c r="C20090" s="1"/>
    </row>
    <row r="20091">
      <c r="C20091" s="1"/>
    </row>
    <row r="20092">
      <c r="C20092" s="1"/>
    </row>
    <row r="20093">
      <c r="C20093" s="1"/>
    </row>
    <row r="20094">
      <c r="C20094" s="1"/>
    </row>
    <row r="20095">
      <c r="C20095" s="1"/>
    </row>
    <row r="20096">
      <c r="C20096" s="1"/>
    </row>
    <row r="20097">
      <c r="C20097" s="1"/>
    </row>
    <row r="20098">
      <c r="C20098" s="1"/>
    </row>
    <row r="20099">
      <c r="C20099" s="1"/>
    </row>
    <row r="20100">
      <c r="C20100" s="1"/>
    </row>
    <row r="20101">
      <c r="C20101" s="1"/>
    </row>
    <row r="20102">
      <c r="C20102" s="1"/>
    </row>
    <row r="20103">
      <c r="C20103" s="1"/>
    </row>
    <row r="20104">
      <c r="C20104" s="1"/>
    </row>
    <row r="20105">
      <c r="C20105" s="1"/>
    </row>
    <row r="20106">
      <c r="C20106" s="1"/>
    </row>
    <row r="20107">
      <c r="C20107" s="1"/>
    </row>
    <row r="20108">
      <c r="C20108" s="1"/>
    </row>
    <row r="20109">
      <c r="C20109" s="1"/>
    </row>
    <row r="20110">
      <c r="C20110" s="1"/>
    </row>
    <row r="20111">
      <c r="C20111" s="1"/>
    </row>
    <row r="20112">
      <c r="C20112" s="1"/>
    </row>
    <row r="20113">
      <c r="C20113" s="1"/>
    </row>
    <row r="20114">
      <c r="C20114" s="1"/>
    </row>
    <row r="20115">
      <c r="C20115" s="1"/>
    </row>
    <row r="20116">
      <c r="C20116" s="1"/>
    </row>
    <row r="20117">
      <c r="C20117" s="1"/>
    </row>
    <row r="20118">
      <c r="C20118" s="1"/>
    </row>
    <row r="20119">
      <c r="C20119" s="1"/>
    </row>
    <row r="20120">
      <c r="C20120" s="1"/>
    </row>
    <row r="20121">
      <c r="C20121" s="1"/>
    </row>
    <row r="20122">
      <c r="C20122" s="1"/>
    </row>
    <row r="20123">
      <c r="C20123" s="1"/>
    </row>
    <row r="20124">
      <c r="C20124" s="1"/>
    </row>
    <row r="20125">
      <c r="C20125" s="1"/>
    </row>
    <row r="20126">
      <c r="C20126" s="1"/>
    </row>
    <row r="20127">
      <c r="C20127" s="1"/>
    </row>
    <row r="20128">
      <c r="C20128" s="1"/>
    </row>
    <row r="20129">
      <c r="C20129" s="1"/>
    </row>
    <row r="20130">
      <c r="C20130" s="1"/>
    </row>
    <row r="20131">
      <c r="C20131" s="1"/>
    </row>
    <row r="20132">
      <c r="C20132" s="1"/>
    </row>
    <row r="20133">
      <c r="C20133" s="1"/>
    </row>
    <row r="20134">
      <c r="C20134" s="1"/>
    </row>
    <row r="20135">
      <c r="C20135" s="1"/>
    </row>
    <row r="20136">
      <c r="C20136" s="1"/>
    </row>
    <row r="20137">
      <c r="C20137" s="1"/>
    </row>
    <row r="20138">
      <c r="C20138" s="1"/>
    </row>
    <row r="20139">
      <c r="C20139" s="1"/>
    </row>
    <row r="20140">
      <c r="C20140" s="1"/>
    </row>
    <row r="20141">
      <c r="C20141" s="1"/>
    </row>
    <row r="20142">
      <c r="C20142" s="1"/>
    </row>
    <row r="20143">
      <c r="C20143" s="1"/>
    </row>
    <row r="20144">
      <c r="C20144" s="1"/>
    </row>
    <row r="20145">
      <c r="C20145" s="1"/>
    </row>
    <row r="20146">
      <c r="C20146" s="1"/>
    </row>
    <row r="20147">
      <c r="C20147" s="1"/>
    </row>
    <row r="20148">
      <c r="C20148" s="1"/>
    </row>
    <row r="20149">
      <c r="C20149" s="1"/>
    </row>
    <row r="20150">
      <c r="C20150" s="1"/>
    </row>
    <row r="20151">
      <c r="C20151" s="1"/>
    </row>
    <row r="20152">
      <c r="C20152" s="1"/>
    </row>
    <row r="20153">
      <c r="C20153" s="1"/>
    </row>
    <row r="20154">
      <c r="C20154" s="1"/>
    </row>
    <row r="20155">
      <c r="C20155" s="1"/>
    </row>
    <row r="20156">
      <c r="C20156" s="1"/>
    </row>
    <row r="20157">
      <c r="C20157" s="1"/>
    </row>
    <row r="20158">
      <c r="C20158" s="1"/>
    </row>
    <row r="20159">
      <c r="C20159" s="1"/>
    </row>
    <row r="20160">
      <c r="C20160" s="1"/>
    </row>
    <row r="20161">
      <c r="C20161" s="1"/>
    </row>
    <row r="20162">
      <c r="C20162" s="1"/>
    </row>
    <row r="20163">
      <c r="C20163" s="1"/>
    </row>
    <row r="20164">
      <c r="C20164" s="1"/>
    </row>
    <row r="20165">
      <c r="C20165" s="1"/>
    </row>
    <row r="20166">
      <c r="C20166" s="1"/>
    </row>
    <row r="20167">
      <c r="C20167" s="1"/>
    </row>
    <row r="20168">
      <c r="C20168" s="1"/>
    </row>
    <row r="20169">
      <c r="C20169" s="1"/>
    </row>
    <row r="20170">
      <c r="C20170" s="1"/>
    </row>
    <row r="20171">
      <c r="C20171" s="1"/>
    </row>
    <row r="20172">
      <c r="C20172" s="1"/>
    </row>
    <row r="20173">
      <c r="C20173" s="1"/>
    </row>
    <row r="20174">
      <c r="C20174" s="1"/>
    </row>
    <row r="20175">
      <c r="C20175" s="1"/>
    </row>
    <row r="20176">
      <c r="C20176" s="1"/>
    </row>
    <row r="20177">
      <c r="C20177" s="1"/>
    </row>
    <row r="20178">
      <c r="C20178" s="1"/>
    </row>
    <row r="20179">
      <c r="C20179" s="1"/>
    </row>
    <row r="20180">
      <c r="C20180" s="1"/>
    </row>
    <row r="20181">
      <c r="C20181" s="1"/>
    </row>
    <row r="20182">
      <c r="C20182" s="1"/>
    </row>
    <row r="20183">
      <c r="C20183" s="1"/>
    </row>
    <row r="20184">
      <c r="C20184" s="1"/>
    </row>
    <row r="20185">
      <c r="C20185" s="1"/>
    </row>
    <row r="20186">
      <c r="C20186" s="1"/>
    </row>
    <row r="20187">
      <c r="C20187" s="1"/>
    </row>
    <row r="20188">
      <c r="C20188" s="1"/>
    </row>
    <row r="20189">
      <c r="C20189" s="1"/>
    </row>
    <row r="20190">
      <c r="C20190" s="1"/>
    </row>
    <row r="20191">
      <c r="C20191" s="1"/>
    </row>
    <row r="20192">
      <c r="C20192" s="1"/>
    </row>
    <row r="20193">
      <c r="C20193" s="1"/>
    </row>
    <row r="20194">
      <c r="C20194" s="1"/>
    </row>
    <row r="20195">
      <c r="C20195" s="1"/>
    </row>
    <row r="20196">
      <c r="C20196" s="1"/>
    </row>
    <row r="20197">
      <c r="C20197" s="1"/>
    </row>
    <row r="20198">
      <c r="C20198" s="1"/>
    </row>
    <row r="20199">
      <c r="C20199" s="1"/>
    </row>
    <row r="20200">
      <c r="C20200" s="1"/>
    </row>
    <row r="20201">
      <c r="C20201" s="1"/>
    </row>
    <row r="20202">
      <c r="C20202" s="1"/>
    </row>
    <row r="20203">
      <c r="C20203" s="1"/>
    </row>
    <row r="20204">
      <c r="C20204" s="1"/>
    </row>
    <row r="20205">
      <c r="C20205" s="1"/>
    </row>
    <row r="20206">
      <c r="C20206" s="1"/>
    </row>
    <row r="20207">
      <c r="C20207" s="1"/>
    </row>
    <row r="20208">
      <c r="C20208" s="1"/>
    </row>
    <row r="20209">
      <c r="C20209" s="1"/>
    </row>
    <row r="20210">
      <c r="C20210" s="1"/>
    </row>
    <row r="20211">
      <c r="C20211" s="1"/>
    </row>
    <row r="20212">
      <c r="C20212" s="1"/>
    </row>
    <row r="20213">
      <c r="C20213" s="1"/>
    </row>
    <row r="20214">
      <c r="C20214" s="1"/>
    </row>
    <row r="20215">
      <c r="C20215" s="1"/>
    </row>
    <row r="20216">
      <c r="C20216" s="1"/>
    </row>
    <row r="20217">
      <c r="C20217" s="1"/>
    </row>
    <row r="20218">
      <c r="C20218" s="1"/>
    </row>
    <row r="20219">
      <c r="C20219" s="1"/>
    </row>
    <row r="20220">
      <c r="C20220" s="1"/>
    </row>
    <row r="20221">
      <c r="C20221" s="1"/>
    </row>
    <row r="20222">
      <c r="C20222" s="1"/>
    </row>
    <row r="20223">
      <c r="C20223" s="1"/>
    </row>
    <row r="20224">
      <c r="C20224" s="1"/>
    </row>
    <row r="20225">
      <c r="C20225" s="1"/>
    </row>
    <row r="20226">
      <c r="C20226" s="1"/>
    </row>
    <row r="20227">
      <c r="C20227" s="1"/>
    </row>
    <row r="20228">
      <c r="C20228" s="1"/>
    </row>
    <row r="20229">
      <c r="C20229" s="1"/>
    </row>
    <row r="20230">
      <c r="C20230" s="1"/>
    </row>
    <row r="20231">
      <c r="C20231" s="1"/>
    </row>
    <row r="20232">
      <c r="C20232" s="1"/>
    </row>
    <row r="20233">
      <c r="C20233" s="1"/>
    </row>
    <row r="20234">
      <c r="C20234" s="1"/>
    </row>
    <row r="20235">
      <c r="C20235" s="1"/>
    </row>
    <row r="20236">
      <c r="C20236" s="1"/>
    </row>
    <row r="20237">
      <c r="C20237" s="1"/>
    </row>
    <row r="20238">
      <c r="C20238" s="1"/>
    </row>
    <row r="20239">
      <c r="C20239" s="1"/>
    </row>
    <row r="20240">
      <c r="C20240" s="1"/>
    </row>
    <row r="20241">
      <c r="C20241" s="1"/>
    </row>
    <row r="20242">
      <c r="C20242" s="1"/>
    </row>
    <row r="20243">
      <c r="C20243" s="1"/>
    </row>
    <row r="20244">
      <c r="C20244" s="1"/>
    </row>
    <row r="20245">
      <c r="C20245" s="1"/>
    </row>
    <row r="20246">
      <c r="C20246" s="1"/>
    </row>
    <row r="20247">
      <c r="C20247" s="1"/>
    </row>
    <row r="20248">
      <c r="C20248" s="1"/>
    </row>
    <row r="20249">
      <c r="C20249" s="1"/>
    </row>
    <row r="20250">
      <c r="C20250" s="1"/>
    </row>
    <row r="20251">
      <c r="C20251" s="1"/>
    </row>
    <row r="20252">
      <c r="C20252" s="1"/>
    </row>
    <row r="20253">
      <c r="C20253" s="1"/>
    </row>
    <row r="20254">
      <c r="C20254" s="1"/>
    </row>
    <row r="20255">
      <c r="C20255" s="1"/>
    </row>
    <row r="20256">
      <c r="C20256" s="1"/>
    </row>
    <row r="20257">
      <c r="C20257" s="1"/>
    </row>
    <row r="20258">
      <c r="C20258" s="1"/>
    </row>
    <row r="20259">
      <c r="C20259" s="1"/>
    </row>
    <row r="20260">
      <c r="C20260" s="1"/>
    </row>
    <row r="20261">
      <c r="C20261" s="1"/>
    </row>
    <row r="20262">
      <c r="C20262" s="1"/>
    </row>
    <row r="20263">
      <c r="C20263" s="1"/>
    </row>
    <row r="20264">
      <c r="C20264" s="1"/>
    </row>
    <row r="20265">
      <c r="C20265" s="1"/>
    </row>
    <row r="20266">
      <c r="C20266" s="1"/>
    </row>
    <row r="20267">
      <c r="C20267" s="1"/>
    </row>
    <row r="20268">
      <c r="C20268" s="1"/>
    </row>
    <row r="20269">
      <c r="C20269" s="1"/>
    </row>
    <row r="20270">
      <c r="C20270" s="1"/>
    </row>
    <row r="20271">
      <c r="C20271" s="1"/>
    </row>
    <row r="20272">
      <c r="C20272" s="1"/>
    </row>
    <row r="20273">
      <c r="C20273" s="1"/>
    </row>
    <row r="20274">
      <c r="C20274" s="1"/>
    </row>
    <row r="20275">
      <c r="C20275" s="1"/>
    </row>
    <row r="20276">
      <c r="C20276" s="1"/>
    </row>
    <row r="20277">
      <c r="C20277" s="1"/>
    </row>
    <row r="20278">
      <c r="C20278" s="1"/>
    </row>
    <row r="20279">
      <c r="C20279" s="1"/>
    </row>
    <row r="20280">
      <c r="C20280" s="1"/>
    </row>
    <row r="20281">
      <c r="C20281" s="1"/>
    </row>
    <row r="20282">
      <c r="C20282" s="1"/>
    </row>
    <row r="20283">
      <c r="C20283" s="1"/>
    </row>
    <row r="20284">
      <c r="C20284" s="1"/>
    </row>
    <row r="20285">
      <c r="C20285" s="1"/>
    </row>
    <row r="20286">
      <c r="C20286" s="1"/>
    </row>
    <row r="20287">
      <c r="C20287" s="1"/>
    </row>
    <row r="20288">
      <c r="C20288" s="1"/>
    </row>
    <row r="20289">
      <c r="C20289" s="1"/>
    </row>
    <row r="20290">
      <c r="C20290" s="1"/>
    </row>
    <row r="20291">
      <c r="C20291" s="1"/>
    </row>
    <row r="20292">
      <c r="C20292" s="1"/>
    </row>
    <row r="20293">
      <c r="C20293" s="1"/>
    </row>
    <row r="20294">
      <c r="C20294" s="1"/>
    </row>
    <row r="20295">
      <c r="C20295" s="1"/>
    </row>
    <row r="20296">
      <c r="C20296" s="1"/>
    </row>
    <row r="20297">
      <c r="C20297" s="1"/>
    </row>
    <row r="20298">
      <c r="C20298" s="1"/>
    </row>
    <row r="20299">
      <c r="C20299" s="1"/>
    </row>
    <row r="20300">
      <c r="C20300" s="1"/>
    </row>
    <row r="20301">
      <c r="C20301" s="1"/>
    </row>
    <row r="20302">
      <c r="C20302" s="1"/>
    </row>
    <row r="20303">
      <c r="C20303" s="1"/>
    </row>
    <row r="20304">
      <c r="C20304" s="1"/>
    </row>
    <row r="20305">
      <c r="C20305" s="1"/>
    </row>
    <row r="20306">
      <c r="C20306" s="1"/>
    </row>
    <row r="20307">
      <c r="C20307" s="1"/>
    </row>
    <row r="20308">
      <c r="C20308" s="1"/>
    </row>
    <row r="20309">
      <c r="C20309" s="1"/>
    </row>
    <row r="20310">
      <c r="C20310" s="1"/>
    </row>
    <row r="20311">
      <c r="C20311" s="1"/>
    </row>
    <row r="20312">
      <c r="C20312" s="1"/>
    </row>
    <row r="20313">
      <c r="C20313" s="1"/>
    </row>
    <row r="20314">
      <c r="C20314" s="1"/>
    </row>
    <row r="20315">
      <c r="C20315" s="1"/>
    </row>
    <row r="20316">
      <c r="C20316" s="1"/>
    </row>
    <row r="20317">
      <c r="C20317" s="1"/>
    </row>
    <row r="20318">
      <c r="C20318" s="1"/>
    </row>
    <row r="20319">
      <c r="C20319" s="1"/>
    </row>
    <row r="20320">
      <c r="C20320" s="1"/>
    </row>
    <row r="20321">
      <c r="C20321" s="1"/>
    </row>
    <row r="20322">
      <c r="C20322" s="1"/>
    </row>
    <row r="20323">
      <c r="C20323" s="1"/>
    </row>
    <row r="20324">
      <c r="C20324" s="1"/>
    </row>
    <row r="20325">
      <c r="C20325" s="1"/>
    </row>
    <row r="20326">
      <c r="C20326" s="1"/>
    </row>
    <row r="20327">
      <c r="C20327" s="1"/>
    </row>
    <row r="20328">
      <c r="C20328" s="1"/>
    </row>
    <row r="20329">
      <c r="C20329" s="1"/>
    </row>
    <row r="20330">
      <c r="C20330" s="1"/>
    </row>
    <row r="20331">
      <c r="C20331" s="1"/>
    </row>
    <row r="20332">
      <c r="C20332" s="1"/>
    </row>
    <row r="20333">
      <c r="C20333" s="1"/>
    </row>
    <row r="20334">
      <c r="C20334" s="1"/>
    </row>
    <row r="20335">
      <c r="C20335" s="1"/>
    </row>
    <row r="20336">
      <c r="C20336" s="1"/>
    </row>
    <row r="20337">
      <c r="C20337" s="1"/>
    </row>
    <row r="20338">
      <c r="C20338" s="1"/>
    </row>
    <row r="20339">
      <c r="C20339" s="1"/>
    </row>
    <row r="20340">
      <c r="C20340" s="1"/>
    </row>
    <row r="20341">
      <c r="C20341" s="1"/>
    </row>
    <row r="20342">
      <c r="C20342" s="1"/>
    </row>
    <row r="20343">
      <c r="C20343" s="1"/>
    </row>
    <row r="20344">
      <c r="C20344" s="1"/>
    </row>
    <row r="20345">
      <c r="C20345" s="1"/>
    </row>
    <row r="20346">
      <c r="C20346" s="1"/>
    </row>
    <row r="20347">
      <c r="C20347" s="1"/>
    </row>
    <row r="20348">
      <c r="C20348" s="1"/>
    </row>
    <row r="20349">
      <c r="C20349" s="1"/>
    </row>
    <row r="20350">
      <c r="C20350" s="1"/>
    </row>
    <row r="20351">
      <c r="C20351" s="1"/>
    </row>
    <row r="20352">
      <c r="C20352" s="1"/>
    </row>
    <row r="20353">
      <c r="C20353" s="1"/>
    </row>
    <row r="20354">
      <c r="C20354" s="1"/>
    </row>
    <row r="20355">
      <c r="C20355" s="1"/>
    </row>
    <row r="20356">
      <c r="C20356" s="1"/>
    </row>
    <row r="20357">
      <c r="C20357" s="1"/>
    </row>
    <row r="20358">
      <c r="C20358" s="1"/>
    </row>
    <row r="20359">
      <c r="C20359" s="1"/>
    </row>
    <row r="20360">
      <c r="C20360" s="1"/>
    </row>
    <row r="20361">
      <c r="C20361" s="1"/>
    </row>
    <row r="20362">
      <c r="C20362" s="1"/>
    </row>
    <row r="20363">
      <c r="C20363" s="1"/>
    </row>
    <row r="20364">
      <c r="C20364" s="1"/>
    </row>
    <row r="20365">
      <c r="C20365" s="1"/>
    </row>
    <row r="20366">
      <c r="C20366" s="1"/>
    </row>
    <row r="20367">
      <c r="C20367" s="1"/>
    </row>
    <row r="20368">
      <c r="C20368" s="1"/>
    </row>
    <row r="20369">
      <c r="C20369" s="1"/>
    </row>
    <row r="20370">
      <c r="C20370" s="1"/>
    </row>
    <row r="20371">
      <c r="C20371" s="1"/>
    </row>
    <row r="20372">
      <c r="C20372" s="1"/>
    </row>
    <row r="20373">
      <c r="C20373" s="1"/>
    </row>
    <row r="20374">
      <c r="C20374" s="1"/>
    </row>
    <row r="20375">
      <c r="C20375" s="1"/>
    </row>
    <row r="20376">
      <c r="C20376" s="1"/>
    </row>
    <row r="20377">
      <c r="C20377" s="1"/>
    </row>
    <row r="20378">
      <c r="C20378" s="1"/>
    </row>
    <row r="20379">
      <c r="C20379" s="1"/>
    </row>
    <row r="20380">
      <c r="C20380" s="1"/>
    </row>
    <row r="20381">
      <c r="C20381" s="1"/>
    </row>
    <row r="20382">
      <c r="C20382" s="1"/>
    </row>
    <row r="20383">
      <c r="C20383" s="1"/>
    </row>
    <row r="20384">
      <c r="C20384" s="1"/>
    </row>
    <row r="20385">
      <c r="C20385" s="1"/>
    </row>
    <row r="20386">
      <c r="C20386" s="1"/>
    </row>
    <row r="20387">
      <c r="C20387" s="1"/>
    </row>
    <row r="20388">
      <c r="C20388" s="1"/>
    </row>
    <row r="20389">
      <c r="C20389" s="1"/>
    </row>
    <row r="20390">
      <c r="C20390" s="1"/>
    </row>
    <row r="20391">
      <c r="C20391" s="1"/>
    </row>
    <row r="20392">
      <c r="C20392" s="1"/>
    </row>
    <row r="20393">
      <c r="C20393" s="1"/>
    </row>
    <row r="20394">
      <c r="C20394" s="1"/>
    </row>
    <row r="20395">
      <c r="C20395" s="1"/>
    </row>
    <row r="20396">
      <c r="C20396" s="1"/>
    </row>
    <row r="20397">
      <c r="C20397" s="1"/>
    </row>
    <row r="20398">
      <c r="C20398" s="1"/>
    </row>
    <row r="20399">
      <c r="C20399" s="1"/>
    </row>
    <row r="20400">
      <c r="C20400" s="1"/>
    </row>
    <row r="20401">
      <c r="C20401" s="1"/>
    </row>
    <row r="20402">
      <c r="C20402" s="1"/>
    </row>
    <row r="20403">
      <c r="C20403" s="1"/>
    </row>
    <row r="20404">
      <c r="C20404" s="1"/>
    </row>
    <row r="20405">
      <c r="C20405" s="1"/>
    </row>
    <row r="20406">
      <c r="C20406" s="1"/>
    </row>
    <row r="20407">
      <c r="C20407" s="1"/>
    </row>
    <row r="20408">
      <c r="C20408" s="1"/>
    </row>
    <row r="20409">
      <c r="C20409" s="1"/>
    </row>
    <row r="20410">
      <c r="C20410" s="1"/>
    </row>
    <row r="20411">
      <c r="C20411" s="1"/>
    </row>
    <row r="20412">
      <c r="C20412" s="1"/>
    </row>
    <row r="20413">
      <c r="C20413" s="1"/>
    </row>
    <row r="20414">
      <c r="C20414" s="1"/>
    </row>
    <row r="20415">
      <c r="C20415" s="1"/>
    </row>
    <row r="20416">
      <c r="C20416" s="1"/>
    </row>
    <row r="20417">
      <c r="C20417" s="1"/>
    </row>
    <row r="20418">
      <c r="C20418" s="1"/>
    </row>
    <row r="20419">
      <c r="C20419" s="1"/>
    </row>
    <row r="20420">
      <c r="C20420" s="1"/>
    </row>
    <row r="20421">
      <c r="C20421" s="1"/>
    </row>
    <row r="20422">
      <c r="C20422" s="1"/>
    </row>
    <row r="20423">
      <c r="C20423" s="1"/>
    </row>
    <row r="20424">
      <c r="C20424" s="1"/>
    </row>
    <row r="20425">
      <c r="C20425" s="1"/>
    </row>
    <row r="20426">
      <c r="C20426" s="1"/>
    </row>
    <row r="20427">
      <c r="C20427" s="1"/>
    </row>
    <row r="20428">
      <c r="C20428" s="1"/>
    </row>
    <row r="20429">
      <c r="C20429" s="1"/>
    </row>
    <row r="20430">
      <c r="C20430" s="1"/>
    </row>
    <row r="20431">
      <c r="C20431" s="1"/>
    </row>
    <row r="20432">
      <c r="C20432" s="1"/>
    </row>
    <row r="20433">
      <c r="C20433" s="1"/>
    </row>
    <row r="20434">
      <c r="C20434" s="1"/>
    </row>
    <row r="20435">
      <c r="C20435" s="1"/>
    </row>
    <row r="20436">
      <c r="C20436" s="1"/>
    </row>
    <row r="20437">
      <c r="C20437" s="1"/>
    </row>
    <row r="20438">
      <c r="C20438" s="1"/>
    </row>
    <row r="20439">
      <c r="C20439" s="1"/>
    </row>
    <row r="20440">
      <c r="C20440" s="1"/>
    </row>
    <row r="20441">
      <c r="C20441" s="1"/>
    </row>
    <row r="20442">
      <c r="C20442" s="1"/>
    </row>
    <row r="20443">
      <c r="C20443" s="1"/>
    </row>
    <row r="20444">
      <c r="C20444" s="1"/>
    </row>
    <row r="20445">
      <c r="C20445" s="1"/>
    </row>
    <row r="20446">
      <c r="C20446" s="1"/>
    </row>
    <row r="20447">
      <c r="C20447" s="1"/>
    </row>
    <row r="20448">
      <c r="C20448" s="1"/>
    </row>
    <row r="20449">
      <c r="C20449" s="1"/>
    </row>
    <row r="20450">
      <c r="C20450" s="1"/>
    </row>
    <row r="20451">
      <c r="C20451" s="1"/>
    </row>
    <row r="20452">
      <c r="C20452" s="1"/>
    </row>
    <row r="20453">
      <c r="C20453" s="1"/>
    </row>
    <row r="20454">
      <c r="C20454" s="1"/>
    </row>
    <row r="20455">
      <c r="C20455" s="1"/>
    </row>
    <row r="20456">
      <c r="C20456" s="1"/>
    </row>
    <row r="20457">
      <c r="C20457" s="1"/>
    </row>
    <row r="20458">
      <c r="C20458" s="1"/>
    </row>
    <row r="20459">
      <c r="C20459" s="1"/>
    </row>
    <row r="20460">
      <c r="C20460" s="1"/>
    </row>
    <row r="20461">
      <c r="C20461" s="1"/>
    </row>
    <row r="20462">
      <c r="C20462" s="1"/>
    </row>
    <row r="20463">
      <c r="C20463" s="1"/>
    </row>
    <row r="20464">
      <c r="C20464" s="1"/>
    </row>
    <row r="20465">
      <c r="C20465" s="1"/>
    </row>
    <row r="20466">
      <c r="C20466" s="1"/>
    </row>
    <row r="20467">
      <c r="C20467" s="1"/>
    </row>
    <row r="20468">
      <c r="C20468" s="1"/>
    </row>
    <row r="20469">
      <c r="C20469" s="1"/>
    </row>
    <row r="20470">
      <c r="C20470" s="1"/>
    </row>
    <row r="20471">
      <c r="C20471" s="1"/>
    </row>
    <row r="20472">
      <c r="C20472" s="1"/>
    </row>
    <row r="20473">
      <c r="C20473" s="1"/>
    </row>
    <row r="20474">
      <c r="C20474" s="1"/>
    </row>
    <row r="20475">
      <c r="C20475" s="1"/>
    </row>
    <row r="20476">
      <c r="C20476" s="1"/>
    </row>
    <row r="20477">
      <c r="C20477" s="1"/>
    </row>
    <row r="20478">
      <c r="C20478" s="1"/>
    </row>
    <row r="20479">
      <c r="C20479" s="1"/>
    </row>
    <row r="20480">
      <c r="C20480" s="1"/>
    </row>
    <row r="20481">
      <c r="C20481" s="1"/>
    </row>
    <row r="20482">
      <c r="C20482" s="1"/>
    </row>
    <row r="20483">
      <c r="C20483" s="1"/>
    </row>
    <row r="20484">
      <c r="C20484" s="1"/>
    </row>
    <row r="20485">
      <c r="C20485" s="1"/>
    </row>
    <row r="20486">
      <c r="C20486" s="1"/>
    </row>
    <row r="20487">
      <c r="C20487" s="1"/>
    </row>
    <row r="20488">
      <c r="C20488" s="1"/>
    </row>
    <row r="20489">
      <c r="C20489" s="1"/>
    </row>
    <row r="20490">
      <c r="C20490" s="1"/>
    </row>
    <row r="20491">
      <c r="C20491" s="1"/>
    </row>
    <row r="20492">
      <c r="C20492" s="1"/>
    </row>
    <row r="20493">
      <c r="C20493" s="1"/>
    </row>
    <row r="20494">
      <c r="C20494" s="1"/>
    </row>
    <row r="20495">
      <c r="C20495" s="1"/>
    </row>
    <row r="20496">
      <c r="C20496" s="1"/>
    </row>
    <row r="20497">
      <c r="C20497" s="1"/>
    </row>
    <row r="20498">
      <c r="C20498" s="1"/>
    </row>
    <row r="20499">
      <c r="C20499" s="1"/>
    </row>
    <row r="20500">
      <c r="C20500" s="1"/>
    </row>
    <row r="20501">
      <c r="C20501" s="1"/>
    </row>
    <row r="20502">
      <c r="C20502" s="1"/>
    </row>
    <row r="20503">
      <c r="C20503" s="1"/>
    </row>
    <row r="20504">
      <c r="C20504" s="1"/>
    </row>
    <row r="20505">
      <c r="C20505" s="1"/>
    </row>
    <row r="20506">
      <c r="C20506" s="1"/>
    </row>
    <row r="20507">
      <c r="C20507" s="1"/>
    </row>
    <row r="20508">
      <c r="C20508" s="1"/>
    </row>
    <row r="20509">
      <c r="C20509" s="1"/>
    </row>
    <row r="20510">
      <c r="C20510" s="1"/>
    </row>
    <row r="20511">
      <c r="C20511" s="1"/>
    </row>
    <row r="20512">
      <c r="C20512" s="1"/>
    </row>
    <row r="20513">
      <c r="C20513" s="1"/>
    </row>
    <row r="20514">
      <c r="C20514" s="1"/>
    </row>
    <row r="20515">
      <c r="C20515" s="1"/>
    </row>
    <row r="20516">
      <c r="C20516" s="1"/>
    </row>
    <row r="20517">
      <c r="C20517" s="1"/>
    </row>
    <row r="20518">
      <c r="C20518" s="1"/>
    </row>
    <row r="20519">
      <c r="C20519" s="1"/>
    </row>
    <row r="20520">
      <c r="C20520" s="1"/>
    </row>
    <row r="20521">
      <c r="C20521" s="1"/>
    </row>
    <row r="20522">
      <c r="C20522" s="1"/>
    </row>
    <row r="20523">
      <c r="C20523" s="1"/>
    </row>
    <row r="20524">
      <c r="C20524" s="1"/>
    </row>
    <row r="20525">
      <c r="C20525" s="1"/>
    </row>
    <row r="20526">
      <c r="C20526" s="1"/>
    </row>
    <row r="20527">
      <c r="C20527" s="1"/>
    </row>
    <row r="20528">
      <c r="C20528" s="1"/>
    </row>
    <row r="20529">
      <c r="C20529" s="1"/>
    </row>
    <row r="20530">
      <c r="C20530" s="1"/>
    </row>
    <row r="20531">
      <c r="C20531" s="1"/>
    </row>
    <row r="20532">
      <c r="C20532" s="1"/>
    </row>
    <row r="20533">
      <c r="C20533" s="1"/>
    </row>
    <row r="20534">
      <c r="C20534" s="1"/>
    </row>
    <row r="20535">
      <c r="C20535" s="1"/>
    </row>
    <row r="20536">
      <c r="C20536" s="1"/>
    </row>
    <row r="20537">
      <c r="C20537" s="1"/>
    </row>
    <row r="20538">
      <c r="C20538" s="1"/>
    </row>
    <row r="20539">
      <c r="C20539" s="1"/>
    </row>
    <row r="20540">
      <c r="C20540" s="1"/>
    </row>
    <row r="20541">
      <c r="C20541" s="1"/>
    </row>
    <row r="20542">
      <c r="C20542" s="1"/>
    </row>
    <row r="20543">
      <c r="C20543" s="1"/>
    </row>
    <row r="20544">
      <c r="C20544" s="1"/>
    </row>
    <row r="20545">
      <c r="C20545" s="1"/>
    </row>
    <row r="20546">
      <c r="C20546" s="1"/>
    </row>
    <row r="20547">
      <c r="C20547" s="1"/>
    </row>
    <row r="20548">
      <c r="C20548" s="1"/>
    </row>
    <row r="20549">
      <c r="C20549" s="1"/>
    </row>
    <row r="20550">
      <c r="C20550" s="1"/>
    </row>
    <row r="20551">
      <c r="C20551" s="1"/>
    </row>
    <row r="20552">
      <c r="C20552" s="1"/>
    </row>
    <row r="20553">
      <c r="C20553" s="1"/>
    </row>
    <row r="20554">
      <c r="C20554" s="1"/>
    </row>
    <row r="20555">
      <c r="C20555" s="1"/>
    </row>
    <row r="20556">
      <c r="C20556" s="1"/>
    </row>
    <row r="20557">
      <c r="C20557" s="1"/>
    </row>
    <row r="20558">
      <c r="C20558" s="1"/>
    </row>
    <row r="20559">
      <c r="C20559" s="1"/>
    </row>
    <row r="20560">
      <c r="C20560" s="1"/>
    </row>
    <row r="20561">
      <c r="C20561" s="1"/>
    </row>
    <row r="20562">
      <c r="C20562" s="1"/>
    </row>
    <row r="20563">
      <c r="C20563" s="1"/>
    </row>
    <row r="20564">
      <c r="C20564" s="1"/>
    </row>
    <row r="20565">
      <c r="C20565" s="1"/>
    </row>
    <row r="20566">
      <c r="C20566" s="1"/>
    </row>
    <row r="20567">
      <c r="C20567" s="1"/>
    </row>
    <row r="20568">
      <c r="C20568" s="1"/>
    </row>
    <row r="20569">
      <c r="C20569" s="1"/>
    </row>
    <row r="20570">
      <c r="C20570" s="1"/>
    </row>
    <row r="20571">
      <c r="C20571" s="1"/>
    </row>
    <row r="20572">
      <c r="C20572" s="1"/>
    </row>
    <row r="20573">
      <c r="C20573" s="1"/>
    </row>
    <row r="20574">
      <c r="C20574" s="1"/>
    </row>
    <row r="20575">
      <c r="C20575" s="1"/>
    </row>
    <row r="20576">
      <c r="C20576" s="1"/>
    </row>
    <row r="20577">
      <c r="C20577" s="1"/>
    </row>
    <row r="20578">
      <c r="C20578" s="1"/>
    </row>
    <row r="20579">
      <c r="C20579" s="1"/>
    </row>
    <row r="20580">
      <c r="C20580" s="1"/>
    </row>
    <row r="20581">
      <c r="C20581" s="1"/>
    </row>
    <row r="20582">
      <c r="C20582" s="1"/>
    </row>
    <row r="20583">
      <c r="C20583" s="1"/>
    </row>
    <row r="20584">
      <c r="C20584" s="1"/>
    </row>
    <row r="20585">
      <c r="C20585" s="1"/>
    </row>
    <row r="20586">
      <c r="C20586" s="1"/>
    </row>
    <row r="20587">
      <c r="C20587" s="1"/>
    </row>
    <row r="20588">
      <c r="C20588" s="1"/>
    </row>
    <row r="20589">
      <c r="C20589" s="1"/>
    </row>
    <row r="20590">
      <c r="C20590" s="1"/>
    </row>
    <row r="20591">
      <c r="C20591" s="1"/>
    </row>
    <row r="20592">
      <c r="C20592" s="1"/>
    </row>
    <row r="20593">
      <c r="C20593" s="1"/>
    </row>
    <row r="20594">
      <c r="C20594" s="1"/>
    </row>
    <row r="20595">
      <c r="C20595" s="1"/>
    </row>
    <row r="20596">
      <c r="C20596" s="1"/>
    </row>
    <row r="20597">
      <c r="C20597" s="1"/>
    </row>
    <row r="20598">
      <c r="C20598" s="1"/>
    </row>
    <row r="20599">
      <c r="C20599" s="1"/>
    </row>
    <row r="20600">
      <c r="C20600" s="1"/>
    </row>
    <row r="20601">
      <c r="C20601" s="1"/>
    </row>
    <row r="20602">
      <c r="C20602" s="1"/>
    </row>
    <row r="20603">
      <c r="C20603" s="1"/>
    </row>
    <row r="20604">
      <c r="C20604" s="1"/>
    </row>
    <row r="20605">
      <c r="C20605" s="1"/>
    </row>
    <row r="20606">
      <c r="C20606" s="1"/>
    </row>
    <row r="20607">
      <c r="C20607" s="1"/>
    </row>
    <row r="20608">
      <c r="C20608" s="1"/>
    </row>
    <row r="20609">
      <c r="C20609" s="1"/>
    </row>
    <row r="20610">
      <c r="C20610" s="1"/>
    </row>
    <row r="20611">
      <c r="C20611" s="1"/>
    </row>
    <row r="20612">
      <c r="C20612" s="1"/>
    </row>
    <row r="20613">
      <c r="C20613" s="1"/>
    </row>
    <row r="20614">
      <c r="C20614" s="1"/>
    </row>
    <row r="20615">
      <c r="C20615" s="1"/>
    </row>
    <row r="20616">
      <c r="C20616" s="1"/>
    </row>
    <row r="20617">
      <c r="C20617" s="1"/>
    </row>
    <row r="20618">
      <c r="C20618" s="1"/>
    </row>
    <row r="20619">
      <c r="C20619" s="1"/>
    </row>
    <row r="20620">
      <c r="C20620" s="1"/>
    </row>
    <row r="20621">
      <c r="C20621" s="1"/>
    </row>
    <row r="20622">
      <c r="C20622" s="1"/>
    </row>
    <row r="20623">
      <c r="C20623" s="1"/>
    </row>
    <row r="20624">
      <c r="C20624" s="1"/>
    </row>
    <row r="20625">
      <c r="C20625" s="1"/>
    </row>
    <row r="20626">
      <c r="C20626" s="1"/>
    </row>
    <row r="20627">
      <c r="C20627" s="1"/>
    </row>
    <row r="20628">
      <c r="C20628" s="1"/>
    </row>
    <row r="20629">
      <c r="C20629" s="1"/>
    </row>
    <row r="20630">
      <c r="C20630" s="1"/>
    </row>
    <row r="20631">
      <c r="C20631" s="1"/>
    </row>
    <row r="20632">
      <c r="C20632" s="1"/>
    </row>
    <row r="20633">
      <c r="C20633" s="1"/>
    </row>
    <row r="20634">
      <c r="C20634" s="1"/>
    </row>
    <row r="20635">
      <c r="C20635" s="1"/>
    </row>
    <row r="20636">
      <c r="C20636" s="1"/>
    </row>
    <row r="20637">
      <c r="C20637" s="1"/>
    </row>
    <row r="20638">
      <c r="C20638" s="1"/>
    </row>
    <row r="20639">
      <c r="C20639" s="1"/>
    </row>
    <row r="20640">
      <c r="C20640" s="1"/>
    </row>
    <row r="20641">
      <c r="C20641" s="1"/>
    </row>
    <row r="20642">
      <c r="C20642" s="1"/>
    </row>
    <row r="20643">
      <c r="C20643" s="1"/>
    </row>
    <row r="20644">
      <c r="C20644" s="1"/>
    </row>
    <row r="20645">
      <c r="C20645" s="1"/>
    </row>
    <row r="20646">
      <c r="C20646" s="1"/>
    </row>
    <row r="20647">
      <c r="C20647" s="1"/>
    </row>
    <row r="20648">
      <c r="C20648" s="1"/>
    </row>
    <row r="20649">
      <c r="C20649" s="1"/>
    </row>
    <row r="20650">
      <c r="C20650" s="1"/>
    </row>
    <row r="20651">
      <c r="C20651" s="1"/>
    </row>
    <row r="20652">
      <c r="C20652" s="1"/>
    </row>
    <row r="20653">
      <c r="C20653" s="1"/>
    </row>
    <row r="20654">
      <c r="C20654" s="1"/>
    </row>
    <row r="20655">
      <c r="C20655" s="1"/>
    </row>
    <row r="20656">
      <c r="C20656" s="1"/>
    </row>
    <row r="20657">
      <c r="C20657" s="1"/>
    </row>
    <row r="20658">
      <c r="C20658" s="1"/>
    </row>
    <row r="20659">
      <c r="C20659" s="1"/>
    </row>
    <row r="20660">
      <c r="C20660" s="1"/>
    </row>
    <row r="20661">
      <c r="C20661" s="1"/>
    </row>
    <row r="20662">
      <c r="C20662" s="1"/>
    </row>
    <row r="20663">
      <c r="C20663" s="1"/>
    </row>
    <row r="20664">
      <c r="C20664" s="1"/>
    </row>
    <row r="20665">
      <c r="C20665" s="1"/>
    </row>
    <row r="20666">
      <c r="C20666" s="1"/>
    </row>
    <row r="20667">
      <c r="C20667" s="1"/>
    </row>
    <row r="20668">
      <c r="C20668" s="1"/>
    </row>
    <row r="20669">
      <c r="C20669" s="1"/>
    </row>
    <row r="20670">
      <c r="C20670" s="1"/>
    </row>
    <row r="20671">
      <c r="C20671" s="1"/>
    </row>
    <row r="20672">
      <c r="C20672" s="1"/>
    </row>
    <row r="20673">
      <c r="C20673" s="1"/>
    </row>
    <row r="20674">
      <c r="C20674" s="1"/>
    </row>
    <row r="20675">
      <c r="C20675" s="1"/>
    </row>
    <row r="20676">
      <c r="C20676" s="1"/>
    </row>
    <row r="20677">
      <c r="C20677" s="1"/>
    </row>
    <row r="20678">
      <c r="C20678" s="1"/>
    </row>
    <row r="20679">
      <c r="C20679" s="1"/>
    </row>
    <row r="20680">
      <c r="C20680" s="1"/>
    </row>
    <row r="20681">
      <c r="C20681" s="1"/>
    </row>
    <row r="20682">
      <c r="C20682" s="1"/>
    </row>
    <row r="20683">
      <c r="C20683" s="1"/>
    </row>
    <row r="20684">
      <c r="C20684" s="1"/>
    </row>
    <row r="20685">
      <c r="C20685" s="1"/>
    </row>
    <row r="20686">
      <c r="C20686" s="1"/>
    </row>
    <row r="20687">
      <c r="C20687" s="1"/>
    </row>
    <row r="20688">
      <c r="C20688" s="1"/>
    </row>
    <row r="20689">
      <c r="C20689" s="1"/>
    </row>
    <row r="20690">
      <c r="C20690" s="1"/>
    </row>
    <row r="20691">
      <c r="C20691" s="1"/>
    </row>
    <row r="20692">
      <c r="C20692" s="1"/>
    </row>
    <row r="20693">
      <c r="C20693" s="1"/>
    </row>
    <row r="20694">
      <c r="C20694" s="1"/>
    </row>
    <row r="20695">
      <c r="C20695" s="1"/>
    </row>
    <row r="20696">
      <c r="C20696" s="1"/>
    </row>
    <row r="20697">
      <c r="C20697" s="1"/>
    </row>
    <row r="20698">
      <c r="C20698" s="1"/>
    </row>
    <row r="20699">
      <c r="C20699" s="1"/>
    </row>
    <row r="20700">
      <c r="C20700" s="1"/>
    </row>
    <row r="20701">
      <c r="C20701" s="1"/>
    </row>
    <row r="20702">
      <c r="C20702" s="1"/>
    </row>
    <row r="20703">
      <c r="C20703" s="1"/>
    </row>
    <row r="20704">
      <c r="C20704" s="1"/>
    </row>
    <row r="20705">
      <c r="C20705" s="1"/>
    </row>
    <row r="20706">
      <c r="C20706" s="1"/>
    </row>
    <row r="20707">
      <c r="C20707" s="1"/>
    </row>
    <row r="20708">
      <c r="C20708" s="1"/>
    </row>
    <row r="20709">
      <c r="C20709" s="1"/>
    </row>
    <row r="20710">
      <c r="C20710" s="1"/>
    </row>
    <row r="20711">
      <c r="C20711" s="1"/>
    </row>
    <row r="20712">
      <c r="C20712" s="1"/>
    </row>
    <row r="20713">
      <c r="C20713" s="1"/>
    </row>
    <row r="20714">
      <c r="C20714" s="1"/>
    </row>
    <row r="20715">
      <c r="C20715" s="1"/>
    </row>
    <row r="20716">
      <c r="C20716" s="1"/>
    </row>
    <row r="20717">
      <c r="C20717" s="1"/>
    </row>
    <row r="20718">
      <c r="C20718" s="1"/>
    </row>
    <row r="20719">
      <c r="C20719" s="1"/>
    </row>
    <row r="20720">
      <c r="C20720" s="1"/>
    </row>
    <row r="20721">
      <c r="C20721" s="1"/>
    </row>
    <row r="20722">
      <c r="C20722" s="1"/>
    </row>
    <row r="20723">
      <c r="C20723" s="1"/>
    </row>
    <row r="20724">
      <c r="C20724" s="1"/>
    </row>
    <row r="20725">
      <c r="C20725" s="1"/>
    </row>
    <row r="20726">
      <c r="C20726" s="1"/>
    </row>
    <row r="20727">
      <c r="C20727" s="1"/>
    </row>
    <row r="20728">
      <c r="C20728" s="1"/>
    </row>
    <row r="20729">
      <c r="C20729" s="1"/>
    </row>
    <row r="20730">
      <c r="C20730" s="1"/>
    </row>
    <row r="20731">
      <c r="C20731" s="1"/>
    </row>
    <row r="20732">
      <c r="C20732" s="1"/>
    </row>
    <row r="20733">
      <c r="C20733" s="1"/>
    </row>
    <row r="20734">
      <c r="C20734" s="1"/>
    </row>
    <row r="20735">
      <c r="C20735" s="1"/>
    </row>
    <row r="20736">
      <c r="C20736" s="1"/>
    </row>
    <row r="20737">
      <c r="C20737" s="1"/>
    </row>
    <row r="20738">
      <c r="C20738" s="1"/>
    </row>
    <row r="20739">
      <c r="C20739" s="1"/>
    </row>
    <row r="20740">
      <c r="C20740" s="1"/>
    </row>
    <row r="20741">
      <c r="C20741" s="1"/>
    </row>
    <row r="20742">
      <c r="C20742" s="1"/>
    </row>
    <row r="20743">
      <c r="C20743" s="1"/>
    </row>
    <row r="20744">
      <c r="C20744" s="1"/>
    </row>
    <row r="20745">
      <c r="C20745" s="1"/>
    </row>
    <row r="20746">
      <c r="C20746" s="1"/>
    </row>
    <row r="20747">
      <c r="C20747" s="1"/>
    </row>
    <row r="20748">
      <c r="C20748" s="1"/>
    </row>
    <row r="20749">
      <c r="C20749" s="1"/>
    </row>
    <row r="20750">
      <c r="C20750" s="1"/>
    </row>
    <row r="20751">
      <c r="C20751" s="1"/>
    </row>
    <row r="20752">
      <c r="C20752" s="1"/>
    </row>
    <row r="20753">
      <c r="C20753" s="1"/>
    </row>
    <row r="20754">
      <c r="C20754" s="1"/>
    </row>
    <row r="20755">
      <c r="C20755" s="1"/>
    </row>
    <row r="20756">
      <c r="C20756" s="1"/>
    </row>
    <row r="20757">
      <c r="C20757" s="1"/>
    </row>
    <row r="20758">
      <c r="C20758" s="1"/>
    </row>
    <row r="20759">
      <c r="C20759" s="1"/>
    </row>
    <row r="20760">
      <c r="C20760" s="1"/>
    </row>
    <row r="20761">
      <c r="C20761" s="1"/>
    </row>
    <row r="20762">
      <c r="C20762" s="1"/>
    </row>
    <row r="20763">
      <c r="C20763" s="1"/>
    </row>
    <row r="20764">
      <c r="C20764" s="1"/>
    </row>
    <row r="20765">
      <c r="C20765" s="1"/>
    </row>
    <row r="20766">
      <c r="C20766" s="1"/>
    </row>
    <row r="20767">
      <c r="C20767" s="1"/>
    </row>
    <row r="20768">
      <c r="C20768" s="1"/>
    </row>
    <row r="20769">
      <c r="C20769" s="1"/>
    </row>
    <row r="20770">
      <c r="C20770" s="1"/>
    </row>
    <row r="20771">
      <c r="C20771" s="1"/>
    </row>
    <row r="20772">
      <c r="C20772" s="1"/>
    </row>
    <row r="20773">
      <c r="C20773" s="1"/>
    </row>
    <row r="20774">
      <c r="C20774" s="1"/>
    </row>
    <row r="20775">
      <c r="C20775" s="1"/>
    </row>
    <row r="20776">
      <c r="C20776" s="1"/>
    </row>
    <row r="20777">
      <c r="C20777" s="1"/>
    </row>
    <row r="20778">
      <c r="C20778" s="1"/>
    </row>
    <row r="20779">
      <c r="C20779" s="1"/>
    </row>
    <row r="20780">
      <c r="C20780" s="1"/>
    </row>
    <row r="20781">
      <c r="C20781" s="1"/>
    </row>
    <row r="20782">
      <c r="C20782" s="1"/>
    </row>
    <row r="20783">
      <c r="C20783" s="1"/>
    </row>
    <row r="20784">
      <c r="C20784" s="1"/>
    </row>
    <row r="20785">
      <c r="C20785" s="1"/>
    </row>
    <row r="20786">
      <c r="C20786" s="1"/>
    </row>
    <row r="20787">
      <c r="C20787" s="1"/>
    </row>
    <row r="20788">
      <c r="C20788" s="1"/>
    </row>
    <row r="20789">
      <c r="C20789" s="1"/>
    </row>
    <row r="20790">
      <c r="C20790" s="1"/>
    </row>
    <row r="20791">
      <c r="C20791" s="1"/>
    </row>
    <row r="20792">
      <c r="C20792" s="1"/>
    </row>
    <row r="20793">
      <c r="C20793" s="1"/>
    </row>
    <row r="20794">
      <c r="C20794" s="1"/>
    </row>
    <row r="20795">
      <c r="C20795" s="1"/>
    </row>
    <row r="20796">
      <c r="C20796" s="1"/>
    </row>
    <row r="20797">
      <c r="C20797" s="1"/>
    </row>
    <row r="20798">
      <c r="C20798" s="1"/>
    </row>
    <row r="20799">
      <c r="C20799" s="1"/>
    </row>
    <row r="20800">
      <c r="C20800" s="1"/>
    </row>
    <row r="20801">
      <c r="C20801" s="1"/>
    </row>
    <row r="20802">
      <c r="C20802" s="1"/>
    </row>
    <row r="20803">
      <c r="C20803" s="1"/>
    </row>
    <row r="20804">
      <c r="C20804" s="1"/>
    </row>
    <row r="20805">
      <c r="C20805" s="1"/>
    </row>
    <row r="20806">
      <c r="C20806" s="1"/>
    </row>
    <row r="20807">
      <c r="C20807" s="1"/>
    </row>
    <row r="20808">
      <c r="C20808" s="1"/>
    </row>
    <row r="20809">
      <c r="C20809" s="1"/>
    </row>
    <row r="20810">
      <c r="C20810" s="1"/>
    </row>
    <row r="20811">
      <c r="C20811" s="1"/>
    </row>
    <row r="20812">
      <c r="C20812" s="1"/>
    </row>
    <row r="20813">
      <c r="C20813" s="1"/>
    </row>
    <row r="20814">
      <c r="C20814" s="1"/>
    </row>
    <row r="20815">
      <c r="C20815" s="1"/>
    </row>
    <row r="20816">
      <c r="C20816" s="1"/>
    </row>
    <row r="20817">
      <c r="C20817" s="1"/>
    </row>
    <row r="20818">
      <c r="C20818" s="1"/>
    </row>
    <row r="20819">
      <c r="C20819" s="1"/>
    </row>
    <row r="20820">
      <c r="C20820" s="1"/>
    </row>
    <row r="20821">
      <c r="C20821" s="1"/>
    </row>
    <row r="20822">
      <c r="C20822" s="1"/>
    </row>
    <row r="20823">
      <c r="C20823" s="1"/>
    </row>
    <row r="20824">
      <c r="C20824" s="1"/>
    </row>
    <row r="20825">
      <c r="C20825" s="1"/>
    </row>
    <row r="20826">
      <c r="C20826" s="1"/>
    </row>
    <row r="20827">
      <c r="C20827" s="1"/>
    </row>
    <row r="20828">
      <c r="C20828" s="1"/>
    </row>
    <row r="20829">
      <c r="C20829" s="1"/>
    </row>
    <row r="20830">
      <c r="C20830" s="1"/>
    </row>
    <row r="20831">
      <c r="C20831" s="1"/>
    </row>
    <row r="20832">
      <c r="C20832" s="1"/>
    </row>
    <row r="20833">
      <c r="C20833" s="1"/>
    </row>
    <row r="20834">
      <c r="C20834" s="1"/>
    </row>
    <row r="20835">
      <c r="C20835" s="1"/>
    </row>
    <row r="20836">
      <c r="C20836" s="1"/>
    </row>
    <row r="20837">
      <c r="C20837" s="1"/>
    </row>
    <row r="20838">
      <c r="C20838" s="1"/>
    </row>
    <row r="20839">
      <c r="C20839" s="1"/>
    </row>
    <row r="20840">
      <c r="C20840" s="1"/>
    </row>
    <row r="20841">
      <c r="C20841" s="1"/>
    </row>
    <row r="20842">
      <c r="C20842" s="1"/>
    </row>
    <row r="20843">
      <c r="C20843" s="1"/>
    </row>
    <row r="20844">
      <c r="C20844" s="1"/>
    </row>
    <row r="20845">
      <c r="C20845" s="1"/>
    </row>
    <row r="20846">
      <c r="C20846" s="1"/>
    </row>
    <row r="20847">
      <c r="C20847" s="1"/>
    </row>
    <row r="20848">
      <c r="C20848" s="1"/>
    </row>
    <row r="20849">
      <c r="C20849" s="1"/>
    </row>
    <row r="20850">
      <c r="C20850" s="1"/>
    </row>
    <row r="20851">
      <c r="C20851" s="1"/>
    </row>
    <row r="20852">
      <c r="C20852" s="1"/>
    </row>
    <row r="20853">
      <c r="C20853" s="1"/>
    </row>
    <row r="20854">
      <c r="C20854" s="1"/>
    </row>
    <row r="20855">
      <c r="C20855" s="1"/>
    </row>
    <row r="20856">
      <c r="C20856" s="1"/>
    </row>
    <row r="20857">
      <c r="C20857" s="1"/>
    </row>
    <row r="20858">
      <c r="C20858" s="1"/>
    </row>
    <row r="20859">
      <c r="C20859" s="1"/>
    </row>
    <row r="20860">
      <c r="C20860" s="1"/>
    </row>
    <row r="20861">
      <c r="C20861" s="1"/>
    </row>
    <row r="20862">
      <c r="C20862" s="1"/>
    </row>
    <row r="20863">
      <c r="C20863" s="1"/>
    </row>
    <row r="20864">
      <c r="C20864" s="1"/>
    </row>
    <row r="20865">
      <c r="C20865" s="1"/>
    </row>
    <row r="20866">
      <c r="C20866" s="1"/>
    </row>
    <row r="20867">
      <c r="C20867" s="1"/>
    </row>
    <row r="20868">
      <c r="C20868" s="1"/>
    </row>
    <row r="20869">
      <c r="C20869" s="1"/>
    </row>
    <row r="20870">
      <c r="C20870" s="1"/>
    </row>
    <row r="20871">
      <c r="C20871" s="1"/>
    </row>
    <row r="20872">
      <c r="C20872" s="1"/>
    </row>
    <row r="20873">
      <c r="C20873" s="1"/>
    </row>
    <row r="20874">
      <c r="C20874" s="1"/>
    </row>
    <row r="20875">
      <c r="C20875" s="1"/>
    </row>
    <row r="20876">
      <c r="C20876" s="1"/>
    </row>
    <row r="20877">
      <c r="C20877" s="1"/>
    </row>
    <row r="20878">
      <c r="C20878" s="1"/>
    </row>
    <row r="20879">
      <c r="C20879" s="1"/>
    </row>
    <row r="20880">
      <c r="C20880" s="1"/>
    </row>
    <row r="20881">
      <c r="C20881" s="1"/>
    </row>
    <row r="20882">
      <c r="C20882" s="1"/>
    </row>
    <row r="20883">
      <c r="C20883" s="1"/>
    </row>
    <row r="20884">
      <c r="C20884" s="1"/>
    </row>
    <row r="20885">
      <c r="C20885" s="1"/>
    </row>
    <row r="20886">
      <c r="C20886" s="1"/>
    </row>
    <row r="20887">
      <c r="C20887" s="1"/>
    </row>
    <row r="20888">
      <c r="C20888" s="1"/>
    </row>
    <row r="20889">
      <c r="C20889" s="1"/>
    </row>
    <row r="20890">
      <c r="C20890" s="1"/>
    </row>
    <row r="20891">
      <c r="C20891" s="1"/>
    </row>
    <row r="20892">
      <c r="C20892" s="1"/>
    </row>
    <row r="20893">
      <c r="C20893" s="1"/>
    </row>
    <row r="20894">
      <c r="C20894" s="1"/>
    </row>
    <row r="20895">
      <c r="C20895" s="1"/>
    </row>
    <row r="20896">
      <c r="C20896" s="1"/>
    </row>
    <row r="20897">
      <c r="C20897" s="1"/>
    </row>
    <row r="20898">
      <c r="C20898" s="1"/>
    </row>
    <row r="20899">
      <c r="C20899" s="1"/>
    </row>
    <row r="20900">
      <c r="C20900" s="1"/>
    </row>
    <row r="20901">
      <c r="C20901" s="1"/>
    </row>
    <row r="20902">
      <c r="C20902" s="1"/>
    </row>
    <row r="20903">
      <c r="C20903" s="1"/>
    </row>
    <row r="20904">
      <c r="C20904" s="1"/>
    </row>
    <row r="20905">
      <c r="C20905" s="1"/>
    </row>
    <row r="20906">
      <c r="C20906" s="1"/>
    </row>
    <row r="20907">
      <c r="C20907" s="1"/>
    </row>
    <row r="20908">
      <c r="C20908" s="1"/>
    </row>
    <row r="20909">
      <c r="C20909" s="1"/>
    </row>
    <row r="20910">
      <c r="C20910" s="1"/>
    </row>
    <row r="20911">
      <c r="C20911" s="1"/>
    </row>
    <row r="20912">
      <c r="C20912" s="1"/>
    </row>
    <row r="20913">
      <c r="C20913" s="1"/>
    </row>
    <row r="20914">
      <c r="C20914" s="1"/>
    </row>
    <row r="20915">
      <c r="C20915" s="1"/>
    </row>
    <row r="20916">
      <c r="C20916" s="1"/>
    </row>
    <row r="20917">
      <c r="C20917" s="1"/>
    </row>
    <row r="20918">
      <c r="C20918" s="1"/>
    </row>
    <row r="20919">
      <c r="C20919" s="1"/>
    </row>
    <row r="20920">
      <c r="C20920" s="1"/>
    </row>
    <row r="20921">
      <c r="C20921" s="1"/>
    </row>
    <row r="20922">
      <c r="C20922" s="1"/>
    </row>
    <row r="20923">
      <c r="C20923" s="1"/>
    </row>
    <row r="20924">
      <c r="C20924" s="1"/>
    </row>
    <row r="20925">
      <c r="C20925" s="1"/>
    </row>
    <row r="20926">
      <c r="C20926" s="1"/>
    </row>
    <row r="20927">
      <c r="C20927" s="1"/>
    </row>
    <row r="20928">
      <c r="C20928" s="1"/>
    </row>
    <row r="20929">
      <c r="C20929" s="1"/>
    </row>
    <row r="20930">
      <c r="C20930" s="1"/>
    </row>
    <row r="20931">
      <c r="C20931" s="1"/>
    </row>
    <row r="20932">
      <c r="C20932" s="1"/>
    </row>
    <row r="20933">
      <c r="C20933" s="1"/>
    </row>
    <row r="20934">
      <c r="C20934" s="1"/>
    </row>
    <row r="20935">
      <c r="C20935" s="1"/>
    </row>
    <row r="20936">
      <c r="C20936" s="1"/>
    </row>
    <row r="20937">
      <c r="C20937" s="1"/>
    </row>
    <row r="20938">
      <c r="C20938" s="1"/>
    </row>
    <row r="20939">
      <c r="C20939" s="1"/>
    </row>
    <row r="20940">
      <c r="C20940" s="1"/>
    </row>
    <row r="20941">
      <c r="C20941" s="1"/>
    </row>
    <row r="20942">
      <c r="C20942" s="1"/>
    </row>
    <row r="20943">
      <c r="C20943" s="1"/>
    </row>
    <row r="20944">
      <c r="C20944" s="1"/>
    </row>
    <row r="20945">
      <c r="C20945" s="1"/>
    </row>
    <row r="20946">
      <c r="C20946" s="1"/>
    </row>
    <row r="20947">
      <c r="C20947" s="1"/>
    </row>
    <row r="20948">
      <c r="C20948" s="1"/>
    </row>
    <row r="20949">
      <c r="C20949" s="1"/>
    </row>
    <row r="20950">
      <c r="C20950" s="1"/>
    </row>
    <row r="20951">
      <c r="C20951" s="1"/>
    </row>
    <row r="20952">
      <c r="C20952" s="1"/>
    </row>
    <row r="20953">
      <c r="C20953" s="1"/>
    </row>
    <row r="20954">
      <c r="C20954" s="1"/>
    </row>
    <row r="20955">
      <c r="C20955" s="1"/>
    </row>
    <row r="20956">
      <c r="C20956" s="1"/>
    </row>
    <row r="20957">
      <c r="C20957" s="1"/>
    </row>
    <row r="20958">
      <c r="C20958" s="1"/>
    </row>
    <row r="20959">
      <c r="C20959" s="1"/>
    </row>
    <row r="20960">
      <c r="C20960" s="1"/>
    </row>
    <row r="20961">
      <c r="C20961" s="1"/>
    </row>
    <row r="20962">
      <c r="C20962" s="1"/>
    </row>
    <row r="20963">
      <c r="C20963" s="1"/>
    </row>
    <row r="20964">
      <c r="C20964" s="1"/>
    </row>
    <row r="20965">
      <c r="C20965" s="1"/>
    </row>
    <row r="20966">
      <c r="C20966" s="1"/>
    </row>
    <row r="20967">
      <c r="C20967" s="1"/>
    </row>
    <row r="20968">
      <c r="C20968" s="1"/>
    </row>
    <row r="20969">
      <c r="C20969" s="1"/>
    </row>
    <row r="20970">
      <c r="C20970" s="1"/>
    </row>
    <row r="20971">
      <c r="C20971" s="1"/>
    </row>
    <row r="20972">
      <c r="C20972" s="1"/>
    </row>
    <row r="20973">
      <c r="C20973" s="1"/>
    </row>
    <row r="20974">
      <c r="C20974" s="1"/>
    </row>
    <row r="20975">
      <c r="C20975" s="1"/>
    </row>
    <row r="20976">
      <c r="C20976" s="1"/>
    </row>
    <row r="20977">
      <c r="C20977" s="1"/>
    </row>
    <row r="20978">
      <c r="C20978" s="1"/>
    </row>
    <row r="20979">
      <c r="C20979" s="1"/>
    </row>
    <row r="20980">
      <c r="C20980" s="1"/>
    </row>
    <row r="20981">
      <c r="C20981" s="1"/>
    </row>
    <row r="20982">
      <c r="C20982" s="1"/>
    </row>
    <row r="20983">
      <c r="C20983" s="1"/>
    </row>
    <row r="20984">
      <c r="C20984" s="1"/>
    </row>
    <row r="20985">
      <c r="C20985" s="1"/>
    </row>
    <row r="20986">
      <c r="C20986" s="1"/>
    </row>
    <row r="20987">
      <c r="C20987" s="1"/>
    </row>
    <row r="20988">
      <c r="C20988" s="1"/>
    </row>
    <row r="20989">
      <c r="C20989" s="1"/>
    </row>
    <row r="20990">
      <c r="C20990" s="1"/>
    </row>
    <row r="20991">
      <c r="C20991" s="1"/>
    </row>
    <row r="20992">
      <c r="C20992" s="1"/>
    </row>
    <row r="20993">
      <c r="C20993" s="1"/>
    </row>
    <row r="20994">
      <c r="C20994" s="1"/>
    </row>
    <row r="20995">
      <c r="C20995" s="1"/>
    </row>
    <row r="20996">
      <c r="C20996" s="1"/>
    </row>
    <row r="20997">
      <c r="C20997" s="1"/>
    </row>
    <row r="20998">
      <c r="C20998" s="1"/>
    </row>
    <row r="20999">
      <c r="C20999" s="1"/>
    </row>
    <row r="21000">
      <c r="C21000" s="1"/>
    </row>
    <row r="21001">
      <c r="C21001" s="1"/>
    </row>
    <row r="21002">
      <c r="C21002" s="1"/>
    </row>
    <row r="21003">
      <c r="C21003" s="1"/>
    </row>
    <row r="21004">
      <c r="C21004" s="1"/>
    </row>
    <row r="21005">
      <c r="C21005" s="1"/>
    </row>
    <row r="21006">
      <c r="C21006" s="1"/>
    </row>
    <row r="21007">
      <c r="C21007" s="1"/>
    </row>
    <row r="21008">
      <c r="C21008" s="1"/>
    </row>
    <row r="21009">
      <c r="C21009" s="1"/>
    </row>
    <row r="21010">
      <c r="C21010" s="1"/>
    </row>
    <row r="21011">
      <c r="C21011" s="1"/>
    </row>
    <row r="21012">
      <c r="C21012" s="1"/>
    </row>
    <row r="21013">
      <c r="C21013" s="1"/>
    </row>
    <row r="21014">
      <c r="C21014" s="1"/>
    </row>
    <row r="21015">
      <c r="C21015" s="1"/>
    </row>
    <row r="21016">
      <c r="C21016" s="1"/>
    </row>
    <row r="21017">
      <c r="C21017" s="1"/>
    </row>
    <row r="21018">
      <c r="C21018" s="1"/>
    </row>
    <row r="21019">
      <c r="C21019" s="1"/>
    </row>
    <row r="21020">
      <c r="C21020" s="1"/>
    </row>
    <row r="21021">
      <c r="C21021" s="1"/>
    </row>
    <row r="21022">
      <c r="C21022" s="1"/>
    </row>
    <row r="21023">
      <c r="C21023" s="1"/>
    </row>
    <row r="21024">
      <c r="C21024" s="1"/>
    </row>
    <row r="21025">
      <c r="C21025" s="1"/>
    </row>
    <row r="21026">
      <c r="C21026" s="1"/>
    </row>
    <row r="21027">
      <c r="C21027" s="1"/>
    </row>
    <row r="21028">
      <c r="C21028" s="1"/>
    </row>
    <row r="21029">
      <c r="C21029" s="1"/>
    </row>
    <row r="21030">
      <c r="C21030" s="1"/>
    </row>
    <row r="21031">
      <c r="C21031" s="1"/>
    </row>
    <row r="21032">
      <c r="C21032" s="1"/>
    </row>
    <row r="21033">
      <c r="C21033" s="1"/>
    </row>
    <row r="21034">
      <c r="C21034" s="1"/>
    </row>
    <row r="21035">
      <c r="C21035" s="1"/>
    </row>
    <row r="21036">
      <c r="C21036" s="1"/>
    </row>
    <row r="21037">
      <c r="C21037" s="1"/>
    </row>
    <row r="21038">
      <c r="C21038" s="1"/>
    </row>
    <row r="21039">
      <c r="C21039" s="1"/>
    </row>
    <row r="21040">
      <c r="C21040" s="1"/>
    </row>
    <row r="21041">
      <c r="C21041" s="1"/>
    </row>
    <row r="21042">
      <c r="C21042" s="1"/>
    </row>
    <row r="21043">
      <c r="C21043" s="1"/>
    </row>
    <row r="21044">
      <c r="C21044" s="1"/>
    </row>
    <row r="21045">
      <c r="C21045" s="1"/>
    </row>
    <row r="21046">
      <c r="C21046" s="1"/>
    </row>
    <row r="21047">
      <c r="C21047" s="1"/>
    </row>
    <row r="21048">
      <c r="C21048" s="1"/>
    </row>
    <row r="21049">
      <c r="C21049" s="1"/>
    </row>
    <row r="21050">
      <c r="C21050" s="1"/>
    </row>
    <row r="21051">
      <c r="C21051" s="1"/>
    </row>
    <row r="21052">
      <c r="C21052" s="1"/>
    </row>
    <row r="21053">
      <c r="C21053" s="1"/>
    </row>
    <row r="21054">
      <c r="C21054" s="1"/>
    </row>
    <row r="21055">
      <c r="C21055" s="1"/>
    </row>
    <row r="21056">
      <c r="C21056" s="1"/>
    </row>
    <row r="21057">
      <c r="C21057" s="1"/>
    </row>
    <row r="21058">
      <c r="C21058" s="1"/>
    </row>
    <row r="21059">
      <c r="C21059" s="1"/>
    </row>
    <row r="21060">
      <c r="C21060" s="1"/>
    </row>
    <row r="21061">
      <c r="C21061" s="1"/>
    </row>
    <row r="21062">
      <c r="C21062" s="1"/>
    </row>
    <row r="21063">
      <c r="C21063" s="1"/>
    </row>
    <row r="21064">
      <c r="C21064" s="1"/>
    </row>
    <row r="21065">
      <c r="C21065" s="1"/>
    </row>
    <row r="21066">
      <c r="C21066" s="1"/>
    </row>
    <row r="21067">
      <c r="C21067" s="1"/>
    </row>
    <row r="21068">
      <c r="C21068" s="1"/>
    </row>
    <row r="21069">
      <c r="C21069" s="1"/>
    </row>
    <row r="21070">
      <c r="C21070" s="1"/>
    </row>
    <row r="21071">
      <c r="C21071" s="1"/>
    </row>
    <row r="21072">
      <c r="C21072" s="1"/>
    </row>
    <row r="21073">
      <c r="C21073" s="1"/>
    </row>
    <row r="21074">
      <c r="C21074" s="1"/>
    </row>
    <row r="21075">
      <c r="C21075" s="1"/>
    </row>
    <row r="21076">
      <c r="C21076" s="1"/>
    </row>
    <row r="21077">
      <c r="C21077" s="1"/>
    </row>
    <row r="21078">
      <c r="C21078" s="1"/>
    </row>
    <row r="21079">
      <c r="C21079" s="1"/>
    </row>
    <row r="21080">
      <c r="C21080" s="1"/>
    </row>
    <row r="21081">
      <c r="C21081" s="1"/>
    </row>
    <row r="21082">
      <c r="C21082" s="1"/>
    </row>
    <row r="21083">
      <c r="C21083" s="1"/>
    </row>
    <row r="21084">
      <c r="C21084" s="1"/>
    </row>
    <row r="21085">
      <c r="C21085" s="1"/>
    </row>
    <row r="21086">
      <c r="C21086" s="1"/>
    </row>
    <row r="21087">
      <c r="C21087" s="1"/>
    </row>
    <row r="21088">
      <c r="C21088" s="1"/>
    </row>
    <row r="21089">
      <c r="C21089" s="1"/>
    </row>
    <row r="21090">
      <c r="C21090" s="1"/>
    </row>
    <row r="21091">
      <c r="C21091" s="1"/>
    </row>
    <row r="21092">
      <c r="C21092" s="1"/>
    </row>
    <row r="21093">
      <c r="C21093" s="1"/>
    </row>
    <row r="21094">
      <c r="C21094" s="1"/>
    </row>
    <row r="21095">
      <c r="C21095" s="1"/>
    </row>
    <row r="21096">
      <c r="C21096" s="1"/>
    </row>
    <row r="21097">
      <c r="C21097" s="1"/>
    </row>
    <row r="21098">
      <c r="C21098" s="1"/>
    </row>
    <row r="21099">
      <c r="C21099" s="1"/>
    </row>
    <row r="21100">
      <c r="C21100" s="1"/>
    </row>
    <row r="21101">
      <c r="C21101" s="1"/>
    </row>
    <row r="21102">
      <c r="C21102" s="1"/>
    </row>
    <row r="21103">
      <c r="C21103" s="1"/>
    </row>
    <row r="21104">
      <c r="C21104" s="1"/>
    </row>
    <row r="21105">
      <c r="C21105" s="1"/>
    </row>
    <row r="21106">
      <c r="C21106" s="1"/>
    </row>
    <row r="21107">
      <c r="C21107" s="1"/>
    </row>
    <row r="21108">
      <c r="C21108" s="1"/>
    </row>
    <row r="21109">
      <c r="C21109" s="1"/>
    </row>
    <row r="21110">
      <c r="C21110" s="1"/>
    </row>
    <row r="21111">
      <c r="C21111" s="1"/>
    </row>
    <row r="21112">
      <c r="C21112" s="1"/>
    </row>
    <row r="21113">
      <c r="C21113" s="1"/>
    </row>
    <row r="21114">
      <c r="C21114" s="1"/>
    </row>
    <row r="21115">
      <c r="C21115" s="1"/>
    </row>
    <row r="21116">
      <c r="C21116" s="1"/>
    </row>
    <row r="21117">
      <c r="C21117" s="1"/>
    </row>
    <row r="21118">
      <c r="C21118" s="1"/>
    </row>
    <row r="21119">
      <c r="C21119" s="1"/>
    </row>
    <row r="21120">
      <c r="C21120" s="1"/>
    </row>
    <row r="21121">
      <c r="C21121" s="1"/>
    </row>
    <row r="21122">
      <c r="C21122" s="1"/>
    </row>
    <row r="21123">
      <c r="C21123" s="1"/>
    </row>
    <row r="21124">
      <c r="C21124" s="1"/>
    </row>
    <row r="21125">
      <c r="C21125" s="1"/>
    </row>
    <row r="21126">
      <c r="C21126" s="1"/>
    </row>
    <row r="21127">
      <c r="C21127" s="1"/>
    </row>
    <row r="21128">
      <c r="C21128" s="1"/>
    </row>
    <row r="21129">
      <c r="C21129" s="1"/>
    </row>
    <row r="21130">
      <c r="C21130" s="1"/>
    </row>
    <row r="21131">
      <c r="C21131" s="1"/>
    </row>
    <row r="21132">
      <c r="C21132" s="1"/>
    </row>
    <row r="21133">
      <c r="C21133" s="1"/>
    </row>
    <row r="21134">
      <c r="C21134" s="1"/>
    </row>
    <row r="21135">
      <c r="C21135" s="1"/>
    </row>
    <row r="21136">
      <c r="C21136" s="1"/>
    </row>
    <row r="21137">
      <c r="C21137" s="1"/>
    </row>
    <row r="21138">
      <c r="C21138" s="1"/>
    </row>
    <row r="21139">
      <c r="C21139" s="1"/>
    </row>
    <row r="21140">
      <c r="C21140" s="1"/>
    </row>
    <row r="21141">
      <c r="C21141" s="1"/>
    </row>
    <row r="21142">
      <c r="C21142" s="1"/>
    </row>
    <row r="21143">
      <c r="C21143" s="1"/>
    </row>
    <row r="21144">
      <c r="C21144" s="1"/>
    </row>
    <row r="21145">
      <c r="C21145" s="1"/>
    </row>
    <row r="21146">
      <c r="C21146" s="1"/>
    </row>
    <row r="21147">
      <c r="C21147" s="1"/>
    </row>
    <row r="21148">
      <c r="C21148" s="1"/>
    </row>
    <row r="21149">
      <c r="C21149" s="1"/>
    </row>
    <row r="21150">
      <c r="C21150" s="1"/>
    </row>
    <row r="21151">
      <c r="C21151" s="1"/>
    </row>
    <row r="21152">
      <c r="C21152" s="1"/>
    </row>
    <row r="21153">
      <c r="C21153" s="1"/>
    </row>
    <row r="21154">
      <c r="C21154" s="1"/>
    </row>
    <row r="21155">
      <c r="C21155" s="1"/>
    </row>
    <row r="21156">
      <c r="C21156" s="1"/>
    </row>
    <row r="21157">
      <c r="C21157" s="1"/>
    </row>
    <row r="21158">
      <c r="C21158" s="1"/>
    </row>
    <row r="21159">
      <c r="C21159" s="1"/>
    </row>
    <row r="21160">
      <c r="C21160" s="1"/>
    </row>
    <row r="21161">
      <c r="C21161" s="1"/>
    </row>
    <row r="21162">
      <c r="C21162" s="1"/>
    </row>
    <row r="21163">
      <c r="C21163" s="1"/>
    </row>
    <row r="21164">
      <c r="C21164" s="1"/>
    </row>
    <row r="21165">
      <c r="C21165" s="1"/>
    </row>
    <row r="21166">
      <c r="C21166" s="1"/>
    </row>
    <row r="21167">
      <c r="C21167" s="1"/>
    </row>
    <row r="21168">
      <c r="C21168" s="1"/>
    </row>
    <row r="21169">
      <c r="C21169" s="1"/>
    </row>
    <row r="21170">
      <c r="C21170" s="1"/>
    </row>
    <row r="21171">
      <c r="C21171" s="1"/>
    </row>
    <row r="21172">
      <c r="C21172" s="1"/>
    </row>
    <row r="21173">
      <c r="C21173" s="1"/>
    </row>
    <row r="21174">
      <c r="C21174" s="1"/>
    </row>
    <row r="21175">
      <c r="C21175" s="1"/>
    </row>
    <row r="21176">
      <c r="C21176" s="1"/>
    </row>
    <row r="21177">
      <c r="C21177" s="1"/>
    </row>
    <row r="21178">
      <c r="C21178" s="1"/>
    </row>
    <row r="21179">
      <c r="C21179" s="1"/>
    </row>
    <row r="21180">
      <c r="C21180" s="1"/>
    </row>
    <row r="21181">
      <c r="C21181" s="1"/>
    </row>
    <row r="21182">
      <c r="C21182" s="1"/>
    </row>
    <row r="21183">
      <c r="C21183" s="1"/>
    </row>
    <row r="21184">
      <c r="C21184" s="1"/>
    </row>
    <row r="21185">
      <c r="C21185" s="1"/>
    </row>
    <row r="21186">
      <c r="C21186" s="1"/>
    </row>
    <row r="21187">
      <c r="C21187" s="1"/>
    </row>
    <row r="21188">
      <c r="C21188" s="1"/>
    </row>
    <row r="21189">
      <c r="C21189" s="1"/>
    </row>
    <row r="21190">
      <c r="C21190" s="1"/>
    </row>
    <row r="21191">
      <c r="C21191" s="1"/>
    </row>
    <row r="21192">
      <c r="C21192" s="1"/>
    </row>
    <row r="21193">
      <c r="C21193" s="1"/>
    </row>
    <row r="21194">
      <c r="C21194" s="1"/>
    </row>
    <row r="21195">
      <c r="C21195" s="1"/>
    </row>
    <row r="21196">
      <c r="C21196" s="1"/>
    </row>
    <row r="21197">
      <c r="C21197" s="1"/>
    </row>
    <row r="21198">
      <c r="C21198" s="1"/>
    </row>
    <row r="21199">
      <c r="C21199" s="1"/>
    </row>
    <row r="21200">
      <c r="C21200" s="1"/>
    </row>
    <row r="21201">
      <c r="C21201" s="1"/>
    </row>
    <row r="21202">
      <c r="C21202" s="1"/>
    </row>
    <row r="21203">
      <c r="C21203" s="1"/>
    </row>
    <row r="21204">
      <c r="C21204" s="1"/>
    </row>
    <row r="21205">
      <c r="C21205" s="1"/>
    </row>
    <row r="21206">
      <c r="C21206" s="1"/>
    </row>
    <row r="21207">
      <c r="C21207" s="1"/>
    </row>
    <row r="21208">
      <c r="C21208" s="1"/>
    </row>
    <row r="21209">
      <c r="C21209" s="1"/>
    </row>
    <row r="21210">
      <c r="C21210" s="1"/>
    </row>
    <row r="21211">
      <c r="C21211" s="1"/>
    </row>
    <row r="21212">
      <c r="C21212" s="1"/>
    </row>
    <row r="21213">
      <c r="C21213" s="1"/>
    </row>
    <row r="21214">
      <c r="C21214" s="1"/>
    </row>
    <row r="21215">
      <c r="C21215" s="1"/>
    </row>
    <row r="21216">
      <c r="C21216" s="1"/>
    </row>
    <row r="21217">
      <c r="C21217" s="1"/>
    </row>
    <row r="21218">
      <c r="C21218" s="1"/>
    </row>
    <row r="21219">
      <c r="C21219" s="1"/>
    </row>
    <row r="21220">
      <c r="C21220" s="1"/>
    </row>
    <row r="21221">
      <c r="C21221" s="1"/>
    </row>
    <row r="21222">
      <c r="C21222" s="1"/>
    </row>
    <row r="21223">
      <c r="C21223" s="1"/>
    </row>
    <row r="21224">
      <c r="C21224" s="1"/>
    </row>
    <row r="21225">
      <c r="C21225" s="1"/>
    </row>
    <row r="21226">
      <c r="C21226" s="1"/>
    </row>
    <row r="21227">
      <c r="C21227" s="1"/>
    </row>
    <row r="21228">
      <c r="C21228" s="1"/>
    </row>
    <row r="21229">
      <c r="C21229" s="1"/>
    </row>
    <row r="21230">
      <c r="C21230" s="1"/>
    </row>
    <row r="21231">
      <c r="C21231" s="1"/>
    </row>
    <row r="21232">
      <c r="C21232" s="1"/>
    </row>
    <row r="21233">
      <c r="C21233" s="1"/>
    </row>
    <row r="21234">
      <c r="C21234" s="1"/>
    </row>
    <row r="21235">
      <c r="C21235" s="1"/>
    </row>
    <row r="21236">
      <c r="C21236" s="1"/>
    </row>
    <row r="21237">
      <c r="C21237" s="1"/>
    </row>
    <row r="21238">
      <c r="C21238" s="1"/>
    </row>
    <row r="21239">
      <c r="C21239" s="1"/>
    </row>
    <row r="21240">
      <c r="C21240" s="1"/>
    </row>
    <row r="21241">
      <c r="C21241" s="1"/>
    </row>
    <row r="21242">
      <c r="C21242" s="1"/>
    </row>
    <row r="21243">
      <c r="C21243" s="1"/>
    </row>
    <row r="21244">
      <c r="C21244" s="1"/>
    </row>
    <row r="21245">
      <c r="C21245" s="1"/>
    </row>
    <row r="21246">
      <c r="C21246" s="1"/>
    </row>
    <row r="21247">
      <c r="C21247" s="1"/>
    </row>
    <row r="21248">
      <c r="C21248" s="1"/>
    </row>
    <row r="21249">
      <c r="C21249" s="1"/>
    </row>
    <row r="21250">
      <c r="C21250" s="1"/>
    </row>
    <row r="21251">
      <c r="C21251" s="1"/>
    </row>
    <row r="21252">
      <c r="C21252" s="1"/>
    </row>
    <row r="21253">
      <c r="C21253" s="1"/>
    </row>
    <row r="21254">
      <c r="C21254" s="1"/>
    </row>
    <row r="21255">
      <c r="C21255" s="1"/>
    </row>
    <row r="21256">
      <c r="C21256" s="1"/>
    </row>
    <row r="21257">
      <c r="C21257" s="1"/>
    </row>
    <row r="21258">
      <c r="C21258" s="1"/>
    </row>
    <row r="21259">
      <c r="C21259" s="1"/>
    </row>
    <row r="21260">
      <c r="C21260" s="1"/>
    </row>
    <row r="21261">
      <c r="C21261" s="1"/>
    </row>
    <row r="21262">
      <c r="C21262" s="1"/>
    </row>
    <row r="21263">
      <c r="C21263" s="1"/>
    </row>
    <row r="21264">
      <c r="C21264" s="1"/>
    </row>
    <row r="21265">
      <c r="C21265" s="1"/>
    </row>
    <row r="21266">
      <c r="C21266" s="1"/>
    </row>
    <row r="21267">
      <c r="C21267" s="1"/>
    </row>
    <row r="21268">
      <c r="C21268" s="1"/>
    </row>
    <row r="21269">
      <c r="C21269" s="1"/>
    </row>
    <row r="21270">
      <c r="C21270" s="1"/>
    </row>
    <row r="21271">
      <c r="C21271" s="1"/>
    </row>
    <row r="21272">
      <c r="C21272" s="1"/>
    </row>
    <row r="21273">
      <c r="C21273" s="1"/>
    </row>
    <row r="21274">
      <c r="C21274" s="1"/>
    </row>
    <row r="21275">
      <c r="C21275" s="1"/>
    </row>
    <row r="21276">
      <c r="C21276" s="1"/>
    </row>
    <row r="21277">
      <c r="C21277" s="1"/>
    </row>
    <row r="21278">
      <c r="C21278" s="1"/>
    </row>
    <row r="21279">
      <c r="C21279" s="1"/>
    </row>
    <row r="21280">
      <c r="C21280" s="1"/>
    </row>
    <row r="21281">
      <c r="C21281" s="1"/>
    </row>
    <row r="21282">
      <c r="C21282" s="1"/>
    </row>
    <row r="21283">
      <c r="C21283" s="1"/>
    </row>
    <row r="21284">
      <c r="C21284" s="1"/>
    </row>
    <row r="21285">
      <c r="C21285" s="1"/>
    </row>
    <row r="21286">
      <c r="C21286" s="1"/>
    </row>
    <row r="21287">
      <c r="C21287" s="1"/>
    </row>
    <row r="21288">
      <c r="C21288" s="1"/>
    </row>
    <row r="21289">
      <c r="C21289" s="1"/>
    </row>
    <row r="21290">
      <c r="C21290" s="1"/>
    </row>
    <row r="21291">
      <c r="C21291" s="1"/>
    </row>
    <row r="21292">
      <c r="C21292" s="1"/>
    </row>
    <row r="21293">
      <c r="C21293" s="1"/>
    </row>
    <row r="21294">
      <c r="C21294" s="1"/>
    </row>
    <row r="21295">
      <c r="C21295" s="1"/>
    </row>
    <row r="21296">
      <c r="C21296" s="1"/>
    </row>
    <row r="21297">
      <c r="C21297" s="1"/>
    </row>
    <row r="21298">
      <c r="C21298" s="1"/>
    </row>
    <row r="21299">
      <c r="C21299" s="1"/>
    </row>
    <row r="21300">
      <c r="C21300" s="1"/>
    </row>
    <row r="21301">
      <c r="C21301" s="1"/>
    </row>
    <row r="21302">
      <c r="C21302" s="1"/>
    </row>
    <row r="21303">
      <c r="C21303" s="1"/>
    </row>
    <row r="21304">
      <c r="C21304" s="1"/>
    </row>
    <row r="21305">
      <c r="C21305" s="1"/>
    </row>
    <row r="21306">
      <c r="C21306" s="1"/>
    </row>
    <row r="21307">
      <c r="C21307" s="1"/>
    </row>
    <row r="21308">
      <c r="C21308" s="1"/>
    </row>
    <row r="21309">
      <c r="C21309" s="1"/>
    </row>
    <row r="21310">
      <c r="C21310" s="1"/>
    </row>
    <row r="21311">
      <c r="C21311" s="1"/>
    </row>
    <row r="21312">
      <c r="C21312" s="1"/>
    </row>
    <row r="21313">
      <c r="C21313" s="1"/>
    </row>
    <row r="21314">
      <c r="C21314" s="1"/>
    </row>
    <row r="21315">
      <c r="C21315" s="1"/>
    </row>
    <row r="21316">
      <c r="C21316" s="1"/>
    </row>
    <row r="21317">
      <c r="C21317" s="1"/>
    </row>
    <row r="21318">
      <c r="C21318" s="1"/>
    </row>
    <row r="21319">
      <c r="C21319" s="1"/>
    </row>
    <row r="21320">
      <c r="C21320" s="1"/>
    </row>
    <row r="21321">
      <c r="C21321" s="1"/>
    </row>
    <row r="21322">
      <c r="C21322" s="1"/>
    </row>
    <row r="21323">
      <c r="C21323" s="1"/>
    </row>
    <row r="21324">
      <c r="C21324" s="1"/>
    </row>
    <row r="21325">
      <c r="C21325" s="1"/>
    </row>
    <row r="21326">
      <c r="C21326" s="1"/>
    </row>
    <row r="21327">
      <c r="C21327" s="1"/>
    </row>
    <row r="21328">
      <c r="C21328" s="1"/>
    </row>
    <row r="21329">
      <c r="C21329" s="1"/>
    </row>
    <row r="21330">
      <c r="C21330" s="1"/>
    </row>
    <row r="21331">
      <c r="C21331" s="1"/>
    </row>
    <row r="21332">
      <c r="C21332" s="1"/>
    </row>
    <row r="21333">
      <c r="C21333" s="1"/>
    </row>
    <row r="21334">
      <c r="C21334" s="1"/>
    </row>
    <row r="21335">
      <c r="C21335" s="1"/>
    </row>
    <row r="21336">
      <c r="C21336" s="1"/>
    </row>
    <row r="21337">
      <c r="C21337" s="1"/>
    </row>
    <row r="21338">
      <c r="C21338" s="1"/>
    </row>
    <row r="21339">
      <c r="C21339" s="1"/>
    </row>
    <row r="21340">
      <c r="C21340" s="1"/>
    </row>
    <row r="21341">
      <c r="C21341" s="1"/>
    </row>
    <row r="21342">
      <c r="C21342" s="1"/>
    </row>
    <row r="21343">
      <c r="C21343" s="1"/>
    </row>
    <row r="21344">
      <c r="C21344" s="1"/>
    </row>
    <row r="21345">
      <c r="C21345" s="1"/>
    </row>
    <row r="21346">
      <c r="C21346" s="1"/>
    </row>
    <row r="21347">
      <c r="C21347" s="1"/>
    </row>
    <row r="21348">
      <c r="C21348" s="1"/>
    </row>
    <row r="21349">
      <c r="C21349" s="1"/>
    </row>
    <row r="21350">
      <c r="C21350" s="1"/>
    </row>
    <row r="21351">
      <c r="C21351" s="1"/>
    </row>
    <row r="21352">
      <c r="C21352" s="1"/>
    </row>
    <row r="21353">
      <c r="C21353" s="1"/>
    </row>
    <row r="21354">
      <c r="C21354" s="1"/>
    </row>
    <row r="21355">
      <c r="C21355" s="1"/>
    </row>
    <row r="21356">
      <c r="C21356" s="1"/>
    </row>
    <row r="21357">
      <c r="C21357" s="1"/>
    </row>
    <row r="21358">
      <c r="C21358" s="1"/>
    </row>
    <row r="21359">
      <c r="C21359" s="1"/>
    </row>
    <row r="21360">
      <c r="C21360" s="1"/>
    </row>
    <row r="21361">
      <c r="C21361" s="1"/>
    </row>
    <row r="21362">
      <c r="C21362" s="1"/>
    </row>
    <row r="21363">
      <c r="C21363" s="1"/>
    </row>
    <row r="21364">
      <c r="C21364" s="1"/>
    </row>
    <row r="21365">
      <c r="C21365" s="1"/>
    </row>
    <row r="21366">
      <c r="C21366" s="1"/>
    </row>
    <row r="21367">
      <c r="C21367" s="1"/>
    </row>
    <row r="21368">
      <c r="C21368" s="1"/>
    </row>
    <row r="21369">
      <c r="C21369" s="1"/>
    </row>
    <row r="21370">
      <c r="C21370" s="1"/>
    </row>
    <row r="21371">
      <c r="C21371" s="1"/>
    </row>
    <row r="21372">
      <c r="C21372" s="1"/>
    </row>
    <row r="21373">
      <c r="C21373" s="1"/>
    </row>
    <row r="21374">
      <c r="C21374" s="1"/>
    </row>
    <row r="21375">
      <c r="C21375" s="1"/>
    </row>
    <row r="21376">
      <c r="C21376" s="1"/>
    </row>
    <row r="21377">
      <c r="C21377" s="1"/>
    </row>
    <row r="21378">
      <c r="C21378" s="1"/>
    </row>
    <row r="21379">
      <c r="C21379" s="1"/>
    </row>
    <row r="21380">
      <c r="C21380" s="1"/>
    </row>
    <row r="21381">
      <c r="C21381" s="1"/>
    </row>
    <row r="21382">
      <c r="C21382" s="1"/>
    </row>
    <row r="21383">
      <c r="C21383" s="1"/>
    </row>
    <row r="21384">
      <c r="C21384" s="1"/>
    </row>
    <row r="21385">
      <c r="C21385" s="1"/>
    </row>
    <row r="21386">
      <c r="C21386" s="1"/>
    </row>
    <row r="21387">
      <c r="C21387" s="1"/>
    </row>
    <row r="21388">
      <c r="C21388" s="1"/>
    </row>
    <row r="21389">
      <c r="C21389" s="1"/>
    </row>
    <row r="21390">
      <c r="C21390" s="1"/>
    </row>
    <row r="21391">
      <c r="C21391" s="1"/>
    </row>
    <row r="21392">
      <c r="C21392" s="1"/>
    </row>
    <row r="21393">
      <c r="C21393" s="1"/>
    </row>
    <row r="21394">
      <c r="C21394" s="1"/>
    </row>
    <row r="21395">
      <c r="C21395" s="1"/>
    </row>
    <row r="21396">
      <c r="C21396" s="1"/>
    </row>
    <row r="21397">
      <c r="C21397" s="1"/>
    </row>
    <row r="21398">
      <c r="C21398" s="1"/>
    </row>
    <row r="21399">
      <c r="C21399" s="1"/>
    </row>
    <row r="21400">
      <c r="C21400" s="1"/>
    </row>
    <row r="21401">
      <c r="C21401" s="1"/>
    </row>
    <row r="21402">
      <c r="C21402" s="1"/>
    </row>
    <row r="21403">
      <c r="C21403" s="1"/>
    </row>
    <row r="21404">
      <c r="C21404" s="1"/>
    </row>
    <row r="21405">
      <c r="C21405" s="1"/>
    </row>
    <row r="21406">
      <c r="C21406" s="1"/>
    </row>
    <row r="21407">
      <c r="C21407" s="1"/>
    </row>
    <row r="21408">
      <c r="C21408" s="1"/>
    </row>
    <row r="21409">
      <c r="C21409" s="1"/>
    </row>
    <row r="21410">
      <c r="C21410" s="1"/>
    </row>
    <row r="21411">
      <c r="C21411" s="1"/>
    </row>
    <row r="21412">
      <c r="C21412" s="1"/>
    </row>
    <row r="21413">
      <c r="C21413" s="1"/>
    </row>
    <row r="21414">
      <c r="C21414" s="1"/>
    </row>
    <row r="21415">
      <c r="C21415" s="1"/>
    </row>
    <row r="21416">
      <c r="C21416" s="1"/>
    </row>
    <row r="21417">
      <c r="C21417" s="1"/>
    </row>
    <row r="21418">
      <c r="C21418" s="1"/>
    </row>
    <row r="21419">
      <c r="C21419" s="1"/>
    </row>
    <row r="21420">
      <c r="C21420" s="1"/>
    </row>
    <row r="21421">
      <c r="C21421" s="1"/>
    </row>
    <row r="21422">
      <c r="C21422" s="1"/>
    </row>
    <row r="21423">
      <c r="C21423" s="1"/>
    </row>
    <row r="21424">
      <c r="C21424" s="1"/>
    </row>
    <row r="21425">
      <c r="C21425" s="1"/>
    </row>
    <row r="21426">
      <c r="C21426" s="1"/>
    </row>
    <row r="21427">
      <c r="C21427" s="1"/>
    </row>
    <row r="21428">
      <c r="C21428" s="1"/>
    </row>
    <row r="21429">
      <c r="C21429" s="1"/>
    </row>
    <row r="21430">
      <c r="C21430" s="1"/>
    </row>
    <row r="21431">
      <c r="C21431" s="1"/>
    </row>
    <row r="21432">
      <c r="C21432" s="1"/>
    </row>
    <row r="21433">
      <c r="C21433" s="1"/>
    </row>
    <row r="21434">
      <c r="C21434" s="1"/>
    </row>
    <row r="21435">
      <c r="C21435" s="1"/>
    </row>
    <row r="21436">
      <c r="C21436" s="1"/>
    </row>
    <row r="21437">
      <c r="C21437" s="1"/>
    </row>
    <row r="21438">
      <c r="C21438" s="1"/>
    </row>
    <row r="21439">
      <c r="C21439" s="1"/>
    </row>
    <row r="21440">
      <c r="C21440" s="1"/>
    </row>
    <row r="21441">
      <c r="C21441" s="1"/>
    </row>
    <row r="21442">
      <c r="C21442" s="1"/>
    </row>
    <row r="21443">
      <c r="C21443" s="1"/>
    </row>
    <row r="21444">
      <c r="C21444" s="1"/>
    </row>
    <row r="21445">
      <c r="C21445" s="1"/>
    </row>
    <row r="21446">
      <c r="C21446" s="1"/>
    </row>
    <row r="21447">
      <c r="C21447" s="1"/>
    </row>
    <row r="21448">
      <c r="C21448" s="1"/>
    </row>
    <row r="21449">
      <c r="C21449" s="1"/>
    </row>
    <row r="21450">
      <c r="C21450" s="1"/>
    </row>
    <row r="21451">
      <c r="C21451" s="1"/>
    </row>
    <row r="21452">
      <c r="C21452" s="1"/>
    </row>
    <row r="21453">
      <c r="C21453" s="1"/>
    </row>
    <row r="21454">
      <c r="C21454" s="1"/>
    </row>
    <row r="21455">
      <c r="C21455" s="1"/>
    </row>
    <row r="21456">
      <c r="C21456" s="1"/>
    </row>
    <row r="21457">
      <c r="C21457" s="1"/>
    </row>
    <row r="21458">
      <c r="C21458" s="1"/>
    </row>
    <row r="21459">
      <c r="C21459" s="1"/>
    </row>
    <row r="21460">
      <c r="C21460" s="1"/>
    </row>
    <row r="21461">
      <c r="C21461" s="1"/>
    </row>
    <row r="21462">
      <c r="C21462" s="1"/>
    </row>
    <row r="21463">
      <c r="C21463" s="1"/>
    </row>
    <row r="21464">
      <c r="C21464" s="1"/>
    </row>
    <row r="21465">
      <c r="C21465" s="1"/>
    </row>
    <row r="21466">
      <c r="C21466" s="1"/>
    </row>
    <row r="21467">
      <c r="C21467" s="1"/>
    </row>
    <row r="21468">
      <c r="C21468" s="1"/>
    </row>
    <row r="21469">
      <c r="C21469" s="1"/>
    </row>
    <row r="21470">
      <c r="C21470" s="1"/>
    </row>
    <row r="21471">
      <c r="C21471" s="1"/>
    </row>
    <row r="21472">
      <c r="C21472" s="1"/>
    </row>
    <row r="21473">
      <c r="C21473" s="1"/>
    </row>
    <row r="21474">
      <c r="C21474" s="1"/>
    </row>
    <row r="21475">
      <c r="C21475" s="1"/>
    </row>
    <row r="21476">
      <c r="C21476" s="1"/>
    </row>
    <row r="21477">
      <c r="C21477" s="1"/>
    </row>
    <row r="21478">
      <c r="C21478" s="1"/>
    </row>
    <row r="21479">
      <c r="C21479" s="1"/>
    </row>
    <row r="21480">
      <c r="C21480" s="1"/>
    </row>
    <row r="21481">
      <c r="C21481" s="1"/>
    </row>
    <row r="21482">
      <c r="C21482" s="1"/>
    </row>
    <row r="21483">
      <c r="C21483" s="1"/>
    </row>
    <row r="21484">
      <c r="C21484" s="1"/>
    </row>
    <row r="21485">
      <c r="C21485" s="1"/>
    </row>
    <row r="21486">
      <c r="C21486" s="1"/>
    </row>
    <row r="21487">
      <c r="C21487" s="1"/>
    </row>
    <row r="21488">
      <c r="C21488" s="1"/>
    </row>
    <row r="21489">
      <c r="C21489" s="1"/>
    </row>
    <row r="21490">
      <c r="C21490" s="1"/>
    </row>
    <row r="21491">
      <c r="C21491" s="1"/>
    </row>
    <row r="21492">
      <c r="C21492" s="1"/>
    </row>
    <row r="21493">
      <c r="C21493" s="1"/>
    </row>
    <row r="21494">
      <c r="C21494" s="1"/>
    </row>
    <row r="21495">
      <c r="C21495" s="1"/>
    </row>
    <row r="21496">
      <c r="C21496" s="1"/>
    </row>
    <row r="21497">
      <c r="C21497" s="1"/>
    </row>
    <row r="21498">
      <c r="C21498" s="1"/>
    </row>
    <row r="21499">
      <c r="C21499" s="1"/>
    </row>
    <row r="21500">
      <c r="C21500" s="1"/>
    </row>
    <row r="21501">
      <c r="C21501" s="1"/>
    </row>
    <row r="21502">
      <c r="C21502" s="1"/>
    </row>
    <row r="21503">
      <c r="C21503" s="1"/>
    </row>
    <row r="21504">
      <c r="C21504" s="1"/>
    </row>
    <row r="21505">
      <c r="C21505" s="1"/>
    </row>
    <row r="21506">
      <c r="C21506" s="1"/>
    </row>
    <row r="21507">
      <c r="C21507" s="1"/>
    </row>
    <row r="21508">
      <c r="C21508" s="1"/>
    </row>
    <row r="21509">
      <c r="C21509" s="1"/>
    </row>
    <row r="21510">
      <c r="C21510" s="1"/>
    </row>
    <row r="21511">
      <c r="C21511" s="1"/>
    </row>
    <row r="21512">
      <c r="C21512" s="1"/>
    </row>
    <row r="21513">
      <c r="C21513" s="1"/>
    </row>
    <row r="21514">
      <c r="C21514" s="1"/>
    </row>
    <row r="21515">
      <c r="C21515" s="1"/>
    </row>
    <row r="21516">
      <c r="C21516" s="1"/>
    </row>
    <row r="21517">
      <c r="C21517" s="1"/>
    </row>
    <row r="21518">
      <c r="C21518" s="1"/>
    </row>
    <row r="21519">
      <c r="C21519" s="1"/>
    </row>
    <row r="21520">
      <c r="C21520" s="1"/>
    </row>
    <row r="21521">
      <c r="C21521" s="1"/>
    </row>
    <row r="21522">
      <c r="C21522" s="1"/>
    </row>
    <row r="21523">
      <c r="C21523" s="1"/>
    </row>
    <row r="21524">
      <c r="C21524" s="1"/>
    </row>
    <row r="21525">
      <c r="C21525" s="1"/>
    </row>
    <row r="21526">
      <c r="C21526" s="1"/>
    </row>
    <row r="21527">
      <c r="C21527" s="1"/>
    </row>
    <row r="21528">
      <c r="C21528" s="1"/>
    </row>
    <row r="21529">
      <c r="C21529" s="1"/>
    </row>
    <row r="21530">
      <c r="C21530" s="1"/>
    </row>
    <row r="21531">
      <c r="C21531" s="1"/>
    </row>
    <row r="21532">
      <c r="C21532" s="1"/>
    </row>
    <row r="21533">
      <c r="C21533" s="1"/>
    </row>
    <row r="21534">
      <c r="C21534" s="1"/>
    </row>
    <row r="21535">
      <c r="C21535" s="1"/>
    </row>
    <row r="21536">
      <c r="C21536" s="1"/>
    </row>
    <row r="21537">
      <c r="C21537" s="1"/>
    </row>
    <row r="21538">
      <c r="C21538" s="1"/>
    </row>
    <row r="21539">
      <c r="C21539" s="1"/>
    </row>
    <row r="21540">
      <c r="C21540" s="1"/>
    </row>
    <row r="21541">
      <c r="C21541" s="1"/>
    </row>
    <row r="21542">
      <c r="C21542" s="1"/>
    </row>
    <row r="21543">
      <c r="C21543" s="1"/>
    </row>
    <row r="21544">
      <c r="C21544" s="1"/>
    </row>
    <row r="21545">
      <c r="C21545" s="1"/>
    </row>
    <row r="21546">
      <c r="C21546" s="1"/>
    </row>
    <row r="21547">
      <c r="C21547" s="1"/>
    </row>
    <row r="21548">
      <c r="C21548" s="1"/>
    </row>
    <row r="21549">
      <c r="C21549" s="1"/>
    </row>
    <row r="21550">
      <c r="C21550" s="1"/>
    </row>
    <row r="21551">
      <c r="C21551" s="1"/>
    </row>
    <row r="21552">
      <c r="C21552" s="1"/>
    </row>
    <row r="21553">
      <c r="C21553" s="1"/>
    </row>
    <row r="21554">
      <c r="C21554" s="1"/>
    </row>
    <row r="21555">
      <c r="C21555" s="1"/>
    </row>
    <row r="21556">
      <c r="C21556" s="1"/>
    </row>
    <row r="21557">
      <c r="C21557" s="1"/>
    </row>
    <row r="21558">
      <c r="C21558" s="1"/>
    </row>
    <row r="21559">
      <c r="C21559" s="1"/>
    </row>
    <row r="21560">
      <c r="C21560" s="1"/>
    </row>
    <row r="21561">
      <c r="C21561" s="1"/>
    </row>
    <row r="21562">
      <c r="C21562" s="1"/>
    </row>
    <row r="21563">
      <c r="C21563" s="1"/>
    </row>
    <row r="21564">
      <c r="C21564" s="1"/>
    </row>
    <row r="21565">
      <c r="C21565" s="1"/>
    </row>
    <row r="21566">
      <c r="C21566" s="1"/>
    </row>
    <row r="21567">
      <c r="C21567" s="1"/>
    </row>
    <row r="21568">
      <c r="C21568" s="1"/>
    </row>
    <row r="21569">
      <c r="C21569" s="1"/>
    </row>
    <row r="21570">
      <c r="C21570" s="1"/>
    </row>
    <row r="21571">
      <c r="C21571" s="1"/>
    </row>
    <row r="21572">
      <c r="C21572" s="1"/>
    </row>
    <row r="21573">
      <c r="C21573" s="1"/>
    </row>
    <row r="21574">
      <c r="C21574" s="1"/>
    </row>
    <row r="21575">
      <c r="C21575" s="1"/>
    </row>
    <row r="21576">
      <c r="C21576" s="1"/>
    </row>
    <row r="21577">
      <c r="C21577" s="1"/>
    </row>
    <row r="21578">
      <c r="C21578" s="1"/>
    </row>
    <row r="21579">
      <c r="C21579" s="1"/>
    </row>
    <row r="21580">
      <c r="C21580" s="1"/>
    </row>
    <row r="21581">
      <c r="C21581" s="1"/>
    </row>
    <row r="21582">
      <c r="C21582" s="1"/>
    </row>
    <row r="21583">
      <c r="C21583" s="1"/>
    </row>
    <row r="21584">
      <c r="C21584" s="1"/>
    </row>
    <row r="21585">
      <c r="C21585" s="1"/>
    </row>
    <row r="21586">
      <c r="C21586" s="1"/>
    </row>
    <row r="21587">
      <c r="C21587" s="1"/>
    </row>
    <row r="21588">
      <c r="C21588" s="1"/>
    </row>
    <row r="21589">
      <c r="C21589" s="1"/>
    </row>
    <row r="21590">
      <c r="C21590" s="1"/>
    </row>
    <row r="21591">
      <c r="C21591" s="1"/>
    </row>
    <row r="21592">
      <c r="C21592" s="1"/>
    </row>
    <row r="21593">
      <c r="C21593" s="1"/>
    </row>
    <row r="21594">
      <c r="C21594" s="1"/>
    </row>
    <row r="21595">
      <c r="C21595" s="1"/>
    </row>
    <row r="21596">
      <c r="C21596" s="1"/>
    </row>
    <row r="21597">
      <c r="C21597" s="1"/>
    </row>
    <row r="21598">
      <c r="C21598" s="1"/>
    </row>
    <row r="21599">
      <c r="C21599" s="1"/>
    </row>
    <row r="21600">
      <c r="C21600" s="1"/>
    </row>
    <row r="21601">
      <c r="C21601" s="1"/>
    </row>
    <row r="21602">
      <c r="C21602" s="1"/>
    </row>
    <row r="21603">
      <c r="C21603" s="1"/>
    </row>
    <row r="21604">
      <c r="C21604" s="1"/>
    </row>
    <row r="21605">
      <c r="C21605" s="1"/>
    </row>
    <row r="21606">
      <c r="C21606" s="1"/>
    </row>
    <row r="21607">
      <c r="C21607" s="1"/>
    </row>
    <row r="21608">
      <c r="C21608" s="1"/>
    </row>
    <row r="21609">
      <c r="C21609" s="1"/>
    </row>
    <row r="21610">
      <c r="C21610" s="1"/>
    </row>
    <row r="21611">
      <c r="C21611" s="1"/>
    </row>
    <row r="21612">
      <c r="C21612" s="1"/>
    </row>
    <row r="21613">
      <c r="C21613" s="1"/>
    </row>
    <row r="21614">
      <c r="C21614" s="1"/>
    </row>
    <row r="21615">
      <c r="C21615" s="1"/>
    </row>
    <row r="21616">
      <c r="C21616" s="1"/>
    </row>
    <row r="21617">
      <c r="C21617" s="1"/>
    </row>
    <row r="21618">
      <c r="C21618" s="1"/>
    </row>
    <row r="21619">
      <c r="C21619" s="1"/>
    </row>
    <row r="21620">
      <c r="C21620" s="1"/>
    </row>
    <row r="21621">
      <c r="C21621" s="1"/>
    </row>
    <row r="21622">
      <c r="C21622" s="1"/>
    </row>
    <row r="21623">
      <c r="C21623" s="1"/>
    </row>
    <row r="21624">
      <c r="C21624" s="1"/>
    </row>
    <row r="21625">
      <c r="C21625" s="1"/>
    </row>
    <row r="21626">
      <c r="C21626" s="1"/>
    </row>
    <row r="21627">
      <c r="C21627" s="1"/>
    </row>
    <row r="21628">
      <c r="C21628" s="1"/>
    </row>
    <row r="21629">
      <c r="C21629" s="1"/>
    </row>
    <row r="21630">
      <c r="C21630" s="1"/>
    </row>
    <row r="21631">
      <c r="C21631" s="1"/>
    </row>
    <row r="21632">
      <c r="C21632" s="1"/>
    </row>
    <row r="21633">
      <c r="C21633" s="1"/>
    </row>
    <row r="21634">
      <c r="C21634" s="1"/>
    </row>
    <row r="21635">
      <c r="C21635" s="1"/>
    </row>
    <row r="21636">
      <c r="C21636" s="1"/>
    </row>
    <row r="21637">
      <c r="C21637" s="1"/>
    </row>
    <row r="21638">
      <c r="C21638" s="1"/>
    </row>
    <row r="21639">
      <c r="C21639" s="1"/>
    </row>
    <row r="21640">
      <c r="C21640" s="1"/>
    </row>
    <row r="21641">
      <c r="C21641" s="1"/>
    </row>
    <row r="21642">
      <c r="C21642" s="1"/>
    </row>
    <row r="21643">
      <c r="C21643" s="1"/>
    </row>
    <row r="21644">
      <c r="C21644" s="1"/>
    </row>
    <row r="21645">
      <c r="C21645" s="1"/>
    </row>
    <row r="21646">
      <c r="C21646" s="1"/>
    </row>
    <row r="21647">
      <c r="C21647" s="1"/>
    </row>
    <row r="21648">
      <c r="C21648" s="1"/>
    </row>
    <row r="21649">
      <c r="C21649" s="1"/>
    </row>
    <row r="21650">
      <c r="C21650" s="1"/>
    </row>
    <row r="21651">
      <c r="C21651" s="1"/>
    </row>
    <row r="21652">
      <c r="C21652" s="1"/>
    </row>
    <row r="21653">
      <c r="C21653" s="1"/>
    </row>
    <row r="21654">
      <c r="C21654" s="1"/>
    </row>
    <row r="21655">
      <c r="C21655" s="1"/>
    </row>
    <row r="21656">
      <c r="C21656" s="1"/>
    </row>
    <row r="21657">
      <c r="C21657" s="1"/>
    </row>
    <row r="21658">
      <c r="C21658" s="1"/>
    </row>
    <row r="21659">
      <c r="C21659" s="1"/>
    </row>
    <row r="21660">
      <c r="C21660" s="1"/>
    </row>
    <row r="21661">
      <c r="C21661" s="1"/>
    </row>
    <row r="21662">
      <c r="C21662" s="1"/>
    </row>
    <row r="21663">
      <c r="C21663" s="1"/>
    </row>
    <row r="21664">
      <c r="C21664" s="1"/>
    </row>
    <row r="21665">
      <c r="C21665" s="1"/>
    </row>
    <row r="21666">
      <c r="C21666" s="1"/>
    </row>
    <row r="21667">
      <c r="C21667" s="1"/>
    </row>
    <row r="21668">
      <c r="C21668" s="1"/>
    </row>
    <row r="21669">
      <c r="C21669" s="1"/>
    </row>
    <row r="21670">
      <c r="C21670" s="1"/>
    </row>
    <row r="21671">
      <c r="C21671" s="1"/>
    </row>
    <row r="21672">
      <c r="C21672" s="1"/>
    </row>
    <row r="21673">
      <c r="C21673" s="1"/>
    </row>
    <row r="21674">
      <c r="C21674" s="1"/>
    </row>
    <row r="21675">
      <c r="C21675" s="1"/>
    </row>
    <row r="21676">
      <c r="C21676" s="1"/>
    </row>
    <row r="21677">
      <c r="C21677" s="1"/>
    </row>
    <row r="21678">
      <c r="C21678" s="1"/>
    </row>
    <row r="21679">
      <c r="C21679" s="1"/>
    </row>
    <row r="21680">
      <c r="C21680" s="1"/>
    </row>
    <row r="21681">
      <c r="C21681" s="1"/>
    </row>
    <row r="21682">
      <c r="C21682" s="1"/>
    </row>
    <row r="21683">
      <c r="C21683" s="1"/>
    </row>
    <row r="21684">
      <c r="C21684" s="1"/>
    </row>
    <row r="21685">
      <c r="C21685" s="1"/>
    </row>
    <row r="21686">
      <c r="C21686" s="1"/>
    </row>
    <row r="21687">
      <c r="C21687" s="1"/>
    </row>
    <row r="21688">
      <c r="C21688" s="1"/>
    </row>
    <row r="21689">
      <c r="C21689" s="1"/>
    </row>
    <row r="21690">
      <c r="C21690" s="1"/>
    </row>
    <row r="21691">
      <c r="C21691" s="1"/>
    </row>
    <row r="21692">
      <c r="C21692" s="1"/>
    </row>
    <row r="21693">
      <c r="C21693" s="1"/>
    </row>
    <row r="21694">
      <c r="C21694" s="1"/>
    </row>
    <row r="21695">
      <c r="C21695" s="1"/>
    </row>
    <row r="21696">
      <c r="C21696" s="1"/>
    </row>
    <row r="21697">
      <c r="C21697" s="1"/>
    </row>
    <row r="21698">
      <c r="C21698" s="1"/>
    </row>
    <row r="21699">
      <c r="C21699" s="1"/>
    </row>
    <row r="21700">
      <c r="C21700" s="1"/>
    </row>
    <row r="21701">
      <c r="C21701" s="1"/>
    </row>
    <row r="21702">
      <c r="C21702" s="1"/>
    </row>
    <row r="21703">
      <c r="C21703" s="1"/>
    </row>
    <row r="21704">
      <c r="C21704" s="1"/>
    </row>
    <row r="21705">
      <c r="C21705" s="1"/>
    </row>
    <row r="21706">
      <c r="C21706" s="1"/>
    </row>
    <row r="21707">
      <c r="C21707" s="1"/>
    </row>
    <row r="21708">
      <c r="C21708" s="1"/>
    </row>
    <row r="21709">
      <c r="C21709" s="1"/>
    </row>
    <row r="21710">
      <c r="C21710" s="1"/>
    </row>
    <row r="21711">
      <c r="C21711" s="1"/>
    </row>
    <row r="21712">
      <c r="C21712" s="1"/>
    </row>
    <row r="21713">
      <c r="C21713" s="1"/>
    </row>
    <row r="21714">
      <c r="C21714" s="1"/>
    </row>
    <row r="21715">
      <c r="C21715" s="1"/>
    </row>
    <row r="21716">
      <c r="C21716" s="1"/>
    </row>
    <row r="21717">
      <c r="C21717" s="1"/>
    </row>
    <row r="21718">
      <c r="C21718" s="1"/>
    </row>
    <row r="21719">
      <c r="C21719" s="1"/>
    </row>
    <row r="21720">
      <c r="C21720" s="1"/>
    </row>
    <row r="21721">
      <c r="C21721" s="1"/>
    </row>
    <row r="21722">
      <c r="C21722" s="1"/>
    </row>
    <row r="21723">
      <c r="C21723" s="1"/>
    </row>
    <row r="21724">
      <c r="C21724" s="1"/>
    </row>
    <row r="21725">
      <c r="C21725" s="1"/>
    </row>
    <row r="21726">
      <c r="C21726" s="1"/>
    </row>
    <row r="21727">
      <c r="C21727" s="1"/>
    </row>
    <row r="21728">
      <c r="C21728" s="1"/>
    </row>
    <row r="21729">
      <c r="C21729" s="1"/>
    </row>
    <row r="21730">
      <c r="C21730" s="1"/>
    </row>
    <row r="21731">
      <c r="C21731" s="1"/>
    </row>
    <row r="21732">
      <c r="C21732" s="1"/>
    </row>
    <row r="21733">
      <c r="C21733" s="1"/>
    </row>
    <row r="21734">
      <c r="C21734" s="1"/>
    </row>
    <row r="21735">
      <c r="C21735" s="1"/>
    </row>
    <row r="21736">
      <c r="C21736" s="1"/>
    </row>
    <row r="21737">
      <c r="C21737" s="1"/>
    </row>
    <row r="21738">
      <c r="C21738" s="1"/>
    </row>
    <row r="21739">
      <c r="C21739" s="1"/>
    </row>
    <row r="21740">
      <c r="C21740" s="1"/>
    </row>
    <row r="21741">
      <c r="C21741" s="1"/>
    </row>
    <row r="21742">
      <c r="C21742" s="1"/>
    </row>
    <row r="21743">
      <c r="C21743" s="1"/>
    </row>
    <row r="21744">
      <c r="C21744" s="1"/>
    </row>
    <row r="21745">
      <c r="C21745" s="1"/>
    </row>
    <row r="21746">
      <c r="C21746" s="1"/>
    </row>
    <row r="21747">
      <c r="C21747" s="1"/>
    </row>
    <row r="21748">
      <c r="C21748" s="1"/>
    </row>
    <row r="21749">
      <c r="C21749" s="1"/>
    </row>
    <row r="21750">
      <c r="C21750" s="1"/>
    </row>
    <row r="21751">
      <c r="C21751" s="1"/>
    </row>
    <row r="21752">
      <c r="C21752" s="1"/>
    </row>
    <row r="21753">
      <c r="C21753" s="1"/>
    </row>
    <row r="21754">
      <c r="C21754" s="1"/>
    </row>
    <row r="21755">
      <c r="C21755" s="1"/>
    </row>
    <row r="21756">
      <c r="C21756" s="1"/>
    </row>
    <row r="21757">
      <c r="C21757" s="1"/>
    </row>
    <row r="21758">
      <c r="C21758" s="1"/>
    </row>
    <row r="21759">
      <c r="C21759" s="1"/>
    </row>
    <row r="21760">
      <c r="C21760" s="1"/>
    </row>
    <row r="21761">
      <c r="C21761" s="1"/>
    </row>
    <row r="21762">
      <c r="C21762" s="1"/>
    </row>
    <row r="21763">
      <c r="C21763" s="1"/>
    </row>
    <row r="21764">
      <c r="C21764" s="1"/>
    </row>
    <row r="21765">
      <c r="C21765" s="1"/>
    </row>
    <row r="21766">
      <c r="C21766" s="1"/>
    </row>
    <row r="21767">
      <c r="C21767" s="1"/>
    </row>
    <row r="21768">
      <c r="C21768" s="1"/>
    </row>
    <row r="21769">
      <c r="C21769" s="1"/>
    </row>
    <row r="21770">
      <c r="C21770" s="1"/>
    </row>
    <row r="21771">
      <c r="C21771" s="1"/>
    </row>
    <row r="21772">
      <c r="C21772" s="1"/>
    </row>
    <row r="21773">
      <c r="C21773" s="1"/>
    </row>
    <row r="21774">
      <c r="C21774" s="1"/>
    </row>
    <row r="21775">
      <c r="C21775" s="1"/>
    </row>
    <row r="21776">
      <c r="C21776" s="1"/>
    </row>
    <row r="21777">
      <c r="C21777" s="1"/>
    </row>
    <row r="21778">
      <c r="C21778" s="1"/>
    </row>
    <row r="21779">
      <c r="C21779" s="1"/>
    </row>
    <row r="21780">
      <c r="C21780" s="1"/>
    </row>
    <row r="21781">
      <c r="C21781" s="1"/>
    </row>
    <row r="21782">
      <c r="C21782" s="1"/>
    </row>
    <row r="21783">
      <c r="C21783" s="1"/>
    </row>
    <row r="21784">
      <c r="C21784" s="1"/>
    </row>
    <row r="21785">
      <c r="C21785" s="1"/>
    </row>
    <row r="21786">
      <c r="C21786" s="1"/>
    </row>
    <row r="21787">
      <c r="C21787" s="1"/>
    </row>
    <row r="21788">
      <c r="C21788" s="1"/>
    </row>
    <row r="21789">
      <c r="C21789" s="1"/>
    </row>
    <row r="21790">
      <c r="C21790" s="1"/>
    </row>
    <row r="21791">
      <c r="C21791" s="1"/>
    </row>
    <row r="21792">
      <c r="C21792" s="1"/>
    </row>
    <row r="21793">
      <c r="C21793" s="1"/>
    </row>
    <row r="21794">
      <c r="C21794" s="1"/>
    </row>
    <row r="21795">
      <c r="C21795" s="1"/>
    </row>
    <row r="21796">
      <c r="C21796" s="1"/>
    </row>
    <row r="21797">
      <c r="C21797" s="1"/>
    </row>
    <row r="21798">
      <c r="C21798" s="1"/>
    </row>
    <row r="21799">
      <c r="C21799" s="1"/>
    </row>
    <row r="21800">
      <c r="C21800" s="1"/>
    </row>
    <row r="21801">
      <c r="C21801" s="1"/>
    </row>
    <row r="21802">
      <c r="C21802" s="1"/>
    </row>
    <row r="21803">
      <c r="C21803" s="1"/>
    </row>
    <row r="21804">
      <c r="C21804" s="1"/>
    </row>
    <row r="21805">
      <c r="C21805" s="1"/>
    </row>
    <row r="21806">
      <c r="C21806" s="1"/>
    </row>
    <row r="21807">
      <c r="C21807" s="1"/>
    </row>
    <row r="21808">
      <c r="C21808" s="1"/>
    </row>
    <row r="21809">
      <c r="C21809" s="1"/>
    </row>
    <row r="21810">
      <c r="C21810" s="1"/>
    </row>
    <row r="21811">
      <c r="C21811" s="1"/>
    </row>
    <row r="21812">
      <c r="C21812" s="1"/>
    </row>
    <row r="21813">
      <c r="C21813" s="1"/>
    </row>
    <row r="21814">
      <c r="C21814" s="1"/>
    </row>
    <row r="21815">
      <c r="C21815" s="1"/>
    </row>
    <row r="21816">
      <c r="C21816" s="1"/>
    </row>
    <row r="21817">
      <c r="C21817" s="1"/>
    </row>
    <row r="21818">
      <c r="C21818" s="1"/>
    </row>
    <row r="21819">
      <c r="C21819" s="1"/>
    </row>
    <row r="21820">
      <c r="C21820" s="1"/>
    </row>
    <row r="21821">
      <c r="C21821" s="1"/>
    </row>
    <row r="21822">
      <c r="C21822" s="1"/>
    </row>
    <row r="21823">
      <c r="C21823" s="1"/>
    </row>
    <row r="21824">
      <c r="C21824" s="1"/>
    </row>
    <row r="21825">
      <c r="C21825" s="1"/>
    </row>
    <row r="21826">
      <c r="C21826" s="1"/>
    </row>
    <row r="21827">
      <c r="C21827" s="1"/>
    </row>
    <row r="21828">
      <c r="C21828" s="1"/>
    </row>
    <row r="21829">
      <c r="C21829" s="1"/>
    </row>
    <row r="21830">
      <c r="C21830" s="1"/>
    </row>
    <row r="21831">
      <c r="C21831" s="1"/>
    </row>
    <row r="21832">
      <c r="C21832" s="1"/>
    </row>
    <row r="21833">
      <c r="C21833" s="1"/>
    </row>
    <row r="21834">
      <c r="C21834" s="1"/>
    </row>
    <row r="21835">
      <c r="C21835" s="1"/>
    </row>
    <row r="21836">
      <c r="C21836" s="1"/>
    </row>
    <row r="21837">
      <c r="C21837" s="1"/>
    </row>
    <row r="21838">
      <c r="C21838" s="1"/>
    </row>
    <row r="21839">
      <c r="C21839" s="1"/>
    </row>
    <row r="21840">
      <c r="C21840" s="1"/>
    </row>
    <row r="21841">
      <c r="C21841" s="1"/>
    </row>
    <row r="21842">
      <c r="C21842" s="1"/>
    </row>
    <row r="21843">
      <c r="C21843" s="1"/>
    </row>
    <row r="21844">
      <c r="C21844" s="1"/>
    </row>
    <row r="21845">
      <c r="C21845" s="1"/>
    </row>
    <row r="21846">
      <c r="C21846" s="1"/>
    </row>
    <row r="21847">
      <c r="C21847" s="1"/>
    </row>
    <row r="21848">
      <c r="C21848" s="1"/>
    </row>
    <row r="21849">
      <c r="C21849" s="1"/>
    </row>
    <row r="21850">
      <c r="C21850" s="1"/>
    </row>
    <row r="21851">
      <c r="C21851" s="1"/>
    </row>
    <row r="21852">
      <c r="C21852" s="1"/>
    </row>
    <row r="21853">
      <c r="C21853" s="1"/>
    </row>
    <row r="21854">
      <c r="C21854" s="1"/>
    </row>
    <row r="21855">
      <c r="C21855" s="1"/>
    </row>
    <row r="21856">
      <c r="C21856" s="1"/>
    </row>
    <row r="21857">
      <c r="C21857" s="1"/>
    </row>
    <row r="21858">
      <c r="C21858" s="1"/>
    </row>
    <row r="21859">
      <c r="C21859" s="1"/>
    </row>
    <row r="21860">
      <c r="C21860" s="1"/>
    </row>
    <row r="21861">
      <c r="C21861" s="1"/>
    </row>
    <row r="21862">
      <c r="C21862" s="1"/>
    </row>
    <row r="21863">
      <c r="C21863" s="1"/>
    </row>
    <row r="21864">
      <c r="C21864" s="1"/>
    </row>
    <row r="21865">
      <c r="C21865" s="1"/>
    </row>
    <row r="21866">
      <c r="C21866" s="1"/>
    </row>
    <row r="21867">
      <c r="C21867" s="1"/>
    </row>
    <row r="21868">
      <c r="C21868" s="1"/>
    </row>
    <row r="21869">
      <c r="C21869" s="1"/>
    </row>
    <row r="21870">
      <c r="C21870" s="1"/>
    </row>
    <row r="21871">
      <c r="C21871" s="1"/>
    </row>
    <row r="21872">
      <c r="C21872" s="1"/>
    </row>
    <row r="21873">
      <c r="C21873" s="1"/>
    </row>
    <row r="21874">
      <c r="C21874" s="1"/>
    </row>
    <row r="21875">
      <c r="C21875" s="1"/>
    </row>
    <row r="21876">
      <c r="C21876" s="1"/>
    </row>
    <row r="21877">
      <c r="C21877" s="1"/>
    </row>
    <row r="21878">
      <c r="C21878" s="1"/>
    </row>
    <row r="21879">
      <c r="C21879" s="1"/>
    </row>
    <row r="21880">
      <c r="C21880" s="1"/>
    </row>
    <row r="21881">
      <c r="C21881" s="1"/>
    </row>
    <row r="21882">
      <c r="C21882" s="1"/>
    </row>
    <row r="21883">
      <c r="C21883" s="1"/>
    </row>
    <row r="21884">
      <c r="C21884" s="1"/>
    </row>
    <row r="21885">
      <c r="C21885" s="1"/>
    </row>
    <row r="21886">
      <c r="C21886" s="1"/>
    </row>
    <row r="21887">
      <c r="C21887" s="1"/>
    </row>
    <row r="21888">
      <c r="C21888" s="1"/>
    </row>
    <row r="21889">
      <c r="C21889" s="1"/>
    </row>
    <row r="21890">
      <c r="C21890" s="1"/>
    </row>
    <row r="21891">
      <c r="C21891" s="1"/>
    </row>
    <row r="21892">
      <c r="C21892" s="1"/>
    </row>
    <row r="21893">
      <c r="C21893" s="1"/>
    </row>
    <row r="21894">
      <c r="C21894" s="1"/>
    </row>
    <row r="21895">
      <c r="C21895" s="1"/>
    </row>
    <row r="21896">
      <c r="C21896" s="1"/>
    </row>
    <row r="21897">
      <c r="C21897" s="1"/>
    </row>
    <row r="21898">
      <c r="C21898" s="1"/>
    </row>
    <row r="21899">
      <c r="C21899" s="1"/>
    </row>
    <row r="21900">
      <c r="C21900" s="1"/>
    </row>
    <row r="21901">
      <c r="C21901" s="1"/>
    </row>
    <row r="21902">
      <c r="C21902" s="1"/>
    </row>
    <row r="21903">
      <c r="C21903" s="1"/>
    </row>
    <row r="21904">
      <c r="C21904" s="1"/>
    </row>
    <row r="21905">
      <c r="C21905" s="1"/>
    </row>
    <row r="21906">
      <c r="C21906" s="1"/>
    </row>
    <row r="21907">
      <c r="C21907" s="1"/>
    </row>
    <row r="21908">
      <c r="C21908" s="1"/>
    </row>
    <row r="21909">
      <c r="C21909" s="1"/>
    </row>
    <row r="21910">
      <c r="C21910" s="1"/>
    </row>
    <row r="21911">
      <c r="C21911" s="1"/>
    </row>
    <row r="21912">
      <c r="C21912" s="1"/>
    </row>
    <row r="21913">
      <c r="C21913" s="1"/>
    </row>
    <row r="21914">
      <c r="C21914" s="1"/>
    </row>
    <row r="21915">
      <c r="C21915" s="1"/>
    </row>
    <row r="21916">
      <c r="C21916" s="1"/>
    </row>
    <row r="21917">
      <c r="C21917" s="1"/>
    </row>
    <row r="21918">
      <c r="C21918" s="1"/>
    </row>
    <row r="21919">
      <c r="C21919" s="1"/>
    </row>
    <row r="21920">
      <c r="C21920" s="1"/>
    </row>
    <row r="21921">
      <c r="C21921" s="1"/>
    </row>
    <row r="21922">
      <c r="C21922" s="1"/>
    </row>
    <row r="21923">
      <c r="C21923" s="1"/>
    </row>
    <row r="21924">
      <c r="C21924" s="1"/>
    </row>
    <row r="21925">
      <c r="C21925" s="1"/>
    </row>
    <row r="21926">
      <c r="C21926" s="1"/>
    </row>
    <row r="21927">
      <c r="C21927" s="1"/>
    </row>
    <row r="21928">
      <c r="C21928" s="1"/>
    </row>
    <row r="21929">
      <c r="C21929" s="1"/>
    </row>
    <row r="21930">
      <c r="C21930" s="1"/>
    </row>
    <row r="21931">
      <c r="C21931" s="1"/>
    </row>
    <row r="21932">
      <c r="C21932" s="1"/>
    </row>
    <row r="21933">
      <c r="C21933" s="1"/>
    </row>
    <row r="21934">
      <c r="C21934" s="1"/>
    </row>
    <row r="21935">
      <c r="C21935" s="1"/>
    </row>
    <row r="21936">
      <c r="C21936" s="1"/>
    </row>
    <row r="21937">
      <c r="C21937" s="1"/>
    </row>
    <row r="21938">
      <c r="C21938" s="1"/>
    </row>
    <row r="21939">
      <c r="C21939" s="1"/>
    </row>
    <row r="21940">
      <c r="C21940" s="1"/>
    </row>
    <row r="21941">
      <c r="C21941" s="1"/>
    </row>
    <row r="21942">
      <c r="C21942" s="1"/>
    </row>
    <row r="21943">
      <c r="C21943" s="1"/>
    </row>
    <row r="21944">
      <c r="C21944" s="1"/>
    </row>
    <row r="21945">
      <c r="C21945" s="1"/>
    </row>
    <row r="21946">
      <c r="C21946" s="1"/>
    </row>
    <row r="21947">
      <c r="C21947" s="1"/>
    </row>
    <row r="21948">
      <c r="C21948" s="1"/>
    </row>
    <row r="21949">
      <c r="C21949" s="1"/>
    </row>
    <row r="21950">
      <c r="C21950" s="1"/>
    </row>
    <row r="21951">
      <c r="C21951" s="1"/>
    </row>
    <row r="21952">
      <c r="C21952" s="1"/>
    </row>
    <row r="21953">
      <c r="C21953" s="1"/>
    </row>
    <row r="21954">
      <c r="C21954" s="1"/>
    </row>
    <row r="21955">
      <c r="C21955" s="1"/>
    </row>
    <row r="21956">
      <c r="C21956" s="1"/>
    </row>
    <row r="21957">
      <c r="C21957" s="1"/>
    </row>
    <row r="21958">
      <c r="C21958" s="1"/>
    </row>
    <row r="21959">
      <c r="C21959" s="1"/>
    </row>
    <row r="21960">
      <c r="C21960" s="1"/>
    </row>
    <row r="21961">
      <c r="C21961" s="1"/>
    </row>
    <row r="21962">
      <c r="C21962" s="1"/>
    </row>
    <row r="21963">
      <c r="C21963" s="1"/>
    </row>
    <row r="21964">
      <c r="C21964" s="1"/>
    </row>
    <row r="21965">
      <c r="C21965" s="1"/>
    </row>
    <row r="21966">
      <c r="C21966" s="1"/>
    </row>
    <row r="21967">
      <c r="C21967" s="1"/>
    </row>
    <row r="21968">
      <c r="C21968" s="1"/>
    </row>
    <row r="21969">
      <c r="C21969" s="1"/>
    </row>
    <row r="21970">
      <c r="C21970" s="1"/>
    </row>
    <row r="21971">
      <c r="C21971" s="1"/>
    </row>
    <row r="21972">
      <c r="C21972" s="1"/>
    </row>
    <row r="21973">
      <c r="C21973" s="1"/>
    </row>
    <row r="21974">
      <c r="C21974" s="1"/>
    </row>
    <row r="21975">
      <c r="C21975" s="1"/>
    </row>
    <row r="21976">
      <c r="C21976" s="1"/>
    </row>
    <row r="21977">
      <c r="C21977" s="1"/>
    </row>
    <row r="21978">
      <c r="C21978" s="1"/>
    </row>
    <row r="21979">
      <c r="C21979" s="1"/>
    </row>
    <row r="21980">
      <c r="C21980" s="1"/>
    </row>
    <row r="21981">
      <c r="C21981" s="1"/>
    </row>
    <row r="21982">
      <c r="C21982" s="1"/>
    </row>
    <row r="21983">
      <c r="C21983" s="1"/>
    </row>
    <row r="21984">
      <c r="C21984" s="1"/>
    </row>
    <row r="21985">
      <c r="C21985" s="1"/>
    </row>
    <row r="21986">
      <c r="C21986" s="1"/>
    </row>
    <row r="21987">
      <c r="C21987" s="1"/>
    </row>
    <row r="21988">
      <c r="C21988" s="1"/>
    </row>
    <row r="21989">
      <c r="C21989" s="1"/>
    </row>
    <row r="21990">
      <c r="C21990" s="1"/>
    </row>
    <row r="21991">
      <c r="C21991" s="1"/>
    </row>
    <row r="21992">
      <c r="C21992" s="1"/>
    </row>
    <row r="21993">
      <c r="C21993" s="1"/>
    </row>
    <row r="21994">
      <c r="C21994" s="1"/>
    </row>
    <row r="21995">
      <c r="C21995" s="1"/>
    </row>
    <row r="21996">
      <c r="C21996" s="1"/>
    </row>
    <row r="21997">
      <c r="C21997" s="1"/>
    </row>
    <row r="21998">
      <c r="C21998" s="1"/>
    </row>
    <row r="21999">
      <c r="C21999" s="1"/>
    </row>
    <row r="22000">
      <c r="C22000" s="1"/>
    </row>
    <row r="22001">
      <c r="C22001" s="1"/>
    </row>
    <row r="22002">
      <c r="C22002" s="1"/>
    </row>
    <row r="22003">
      <c r="C22003" s="1"/>
    </row>
    <row r="22004">
      <c r="C22004" s="1"/>
    </row>
    <row r="22005">
      <c r="C22005" s="1"/>
    </row>
    <row r="22006">
      <c r="C22006" s="1"/>
    </row>
    <row r="22007">
      <c r="C22007" s="1"/>
    </row>
    <row r="22008">
      <c r="C22008" s="1"/>
    </row>
    <row r="22009">
      <c r="C22009" s="1"/>
    </row>
    <row r="22010">
      <c r="C22010" s="1"/>
    </row>
    <row r="22011">
      <c r="C22011" s="1"/>
    </row>
    <row r="22012">
      <c r="C22012" s="1"/>
    </row>
    <row r="22013">
      <c r="C22013" s="1"/>
    </row>
    <row r="22014">
      <c r="C22014" s="1"/>
    </row>
    <row r="22015">
      <c r="C22015" s="1"/>
    </row>
    <row r="22016">
      <c r="C22016" s="1"/>
    </row>
    <row r="22017">
      <c r="C22017" s="1"/>
    </row>
    <row r="22018">
      <c r="C22018" s="1"/>
    </row>
    <row r="22019">
      <c r="C22019" s="1"/>
    </row>
    <row r="22020">
      <c r="C22020" s="1"/>
    </row>
    <row r="22021">
      <c r="C22021" s="1"/>
    </row>
    <row r="22022">
      <c r="C22022" s="1"/>
    </row>
    <row r="22023">
      <c r="C22023" s="1"/>
    </row>
    <row r="22024">
      <c r="C22024" s="1"/>
    </row>
    <row r="22025">
      <c r="C22025" s="1"/>
    </row>
    <row r="22026">
      <c r="C22026" s="1"/>
    </row>
    <row r="22027">
      <c r="C22027" s="1"/>
    </row>
    <row r="22028">
      <c r="C22028" s="1"/>
    </row>
    <row r="22029">
      <c r="C22029" s="1"/>
    </row>
    <row r="22030">
      <c r="C22030" s="1"/>
    </row>
    <row r="22031">
      <c r="C22031" s="1"/>
    </row>
    <row r="22032">
      <c r="C22032" s="1"/>
    </row>
    <row r="22033">
      <c r="C22033" s="1"/>
    </row>
    <row r="22034">
      <c r="C22034" s="1"/>
    </row>
    <row r="22035">
      <c r="C22035" s="6"/>
    </row>
    <row r="22036">
      <c r="C22036" s="1"/>
    </row>
    <row r="22037">
      <c r="C22037" s="1"/>
    </row>
    <row r="22038">
      <c r="C22038" s="1"/>
    </row>
    <row r="22039">
      <c r="C22039" s="1"/>
    </row>
    <row r="22040">
      <c r="C22040" s="1"/>
    </row>
    <row r="22041">
      <c r="C22041" s="1"/>
    </row>
    <row r="22042">
      <c r="C22042" s="1"/>
    </row>
    <row r="22043">
      <c r="C22043" s="1"/>
    </row>
    <row r="22044">
      <c r="C22044" s="1"/>
    </row>
    <row r="22045">
      <c r="C22045" s="1"/>
    </row>
    <row r="22046">
      <c r="C22046" s="1"/>
    </row>
    <row r="22047">
      <c r="C22047" s="1"/>
    </row>
    <row r="22048">
      <c r="C22048" s="1"/>
    </row>
    <row r="22049">
      <c r="C22049" s="1"/>
    </row>
    <row r="22050">
      <c r="C22050" s="1"/>
    </row>
    <row r="22051">
      <c r="C22051" s="1"/>
    </row>
    <row r="22052">
      <c r="C22052" s="1"/>
    </row>
    <row r="22053">
      <c r="C22053" s="1"/>
    </row>
    <row r="22054">
      <c r="C22054" s="1"/>
    </row>
    <row r="22055">
      <c r="C22055" s="1"/>
    </row>
    <row r="22056">
      <c r="C22056" s="1"/>
    </row>
    <row r="22057">
      <c r="C22057" s="1"/>
    </row>
    <row r="22058">
      <c r="C22058" s="1"/>
    </row>
    <row r="22059">
      <c r="C22059" s="1"/>
    </row>
    <row r="22060">
      <c r="C22060" s="1"/>
    </row>
    <row r="22061">
      <c r="C22061" s="1"/>
    </row>
    <row r="22062">
      <c r="C22062" s="1"/>
    </row>
    <row r="22063">
      <c r="C22063" s="1"/>
    </row>
    <row r="22064">
      <c r="C22064" s="1"/>
    </row>
    <row r="22065">
      <c r="C22065" s="1"/>
    </row>
    <row r="22066">
      <c r="C22066" s="1"/>
    </row>
    <row r="22067">
      <c r="C22067" s="1"/>
    </row>
    <row r="22068">
      <c r="C22068" s="1"/>
    </row>
    <row r="22069">
      <c r="C22069" s="1"/>
    </row>
    <row r="22070">
      <c r="C22070" s="1"/>
    </row>
    <row r="22071">
      <c r="C22071" s="1"/>
    </row>
    <row r="22072">
      <c r="C22072" s="1"/>
    </row>
    <row r="22073">
      <c r="C22073" s="1"/>
    </row>
    <row r="22074">
      <c r="C22074" s="1"/>
    </row>
    <row r="22075">
      <c r="C22075" s="1"/>
    </row>
    <row r="22076">
      <c r="C22076" s="1"/>
    </row>
    <row r="22077">
      <c r="C22077" s="1"/>
    </row>
    <row r="22078">
      <c r="C22078" s="1"/>
    </row>
    <row r="22079">
      <c r="C22079" s="1"/>
    </row>
    <row r="22080">
      <c r="C22080" s="1"/>
    </row>
    <row r="22081">
      <c r="C22081" s="1"/>
    </row>
    <row r="22082">
      <c r="C22082" s="1"/>
    </row>
    <row r="22083">
      <c r="C22083" s="1"/>
    </row>
    <row r="22084">
      <c r="C22084" s="1"/>
    </row>
    <row r="22085">
      <c r="C22085" s="1"/>
    </row>
    <row r="22086">
      <c r="C22086" s="1"/>
    </row>
    <row r="22087">
      <c r="C22087" s="1"/>
    </row>
    <row r="22088">
      <c r="C22088" s="1"/>
    </row>
    <row r="22089">
      <c r="C22089" s="1"/>
    </row>
    <row r="22090">
      <c r="C22090" s="1"/>
    </row>
    <row r="22091">
      <c r="C22091" s="1"/>
    </row>
    <row r="22092">
      <c r="C22092" s="1"/>
    </row>
    <row r="22093">
      <c r="C22093" s="1"/>
    </row>
    <row r="22094">
      <c r="C22094" s="1"/>
    </row>
    <row r="22095">
      <c r="C22095" s="1"/>
    </row>
    <row r="22096">
      <c r="C22096" s="1"/>
    </row>
    <row r="22097">
      <c r="C22097" s="1"/>
    </row>
    <row r="22098">
      <c r="C22098" s="1"/>
    </row>
    <row r="22099">
      <c r="C22099" s="1"/>
    </row>
    <row r="22100">
      <c r="C22100" s="1"/>
    </row>
    <row r="22101">
      <c r="C22101" s="1"/>
    </row>
    <row r="22102">
      <c r="C22102" s="1"/>
    </row>
    <row r="22103">
      <c r="C22103" s="1"/>
    </row>
    <row r="22104">
      <c r="C22104" s="1"/>
    </row>
    <row r="22105">
      <c r="C22105" s="1"/>
    </row>
    <row r="22106">
      <c r="C22106" s="1"/>
    </row>
    <row r="22107">
      <c r="C22107" s="1"/>
    </row>
    <row r="22108">
      <c r="C22108" s="1"/>
    </row>
    <row r="22109">
      <c r="C22109" s="1"/>
    </row>
    <row r="22110">
      <c r="C22110" s="1"/>
    </row>
    <row r="22111">
      <c r="C22111" s="1"/>
    </row>
    <row r="22112">
      <c r="C22112" s="1"/>
    </row>
    <row r="22113">
      <c r="C22113" s="1"/>
    </row>
    <row r="22114">
      <c r="C22114" s="1"/>
    </row>
    <row r="22115">
      <c r="C22115" s="1"/>
    </row>
    <row r="22116">
      <c r="C22116" s="1"/>
    </row>
    <row r="22117">
      <c r="C22117" s="1"/>
    </row>
    <row r="22118">
      <c r="C22118" s="1"/>
    </row>
    <row r="22119">
      <c r="C22119" s="1"/>
    </row>
    <row r="22120">
      <c r="C22120" s="1"/>
    </row>
    <row r="22121">
      <c r="C22121" s="1"/>
    </row>
    <row r="22122">
      <c r="C22122" s="1"/>
    </row>
    <row r="22123">
      <c r="C22123" s="1"/>
    </row>
    <row r="22124">
      <c r="C22124" s="1"/>
    </row>
    <row r="22125">
      <c r="C22125" s="1"/>
    </row>
    <row r="22126">
      <c r="C22126" s="1"/>
    </row>
    <row r="22127">
      <c r="C22127" s="1"/>
    </row>
    <row r="22128">
      <c r="C22128" s="1"/>
    </row>
    <row r="22129">
      <c r="C22129" s="1"/>
    </row>
    <row r="22130">
      <c r="C22130" s="1"/>
    </row>
    <row r="22131">
      <c r="C22131" s="1"/>
    </row>
    <row r="22132">
      <c r="C22132" s="1"/>
    </row>
    <row r="22133">
      <c r="C22133" s="1"/>
    </row>
    <row r="22134">
      <c r="C22134" s="1"/>
    </row>
    <row r="22135">
      <c r="C22135" s="1"/>
    </row>
    <row r="22136">
      <c r="C22136" s="1"/>
    </row>
    <row r="22137">
      <c r="C22137" s="1"/>
    </row>
    <row r="22138">
      <c r="C22138" s="1"/>
    </row>
    <row r="22139">
      <c r="C22139" s="1"/>
    </row>
    <row r="22140">
      <c r="C22140" s="5"/>
    </row>
    <row r="22141">
      <c r="C22141" s="1"/>
    </row>
    <row r="22142">
      <c r="C22142" s="1"/>
    </row>
    <row r="22143">
      <c r="C22143" s="1"/>
    </row>
    <row r="22144">
      <c r="C22144" s="1"/>
    </row>
    <row r="22145">
      <c r="C22145" s="1"/>
    </row>
    <row r="22146">
      <c r="C22146" s="1"/>
    </row>
    <row r="22147">
      <c r="C22147" s="1"/>
    </row>
    <row r="22148">
      <c r="C22148" s="1"/>
    </row>
    <row r="22149">
      <c r="C22149" s="1"/>
    </row>
    <row r="22150">
      <c r="C22150" s="1"/>
    </row>
    <row r="22151">
      <c r="C22151" s="1"/>
    </row>
    <row r="22152">
      <c r="C22152" s="1"/>
    </row>
    <row r="22153">
      <c r="C22153" s="1"/>
    </row>
    <row r="22154">
      <c r="C22154" s="1"/>
    </row>
    <row r="22155">
      <c r="C22155" s="1"/>
    </row>
    <row r="22156">
      <c r="C22156" s="1"/>
    </row>
    <row r="22157">
      <c r="C22157" s="1"/>
    </row>
    <row r="22158">
      <c r="C22158" s="1"/>
    </row>
    <row r="22159">
      <c r="C22159" s="1"/>
    </row>
    <row r="22160">
      <c r="C22160" s="1"/>
    </row>
    <row r="22161">
      <c r="C22161" s="1"/>
    </row>
    <row r="22162">
      <c r="C22162" s="1"/>
    </row>
    <row r="22163">
      <c r="C22163" s="1"/>
    </row>
    <row r="22164">
      <c r="C22164" s="1"/>
    </row>
    <row r="22165">
      <c r="C22165" s="1"/>
    </row>
    <row r="22166">
      <c r="C22166" s="1"/>
    </row>
    <row r="22167">
      <c r="C22167" s="1"/>
    </row>
    <row r="22168">
      <c r="C22168" s="1"/>
    </row>
    <row r="22169">
      <c r="C22169" s="1"/>
    </row>
    <row r="22170">
      <c r="C22170" s="1"/>
    </row>
    <row r="22171">
      <c r="C22171" s="1"/>
    </row>
    <row r="22172">
      <c r="C22172" s="1"/>
    </row>
    <row r="22173">
      <c r="C22173" s="1"/>
    </row>
    <row r="22174">
      <c r="C22174" s="1"/>
    </row>
    <row r="22175">
      <c r="C22175" s="1"/>
    </row>
    <row r="22176">
      <c r="C22176" s="1"/>
    </row>
    <row r="22177">
      <c r="C22177" s="1"/>
    </row>
    <row r="22178">
      <c r="C22178" s="1"/>
    </row>
    <row r="22179">
      <c r="C22179" s="1"/>
    </row>
    <row r="22180">
      <c r="C22180" s="1"/>
    </row>
    <row r="22181">
      <c r="C22181" s="1"/>
    </row>
    <row r="22182">
      <c r="C22182" s="1"/>
    </row>
    <row r="22183">
      <c r="C22183" s="1"/>
    </row>
    <row r="22184">
      <c r="C22184" s="1"/>
    </row>
    <row r="22185">
      <c r="C22185" s="1"/>
    </row>
    <row r="22186">
      <c r="C22186" s="1"/>
    </row>
    <row r="22187">
      <c r="C22187" s="1"/>
    </row>
    <row r="22188">
      <c r="C22188" s="1"/>
    </row>
    <row r="22189">
      <c r="C22189" s="1"/>
    </row>
    <row r="22190">
      <c r="C22190" s="1"/>
    </row>
    <row r="22191">
      <c r="C22191" s="1"/>
    </row>
    <row r="22192">
      <c r="C22192" s="1"/>
    </row>
    <row r="22193">
      <c r="C22193" s="1"/>
    </row>
    <row r="22194">
      <c r="C22194" s="1"/>
    </row>
    <row r="22195">
      <c r="C22195" s="1"/>
    </row>
    <row r="22196">
      <c r="C22196" s="1"/>
    </row>
    <row r="22197">
      <c r="C22197" s="1"/>
    </row>
    <row r="22198">
      <c r="C22198" s="1"/>
    </row>
    <row r="22199">
      <c r="C22199" s="1"/>
    </row>
    <row r="22200">
      <c r="C22200" s="1"/>
    </row>
    <row r="22201">
      <c r="C22201" s="1"/>
    </row>
    <row r="22202">
      <c r="C22202" s="1"/>
    </row>
    <row r="22203">
      <c r="C22203" s="1"/>
    </row>
    <row r="22204">
      <c r="C22204" s="1"/>
    </row>
    <row r="22205">
      <c r="C22205" s="1"/>
    </row>
    <row r="22206">
      <c r="C22206" s="1"/>
    </row>
    <row r="22207">
      <c r="C22207" s="1"/>
    </row>
    <row r="22208">
      <c r="C22208" s="1"/>
    </row>
    <row r="22209">
      <c r="C22209" s="1"/>
    </row>
    <row r="22210">
      <c r="C22210" s="1"/>
    </row>
    <row r="22211">
      <c r="C22211" s="1"/>
    </row>
    <row r="22212">
      <c r="C22212" s="1"/>
    </row>
    <row r="22213">
      <c r="C22213" s="1"/>
    </row>
    <row r="22214">
      <c r="C22214" s="1"/>
    </row>
    <row r="22215">
      <c r="C22215" s="1"/>
    </row>
    <row r="22216">
      <c r="C22216" s="1"/>
    </row>
    <row r="22217">
      <c r="C22217" s="1"/>
    </row>
    <row r="22218">
      <c r="C22218" s="1"/>
    </row>
    <row r="22219">
      <c r="C22219" s="1"/>
    </row>
    <row r="22220">
      <c r="C22220" s="1"/>
    </row>
    <row r="22221">
      <c r="C22221" s="1"/>
    </row>
    <row r="22222">
      <c r="C22222" s="1"/>
    </row>
    <row r="22223">
      <c r="C22223" s="1"/>
    </row>
    <row r="22224">
      <c r="C22224" s="1"/>
    </row>
    <row r="22225">
      <c r="C22225" s="1"/>
    </row>
    <row r="22226">
      <c r="C22226" s="1"/>
    </row>
    <row r="22227">
      <c r="C22227" s="1"/>
    </row>
    <row r="22228">
      <c r="C22228" s="1"/>
    </row>
    <row r="22229">
      <c r="C22229" s="1"/>
    </row>
    <row r="22230">
      <c r="C22230" s="1"/>
    </row>
    <row r="22231">
      <c r="C22231" s="1"/>
    </row>
    <row r="22232">
      <c r="C22232" s="1"/>
    </row>
    <row r="22233">
      <c r="C22233" s="1"/>
    </row>
    <row r="22234">
      <c r="C22234" s="1"/>
    </row>
    <row r="22235">
      <c r="C22235" s="1"/>
    </row>
    <row r="22236">
      <c r="C22236" s="1"/>
    </row>
    <row r="22237">
      <c r="C22237" s="1"/>
    </row>
    <row r="22238">
      <c r="C22238" s="1"/>
    </row>
    <row r="22239">
      <c r="C22239" s="1"/>
    </row>
    <row r="22240">
      <c r="C22240" s="1"/>
    </row>
    <row r="22241">
      <c r="C22241" s="1"/>
    </row>
    <row r="22242">
      <c r="C22242" s="1"/>
    </row>
    <row r="22243">
      <c r="C22243" s="1"/>
    </row>
    <row r="22244">
      <c r="C22244" s="1"/>
    </row>
    <row r="22245">
      <c r="C22245" s="1"/>
    </row>
    <row r="22246">
      <c r="C22246" s="1"/>
    </row>
    <row r="22247">
      <c r="C22247" s="1"/>
    </row>
    <row r="22248">
      <c r="C22248" s="1"/>
    </row>
    <row r="22249">
      <c r="C22249" s="1"/>
    </row>
    <row r="22250">
      <c r="C22250" s="1"/>
    </row>
    <row r="22251">
      <c r="C22251" s="1"/>
    </row>
    <row r="22252">
      <c r="C22252" s="1"/>
    </row>
    <row r="22253">
      <c r="C22253" s="1"/>
    </row>
    <row r="22254">
      <c r="C22254" s="1"/>
    </row>
    <row r="22255">
      <c r="C22255" s="1"/>
    </row>
    <row r="22256">
      <c r="C22256" s="1"/>
    </row>
    <row r="22257">
      <c r="C22257" s="1"/>
    </row>
    <row r="22258">
      <c r="C22258" s="1"/>
    </row>
    <row r="22259">
      <c r="C22259" s="1"/>
    </row>
    <row r="22260">
      <c r="C22260" s="1"/>
    </row>
    <row r="22261">
      <c r="C22261" s="1"/>
    </row>
    <row r="22262">
      <c r="C22262" s="1"/>
    </row>
    <row r="22263">
      <c r="C22263" s="1"/>
    </row>
    <row r="22264">
      <c r="C22264" s="1"/>
    </row>
    <row r="22265">
      <c r="C22265" s="1"/>
    </row>
    <row r="22266">
      <c r="C22266" s="1"/>
    </row>
    <row r="22267">
      <c r="C22267" s="1"/>
    </row>
    <row r="22268">
      <c r="C22268" s="1"/>
    </row>
    <row r="22269">
      <c r="C22269" s="1"/>
    </row>
    <row r="22270">
      <c r="C22270" s="1"/>
    </row>
    <row r="22271">
      <c r="C22271" s="1"/>
    </row>
    <row r="22272">
      <c r="C22272" s="1"/>
    </row>
    <row r="22273">
      <c r="C22273" s="1"/>
    </row>
    <row r="22274">
      <c r="C22274" s="1"/>
    </row>
    <row r="22275">
      <c r="C22275" s="1"/>
    </row>
    <row r="22276">
      <c r="C22276" s="1"/>
    </row>
    <row r="22277">
      <c r="C22277" s="1"/>
    </row>
    <row r="22278">
      <c r="C22278" s="1"/>
    </row>
    <row r="22279">
      <c r="C22279" s="1"/>
    </row>
    <row r="22280">
      <c r="C22280" s="1"/>
    </row>
    <row r="22281">
      <c r="C22281" s="1"/>
    </row>
    <row r="22282">
      <c r="C22282" s="1"/>
    </row>
    <row r="22283">
      <c r="C22283" s="1"/>
    </row>
    <row r="22284">
      <c r="C22284" s="1"/>
    </row>
    <row r="22285">
      <c r="C22285" s="1"/>
    </row>
    <row r="22286">
      <c r="C22286" s="1"/>
    </row>
    <row r="22287">
      <c r="C22287" s="1"/>
    </row>
    <row r="22288">
      <c r="C22288" s="1"/>
    </row>
    <row r="22289">
      <c r="C22289" s="1"/>
    </row>
    <row r="22290">
      <c r="C22290" s="1"/>
    </row>
    <row r="22291">
      <c r="C22291" s="1"/>
    </row>
    <row r="22292">
      <c r="C22292" s="1"/>
    </row>
    <row r="22293">
      <c r="C22293" s="1"/>
    </row>
    <row r="22294">
      <c r="C22294" s="1"/>
    </row>
    <row r="22295">
      <c r="C22295" s="1"/>
    </row>
    <row r="22296">
      <c r="C22296" s="1"/>
    </row>
    <row r="22297">
      <c r="C22297" s="1"/>
    </row>
    <row r="22298">
      <c r="C22298" s="1"/>
    </row>
    <row r="22299">
      <c r="C22299" s="1"/>
    </row>
    <row r="22300">
      <c r="C22300" s="1"/>
    </row>
    <row r="22301">
      <c r="C22301" s="1"/>
    </row>
    <row r="22302">
      <c r="C22302" s="1"/>
    </row>
    <row r="22303">
      <c r="C22303" s="1"/>
    </row>
    <row r="22304">
      <c r="C22304" s="1"/>
    </row>
    <row r="22305">
      <c r="C22305" s="1"/>
    </row>
    <row r="22306">
      <c r="C22306" s="1"/>
    </row>
    <row r="22307">
      <c r="C22307" s="1"/>
    </row>
    <row r="22308">
      <c r="C22308" s="1"/>
    </row>
    <row r="22309">
      <c r="C22309" s="1"/>
    </row>
    <row r="22310">
      <c r="C22310" s="1"/>
    </row>
    <row r="22311">
      <c r="C22311" s="1"/>
    </row>
    <row r="22312">
      <c r="C22312" s="1"/>
    </row>
    <row r="22313">
      <c r="C22313" s="1"/>
    </row>
    <row r="22314">
      <c r="C22314" s="1"/>
    </row>
    <row r="22315">
      <c r="C22315" s="1"/>
    </row>
    <row r="22316">
      <c r="C22316" s="1"/>
    </row>
    <row r="22317">
      <c r="C22317" s="1"/>
    </row>
    <row r="22318">
      <c r="C22318" s="1"/>
    </row>
    <row r="22319">
      <c r="C22319" s="1"/>
    </row>
    <row r="22320">
      <c r="C22320" s="1"/>
    </row>
    <row r="22321">
      <c r="C22321" s="1"/>
    </row>
    <row r="22322">
      <c r="C22322" s="1"/>
    </row>
    <row r="22323">
      <c r="C22323" s="1"/>
    </row>
    <row r="22324">
      <c r="C22324" s="1"/>
    </row>
    <row r="22325">
      <c r="C22325" s="1"/>
    </row>
    <row r="22326">
      <c r="C22326" s="1"/>
    </row>
    <row r="22327">
      <c r="C22327" s="1"/>
    </row>
    <row r="22328">
      <c r="C22328" s="1"/>
    </row>
    <row r="22329">
      <c r="C22329" s="1"/>
    </row>
    <row r="22330">
      <c r="C22330" s="1"/>
    </row>
    <row r="22331">
      <c r="C22331" s="1"/>
    </row>
    <row r="22332">
      <c r="C22332" s="1"/>
    </row>
    <row r="22333">
      <c r="C22333" s="1"/>
    </row>
    <row r="22334">
      <c r="C22334" s="1"/>
    </row>
    <row r="22335">
      <c r="C22335" s="1"/>
    </row>
    <row r="22336">
      <c r="C22336" s="1"/>
    </row>
    <row r="22337">
      <c r="C22337" s="1"/>
    </row>
    <row r="22338">
      <c r="C22338" s="1"/>
    </row>
    <row r="22339">
      <c r="C22339" s="1"/>
    </row>
    <row r="22340">
      <c r="C22340" s="1"/>
    </row>
    <row r="22341">
      <c r="C22341" s="1"/>
    </row>
    <row r="22342">
      <c r="C22342" s="1"/>
    </row>
    <row r="22343">
      <c r="C22343" s="1"/>
    </row>
    <row r="22344">
      <c r="C22344" s="1"/>
    </row>
    <row r="22345">
      <c r="C22345" s="1"/>
    </row>
    <row r="22346">
      <c r="C22346" s="1"/>
    </row>
    <row r="22347">
      <c r="C22347" s="1"/>
    </row>
    <row r="22348">
      <c r="C22348" s="1"/>
    </row>
    <row r="22349">
      <c r="C22349" s="1"/>
    </row>
    <row r="22350">
      <c r="C22350" s="1"/>
    </row>
    <row r="22351">
      <c r="C22351" s="1"/>
    </row>
    <row r="22352">
      <c r="C22352" s="1"/>
    </row>
    <row r="22353">
      <c r="C22353" s="1"/>
    </row>
    <row r="22354">
      <c r="C22354" s="1"/>
    </row>
    <row r="22355">
      <c r="C22355" s="1"/>
    </row>
    <row r="22356">
      <c r="C22356" s="1"/>
    </row>
    <row r="22357">
      <c r="C22357" s="1"/>
    </row>
    <row r="22358">
      <c r="C22358" s="1"/>
    </row>
    <row r="22359">
      <c r="C22359" s="1"/>
    </row>
    <row r="22360">
      <c r="C22360" s="1"/>
    </row>
    <row r="22361">
      <c r="C22361" s="1"/>
    </row>
    <row r="22362">
      <c r="C22362" s="1"/>
    </row>
    <row r="22363">
      <c r="C22363" s="1"/>
    </row>
    <row r="22364">
      <c r="C22364" s="1"/>
    </row>
    <row r="22365">
      <c r="C22365" s="1"/>
    </row>
    <row r="22366">
      <c r="C22366" s="1"/>
    </row>
    <row r="22367">
      <c r="C22367" s="1"/>
    </row>
    <row r="22368">
      <c r="C22368" s="1"/>
    </row>
    <row r="22369">
      <c r="C22369" s="1"/>
    </row>
    <row r="22370">
      <c r="C22370" s="1"/>
    </row>
    <row r="22371">
      <c r="C22371" s="1"/>
    </row>
    <row r="22372">
      <c r="C22372" s="1"/>
    </row>
    <row r="22373">
      <c r="C22373" s="1"/>
    </row>
    <row r="22374">
      <c r="C22374" s="1"/>
    </row>
    <row r="22375">
      <c r="C22375" s="1"/>
    </row>
    <row r="22376">
      <c r="C22376" s="1"/>
    </row>
    <row r="22377">
      <c r="C22377" s="1"/>
    </row>
    <row r="22378">
      <c r="C22378" s="1"/>
    </row>
    <row r="22379">
      <c r="C22379" s="1"/>
    </row>
    <row r="22380">
      <c r="C22380" s="1"/>
    </row>
    <row r="22381">
      <c r="C22381" s="1"/>
    </row>
    <row r="22382">
      <c r="C22382" s="1"/>
    </row>
    <row r="22383">
      <c r="C22383" s="1"/>
    </row>
    <row r="22384">
      <c r="C22384" s="1"/>
    </row>
    <row r="22385">
      <c r="C22385" s="1"/>
    </row>
    <row r="22386">
      <c r="C22386" s="1"/>
    </row>
    <row r="22387">
      <c r="C22387" s="1"/>
    </row>
    <row r="22388">
      <c r="C22388" s="1"/>
    </row>
    <row r="22389">
      <c r="C22389" s="1"/>
    </row>
    <row r="22390">
      <c r="C22390" s="1"/>
    </row>
    <row r="22391">
      <c r="C22391" s="1"/>
    </row>
    <row r="22392">
      <c r="C22392" s="1"/>
    </row>
    <row r="22393">
      <c r="C22393" s="1"/>
    </row>
    <row r="22394">
      <c r="C22394" s="1"/>
    </row>
    <row r="22395">
      <c r="C22395" s="1"/>
    </row>
    <row r="22396">
      <c r="C22396" s="1"/>
    </row>
    <row r="22397">
      <c r="C22397" s="1"/>
    </row>
    <row r="22398">
      <c r="C22398" s="1"/>
    </row>
    <row r="22399">
      <c r="C22399" s="1"/>
    </row>
    <row r="22400">
      <c r="C22400" s="1"/>
    </row>
    <row r="22401">
      <c r="C22401" s="1"/>
    </row>
    <row r="22402">
      <c r="C22402" s="1"/>
    </row>
    <row r="22403">
      <c r="C22403" s="1"/>
    </row>
    <row r="22404">
      <c r="C22404" s="1"/>
    </row>
    <row r="22405">
      <c r="C22405" s="1"/>
    </row>
    <row r="22406">
      <c r="C22406" s="1"/>
    </row>
    <row r="22407">
      <c r="C22407" s="1"/>
    </row>
    <row r="22408">
      <c r="C22408" s="1"/>
    </row>
    <row r="22409">
      <c r="C22409" s="1"/>
    </row>
    <row r="22410">
      <c r="C22410" s="1"/>
    </row>
    <row r="22411">
      <c r="C22411" s="1"/>
    </row>
    <row r="22412">
      <c r="C22412" s="1"/>
    </row>
    <row r="22413">
      <c r="C22413" s="1"/>
    </row>
    <row r="22414">
      <c r="C22414" s="1"/>
    </row>
    <row r="22415">
      <c r="C22415" s="1"/>
    </row>
    <row r="22416">
      <c r="C22416" s="1"/>
    </row>
    <row r="22417">
      <c r="C22417" s="1"/>
    </row>
    <row r="22418">
      <c r="C22418" s="1"/>
    </row>
    <row r="22419">
      <c r="C22419" s="1"/>
    </row>
    <row r="22420">
      <c r="C22420" s="1"/>
    </row>
    <row r="22421">
      <c r="C22421" s="1"/>
    </row>
    <row r="22422">
      <c r="C22422" s="1"/>
    </row>
    <row r="22423">
      <c r="C22423" s="1"/>
    </row>
    <row r="22424">
      <c r="C22424" s="1"/>
    </row>
    <row r="22425">
      <c r="C22425" s="1"/>
    </row>
    <row r="22426">
      <c r="C22426" s="1"/>
    </row>
    <row r="22427">
      <c r="C22427" s="1"/>
    </row>
    <row r="22428">
      <c r="C22428" s="1"/>
    </row>
    <row r="22429">
      <c r="C22429" s="1"/>
    </row>
    <row r="22430">
      <c r="C22430" s="1"/>
    </row>
    <row r="22431">
      <c r="C22431" s="1"/>
    </row>
    <row r="22432">
      <c r="C22432" s="1"/>
    </row>
    <row r="22433">
      <c r="C22433" s="1"/>
    </row>
    <row r="22434">
      <c r="C22434" s="1"/>
    </row>
    <row r="22435">
      <c r="C22435" s="1"/>
    </row>
    <row r="22436">
      <c r="C22436" s="1"/>
    </row>
    <row r="22437">
      <c r="C22437" s="1"/>
    </row>
    <row r="22438">
      <c r="C22438" s="1"/>
    </row>
    <row r="22439">
      <c r="C22439" s="1"/>
    </row>
    <row r="22440">
      <c r="C22440" s="1"/>
    </row>
    <row r="22441">
      <c r="C22441" s="1"/>
    </row>
    <row r="22442">
      <c r="C22442" s="1"/>
    </row>
    <row r="22443">
      <c r="C22443" s="1"/>
    </row>
    <row r="22444">
      <c r="C22444" s="1"/>
    </row>
    <row r="22445">
      <c r="C22445" s="1"/>
    </row>
    <row r="22446">
      <c r="C22446" s="1"/>
    </row>
    <row r="22447">
      <c r="C22447" s="1"/>
    </row>
    <row r="22448">
      <c r="C22448" s="1"/>
    </row>
    <row r="22449">
      <c r="C22449" s="1"/>
    </row>
    <row r="22450">
      <c r="C22450" s="1"/>
    </row>
    <row r="22451">
      <c r="C22451" s="1"/>
    </row>
    <row r="22452">
      <c r="C22452" s="1"/>
    </row>
    <row r="22453">
      <c r="C22453" s="1"/>
    </row>
    <row r="22454">
      <c r="C22454" s="1"/>
    </row>
    <row r="22455">
      <c r="C22455" s="1"/>
    </row>
    <row r="22456">
      <c r="C22456" s="1"/>
    </row>
    <row r="22457">
      <c r="C22457" s="1"/>
    </row>
    <row r="22458">
      <c r="C22458" s="1"/>
    </row>
    <row r="22459">
      <c r="C22459" s="1"/>
    </row>
    <row r="22460">
      <c r="C22460" s="1"/>
    </row>
    <row r="22461">
      <c r="C22461" s="1"/>
    </row>
    <row r="22462">
      <c r="C22462" s="1"/>
    </row>
    <row r="22463">
      <c r="C22463" s="1"/>
    </row>
    <row r="22464">
      <c r="C22464" s="1"/>
    </row>
    <row r="22465">
      <c r="C22465" s="1"/>
    </row>
    <row r="22466">
      <c r="C22466" s="1"/>
    </row>
    <row r="22467">
      <c r="C22467" s="1"/>
    </row>
    <row r="22468">
      <c r="C22468" s="1"/>
    </row>
    <row r="22469">
      <c r="C22469" s="1"/>
    </row>
    <row r="22470">
      <c r="C22470" s="1"/>
    </row>
    <row r="22471">
      <c r="C22471" s="1"/>
    </row>
    <row r="22472">
      <c r="C22472" s="1"/>
    </row>
    <row r="22473">
      <c r="C22473" s="1"/>
    </row>
    <row r="22474">
      <c r="C22474" s="1"/>
    </row>
    <row r="22475">
      <c r="C22475" s="1"/>
    </row>
    <row r="22476">
      <c r="C22476" s="1"/>
    </row>
    <row r="22477">
      <c r="C22477" s="1"/>
    </row>
    <row r="22478">
      <c r="C22478" s="1"/>
    </row>
    <row r="22479">
      <c r="C22479" s="1"/>
    </row>
    <row r="22480">
      <c r="C22480" s="1"/>
    </row>
    <row r="22481">
      <c r="C22481" s="1"/>
    </row>
    <row r="22482">
      <c r="C22482" s="1"/>
    </row>
    <row r="22483">
      <c r="C22483" s="1"/>
    </row>
    <row r="22484">
      <c r="C22484" s="1"/>
    </row>
    <row r="22485">
      <c r="C22485" s="1"/>
    </row>
    <row r="22486">
      <c r="C22486" s="1"/>
    </row>
    <row r="22487">
      <c r="C22487" s="1"/>
    </row>
    <row r="22488">
      <c r="C22488" s="1"/>
    </row>
    <row r="22489">
      <c r="C22489" s="1"/>
    </row>
    <row r="22490">
      <c r="C22490" s="1"/>
    </row>
    <row r="22491">
      <c r="C22491" s="1"/>
    </row>
    <row r="22492">
      <c r="C22492" s="1"/>
    </row>
    <row r="22493">
      <c r="C22493" s="1"/>
    </row>
    <row r="22494">
      <c r="C22494" s="1"/>
    </row>
    <row r="22495">
      <c r="C22495" s="1"/>
    </row>
    <row r="22496">
      <c r="C22496" s="1"/>
    </row>
    <row r="22497">
      <c r="C22497" s="1"/>
    </row>
    <row r="22498">
      <c r="C22498" s="1"/>
    </row>
    <row r="22499">
      <c r="C22499" s="1"/>
    </row>
    <row r="22500">
      <c r="C22500" s="1"/>
    </row>
    <row r="22501">
      <c r="C22501" s="1"/>
    </row>
    <row r="22502">
      <c r="C22502" s="1"/>
    </row>
    <row r="22503">
      <c r="C22503" s="1"/>
    </row>
    <row r="22504">
      <c r="C22504" s="1"/>
    </row>
    <row r="22505">
      <c r="C22505" s="1"/>
    </row>
    <row r="22506">
      <c r="C22506" s="1"/>
    </row>
    <row r="22507">
      <c r="C22507" s="1"/>
    </row>
    <row r="22508">
      <c r="C22508" s="1"/>
    </row>
    <row r="22509">
      <c r="C22509" s="1"/>
    </row>
    <row r="22510">
      <c r="C22510" s="1"/>
    </row>
    <row r="22511">
      <c r="C22511" s="1"/>
    </row>
    <row r="22512">
      <c r="C22512" s="1"/>
    </row>
    <row r="22513">
      <c r="C22513" s="1"/>
    </row>
    <row r="22514">
      <c r="C22514" s="1"/>
    </row>
    <row r="22515">
      <c r="C22515" s="1"/>
    </row>
    <row r="22516">
      <c r="C22516" s="1"/>
    </row>
    <row r="22517">
      <c r="C22517" s="1"/>
    </row>
    <row r="22518">
      <c r="C22518" s="1"/>
    </row>
    <row r="22519">
      <c r="C22519" s="1"/>
    </row>
    <row r="22520">
      <c r="C22520" s="1"/>
    </row>
    <row r="22521">
      <c r="C22521" s="1"/>
    </row>
    <row r="22522">
      <c r="C22522" s="1"/>
    </row>
    <row r="22523">
      <c r="C22523" s="1"/>
    </row>
    <row r="22524">
      <c r="C22524" s="1"/>
    </row>
    <row r="22525">
      <c r="C22525" s="1"/>
    </row>
    <row r="22526">
      <c r="C22526" s="1"/>
    </row>
    <row r="22527">
      <c r="C22527" s="1"/>
    </row>
    <row r="22528">
      <c r="C22528" s="1"/>
    </row>
    <row r="22529">
      <c r="C22529" s="1"/>
    </row>
    <row r="22530">
      <c r="C22530" s="1"/>
    </row>
    <row r="22531">
      <c r="C22531" s="1"/>
    </row>
    <row r="22532">
      <c r="C22532" s="1"/>
    </row>
    <row r="22533">
      <c r="C22533" s="1"/>
    </row>
    <row r="22534">
      <c r="C22534" s="1"/>
    </row>
    <row r="22535">
      <c r="C22535" s="1"/>
    </row>
    <row r="22536">
      <c r="C22536" s="1"/>
    </row>
    <row r="22537">
      <c r="C22537" s="1"/>
    </row>
    <row r="22538">
      <c r="C22538" s="1"/>
    </row>
    <row r="22539">
      <c r="C22539" s="1"/>
    </row>
    <row r="22540">
      <c r="C22540" s="1"/>
    </row>
    <row r="22541">
      <c r="C22541" s="1"/>
    </row>
    <row r="22542">
      <c r="C22542" s="1"/>
    </row>
    <row r="22543">
      <c r="C22543" s="1"/>
    </row>
    <row r="22544">
      <c r="C22544" s="1"/>
    </row>
    <row r="22545">
      <c r="C22545" s="1"/>
    </row>
    <row r="22546">
      <c r="C22546" s="1"/>
    </row>
    <row r="22547">
      <c r="C22547" s="1"/>
    </row>
    <row r="22548">
      <c r="C22548" s="1"/>
    </row>
    <row r="22549">
      <c r="C22549" s="1"/>
    </row>
    <row r="22550">
      <c r="C22550" s="1"/>
    </row>
    <row r="22551">
      <c r="C22551" s="1"/>
    </row>
    <row r="22552">
      <c r="C22552" s="1"/>
    </row>
    <row r="22553">
      <c r="C22553" s="1"/>
    </row>
    <row r="22554">
      <c r="C22554" s="1"/>
    </row>
    <row r="22555">
      <c r="C22555" s="1"/>
    </row>
    <row r="22556">
      <c r="C22556" s="1"/>
    </row>
    <row r="22557">
      <c r="C22557" s="1"/>
    </row>
    <row r="22558">
      <c r="C22558" s="1"/>
    </row>
    <row r="22559">
      <c r="C22559" s="1"/>
    </row>
    <row r="22560">
      <c r="C22560" s="1"/>
    </row>
    <row r="22561">
      <c r="C22561" s="1"/>
    </row>
    <row r="22562">
      <c r="C22562" s="1"/>
    </row>
    <row r="22563">
      <c r="C22563" s="1"/>
    </row>
    <row r="22564">
      <c r="C22564" s="1"/>
    </row>
    <row r="22565">
      <c r="C22565" s="1"/>
    </row>
    <row r="22566">
      <c r="C22566" s="1"/>
    </row>
    <row r="22567">
      <c r="C22567" s="1"/>
    </row>
    <row r="22568">
      <c r="C22568" s="1"/>
    </row>
    <row r="22569">
      <c r="C22569" s="1"/>
    </row>
    <row r="22570">
      <c r="C22570" s="1"/>
    </row>
    <row r="22571">
      <c r="C22571" s="1"/>
    </row>
    <row r="22572">
      <c r="C22572" s="1"/>
    </row>
    <row r="22573">
      <c r="C22573" s="1"/>
    </row>
    <row r="22574">
      <c r="C22574" s="1"/>
    </row>
    <row r="22575">
      <c r="C22575" s="1"/>
    </row>
    <row r="22576">
      <c r="C22576" s="1"/>
    </row>
    <row r="22577">
      <c r="C22577" s="1"/>
    </row>
    <row r="22578">
      <c r="C22578" s="1"/>
    </row>
    <row r="22579">
      <c r="C22579" s="1"/>
    </row>
    <row r="22580">
      <c r="C22580" s="1"/>
    </row>
    <row r="22581">
      <c r="C22581" s="1"/>
    </row>
    <row r="22582">
      <c r="C22582" s="1"/>
    </row>
    <row r="22583">
      <c r="C22583" s="1"/>
    </row>
    <row r="22584">
      <c r="C22584" s="1"/>
    </row>
    <row r="22585">
      <c r="C22585" s="1"/>
    </row>
    <row r="22586">
      <c r="C22586" s="1"/>
    </row>
    <row r="22587">
      <c r="C22587" s="1"/>
    </row>
    <row r="22588">
      <c r="C22588" s="1"/>
    </row>
    <row r="22589">
      <c r="C22589" s="1"/>
    </row>
    <row r="22590">
      <c r="C22590" s="1"/>
    </row>
    <row r="22591">
      <c r="C22591" s="1"/>
    </row>
    <row r="22592">
      <c r="C22592" s="1"/>
    </row>
    <row r="22593">
      <c r="C22593" s="1"/>
    </row>
    <row r="22594">
      <c r="C22594" s="1"/>
    </row>
    <row r="22595">
      <c r="C22595" s="1"/>
    </row>
    <row r="22596">
      <c r="C22596" s="1"/>
    </row>
    <row r="22597">
      <c r="C22597" s="1"/>
    </row>
    <row r="22598">
      <c r="C22598" s="1"/>
    </row>
    <row r="22599">
      <c r="C22599" s="1"/>
    </row>
    <row r="22600">
      <c r="C22600" s="1"/>
    </row>
    <row r="22601">
      <c r="C22601" s="1"/>
    </row>
    <row r="22602">
      <c r="C22602" s="1"/>
    </row>
    <row r="22603">
      <c r="C22603" s="1"/>
    </row>
    <row r="22604">
      <c r="C22604" s="1"/>
    </row>
    <row r="22605">
      <c r="C22605" s="1"/>
    </row>
    <row r="22606">
      <c r="C22606" s="1"/>
    </row>
    <row r="22607">
      <c r="C22607" s="1"/>
    </row>
    <row r="22608">
      <c r="C22608" s="1"/>
    </row>
    <row r="22609">
      <c r="C22609" s="1"/>
    </row>
    <row r="22610">
      <c r="C22610" s="1"/>
    </row>
    <row r="22611">
      <c r="C22611" s="1"/>
    </row>
    <row r="22612">
      <c r="C22612" s="1"/>
    </row>
    <row r="22613">
      <c r="C22613" s="1"/>
    </row>
    <row r="22614">
      <c r="C22614" s="1"/>
    </row>
    <row r="22615">
      <c r="C22615" s="1"/>
    </row>
    <row r="22616">
      <c r="C22616" s="1"/>
    </row>
    <row r="22617">
      <c r="C22617" s="1"/>
    </row>
    <row r="22618">
      <c r="C22618" s="1"/>
    </row>
    <row r="22619">
      <c r="C22619" s="1"/>
    </row>
    <row r="22620">
      <c r="C22620" s="1"/>
    </row>
    <row r="22621">
      <c r="C22621" s="1"/>
    </row>
    <row r="22622">
      <c r="C22622" s="1"/>
    </row>
    <row r="22623">
      <c r="C22623" s="1"/>
    </row>
    <row r="22624">
      <c r="C22624" s="1"/>
    </row>
    <row r="22625">
      <c r="C22625" s="1"/>
    </row>
    <row r="22626">
      <c r="C22626" s="1"/>
    </row>
    <row r="22627">
      <c r="C22627" s="1"/>
    </row>
    <row r="22628">
      <c r="C22628" s="1"/>
    </row>
    <row r="22629">
      <c r="C22629" s="1"/>
    </row>
    <row r="22630">
      <c r="C22630" s="1"/>
    </row>
    <row r="22631">
      <c r="C22631" s="1"/>
    </row>
    <row r="22632">
      <c r="C22632" s="1"/>
    </row>
    <row r="22633">
      <c r="C22633" s="1"/>
    </row>
    <row r="22634">
      <c r="C22634" s="1"/>
    </row>
    <row r="22635">
      <c r="C22635" s="1"/>
    </row>
    <row r="22636">
      <c r="C22636" s="1"/>
    </row>
    <row r="22637">
      <c r="C22637" s="1"/>
    </row>
    <row r="22638">
      <c r="C22638" s="1"/>
    </row>
    <row r="22639">
      <c r="C22639" s="1"/>
    </row>
    <row r="22640">
      <c r="C22640" s="1"/>
    </row>
    <row r="22641">
      <c r="C22641" s="1"/>
    </row>
    <row r="22642">
      <c r="C22642" s="1"/>
    </row>
    <row r="22643">
      <c r="C22643" s="1"/>
    </row>
    <row r="22644">
      <c r="C22644" s="1"/>
    </row>
    <row r="22645">
      <c r="C22645" s="1"/>
    </row>
    <row r="22646">
      <c r="C22646" s="1"/>
    </row>
    <row r="22647">
      <c r="C22647" s="1"/>
    </row>
    <row r="22648">
      <c r="C22648" s="1"/>
    </row>
    <row r="22649">
      <c r="C22649" s="1"/>
    </row>
    <row r="22650">
      <c r="C22650" s="1"/>
    </row>
    <row r="22651">
      <c r="C22651" s="1"/>
    </row>
    <row r="22652">
      <c r="C22652" s="1"/>
    </row>
    <row r="22653">
      <c r="C22653" s="1"/>
    </row>
    <row r="22654">
      <c r="C22654" s="1"/>
    </row>
    <row r="22655">
      <c r="C22655" s="1"/>
    </row>
    <row r="22656">
      <c r="C22656" s="1"/>
    </row>
    <row r="22657">
      <c r="C22657" s="1"/>
    </row>
    <row r="22658">
      <c r="C22658" s="1"/>
    </row>
    <row r="22659">
      <c r="C22659" s="1"/>
    </row>
    <row r="22660">
      <c r="C22660" s="1"/>
    </row>
    <row r="22661">
      <c r="C22661" s="1"/>
    </row>
    <row r="22662">
      <c r="C22662" s="1"/>
    </row>
    <row r="22663">
      <c r="C22663" s="1"/>
    </row>
    <row r="22664">
      <c r="C22664" s="1"/>
    </row>
    <row r="22665">
      <c r="C22665" s="1"/>
    </row>
    <row r="22666">
      <c r="C22666" s="1"/>
    </row>
    <row r="22667">
      <c r="C22667" s="1"/>
    </row>
    <row r="22668">
      <c r="C22668" s="1"/>
    </row>
    <row r="22669">
      <c r="C22669" s="1"/>
    </row>
    <row r="22670">
      <c r="C22670" s="1"/>
    </row>
    <row r="22671">
      <c r="C22671" s="1"/>
    </row>
    <row r="22672">
      <c r="C22672" s="1"/>
    </row>
    <row r="22673">
      <c r="C22673" s="1"/>
    </row>
    <row r="22674">
      <c r="C22674" s="1"/>
    </row>
    <row r="22675">
      <c r="C22675" s="1"/>
    </row>
    <row r="22676">
      <c r="C22676" s="1"/>
    </row>
    <row r="22677">
      <c r="C22677" s="1"/>
    </row>
    <row r="22678">
      <c r="C22678" s="1"/>
    </row>
    <row r="22679">
      <c r="C22679" s="1"/>
    </row>
    <row r="22680">
      <c r="C22680" s="1"/>
    </row>
    <row r="22681">
      <c r="C22681" s="1"/>
    </row>
    <row r="22682">
      <c r="C22682" s="1"/>
    </row>
    <row r="22683">
      <c r="C22683" s="1"/>
    </row>
    <row r="22684">
      <c r="C22684" s="1"/>
    </row>
    <row r="22685">
      <c r="C22685" s="1"/>
    </row>
    <row r="22686">
      <c r="C22686" s="1"/>
    </row>
    <row r="22687">
      <c r="C22687" s="1"/>
    </row>
    <row r="22688">
      <c r="C22688" s="1"/>
    </row>
    <row r="22689">
      <c r="C22689" s="1"/>
    </row>
    <row r="22690">
      <c r="C22690" s="1"/>
    </row>
    <row r="22691">
      <c r="C22691" s="1"/>
    </row>
    <row r="22692">
      <c r="C22692" s="1"/>
    </row>
    <row r="22693">
      <c r="C22693" s="1"/>
    </row>
    <row r="22694">
      <c r="C22694" s="1"/>
    </row>
    <row r="22695">
      <c r="C22695" s="1"/>
    </row>
    <row r="22696">
      <c r="C22696" s="1"/>
    </row>
    <row r="22697">
      <c r="C22697" s="1"/>
    </row>
    <row r="22698">
      <c r="C22698" s="1"/>
    </row>
    <row r="22699">
      <c r="C22699" s="1"/>
    </row>
    <row r="22700">
      <c r="C22700" s="1"/>
    </row>
    <row r="22701">
      <c r="C22701" s="1"/>
    </row>
    <row r="22702">
      <c r="C22702" s="1"/>
    </row>
    <row r="22703">
      <c r="C22703" s="1"/>
    </row>
    <row r="22704">
      <c r="C22704" s="1"/>
    </row>
    <row r="22705">
      <c r="C22705" s="1"/>
    </row>
    <row r="22706">
      <c r="C22706" s="1"/>
    </row>
    <row r="22707">
      <c r="C22707" s="1"/>
    </row>
    <row r="22708">
      <c r="C22708" s="1"/>
    </row>
    <row r="22709">
      <c r="C22709" s="1"/>
    </row>
    <row r="22710">
      <c r="C22710" s="1"/>
    </row>
    <row r="22711">
      <c r="C22711" s="1"/>
    </row>
    <row r="22712">
      <c r="C22712" s="1"/>
    </row>
    <row r="22713">
      <c r="C22713" s="1"/>
    </row>
    <row r="22714">
      <c r="C22714" s="1"/>
    </row>
    <row r="22715">
      <c r="C22715" s="1"/>
    </row>
    <row r="22716">
      <c r="C22716" s="1"/>
    </row>
    <row r="22717">
      <c r="C22717" s="1"/>
    </row>
    <row r="22718">
      <c r="C22718" s="1"/>
    </row>
    <row r="22719">
      <c r="C22719" s="1"/>
    </row>
    <row r="22720">
      <c r="C22720" s="1"/>
    </row>
    <row r="22721">
      <c r="C22721" s="1"/>
    </row>
    <row r="22722">
      <c r="C22722" s="1"/>
    </row>
    <row r="22723">
      <c r="C22723" s="1"/>
    </row>
    <row r="22724">
      <c r="C22724" s="1"/>
    </row>
    <row r="22725">
      <c r="C22725" s="1"/>
    </row>
    <row r="22726">
      <c r="C22726" s="1"/>
    </row>
    <row r="22727">
      <c r="C22727" s="1"/>
    </row>
    <row r="22728">
      <c r="C22728" s="1"/>
    </row>
    <row r="22729">
      <c r="C22729" s="1"/>
    </row>
    <row r="22730">
      <c r="C22730" s="1"/>
    </row>
    <row r="22731">
      <c r="C22731" s="1"/>
    </row>
    <row r="22732">
      <c r="C22732" s="1"/>
    </row>
    <row r="22733">
      <c r="C22733" s="1"/>
    </row>
    <row r="22734">
      <c r="C22734" s="1"/>
    </row>
    <row r="22735">
      <c r="C22735" s="1"/>
    </row>
    <row r="22736">
      <c r="C22736" s="1"/>
    </row>
    <row r="22737">
      <c r="C22737" s="1"/>
    </row>
    <row r="22738">
      <c r="C22738" s="1"/>
    </row>
    <row r="22739">
      <c r="C22739" s="1"/>
    </row>
    <row r="22740">
      <c r="C22740" s="1"/>
    </row>
    <row r="22741">
      <c r="C22741" s="1"/>
    </row>
    <row r="22742">
      <c r="C22742" s="1"/>
    </row>
    <row r="22743">
      <c r="C22743" s="1"/>
    </row>
    <row r="22744">
      <c r="C22744" s="1"/>
    </row>
    <row r="22745">
      <c r="C22745" s="1"/>
    </row>
    <row r="22746">
      <c r="C22746" s="1"/>
    </row>
    <row r="22747">
      <c r="C22747" s="1"/>
    </row>
    <row r="22748">
      <c r="C22748" s="1"/>
    </row>
    <row r="22749">
      <c r="C22749" s="1"/>
    </row>
    <row r="22750">
      <c r="C22750" s="1"/>
    </row>
    <row r="22751">
      <c r="C22751" s="1"/>
    </row>
    <row r="22752">
      <c r="C22752" s="1"/>
    </row>
    <row r="22753">
      <c r="C22753" s="1"/>
    </row>
    <row r="22754">
      <c r="C22754" s="1"/>
    </row>
    <row r="22755">
      <c r="C22755" s="1"/>
    </row>
    <row r="22756">
      <c r="C22756" s="1"/>
    </row>
    <row r="22757">
      <c r="C22757" s="1"/>
    </row>
    <row r="22758">
      <c r="C22758" s="1"/>
    </row>
    <row r="22759">
      <c r="C22759" s="1"/>
    </row>
    <row r="22760">
      <c r="C22760" s="1"/>
    </row>
    <row r="22761">
      <c r="C22761" s="1"/>
    </row>
    <row r="22762">
      <c r="C22762" s="1"/>
    </row>
    <row r="22763">
      <c r="C22763" s="1"/>
    </row>
    <row r="22764">
      <c r="C22764" s="1"/>
    </row>
    <row r="22765">
      <c r="C22765" s="1"/>
    </row>
    <row r="22766">
      <c r="C22766" s="1"/>
    </row>
    <row r="22767">
      <c r="C22767" s="1"/>
    </row>
    <row r="22768">
      <c r="C22768" s="1"/>
    </row>
    <row r="22769">
      <c r="C22769" s="1"/>
    </row>
    <row r="22770">
      <c r="C22770" s="1"/>
    </row>
    <row r="22771">
      <c r="C22771" s="1"/>
    </row>
    <row r="22772">
      <c r="C22772" s="1"/>
    </row>
    <row r="22773">
      <c r="C22773" s="1"/>
    </row>
    <row r="22774">
      <c r="C22774" s="1"/>
    </row>
    <row r="22775">
      <c r="C22775" s="1"/>
    </row>
    <row r="22776">
      <c r="C22776" s="1"/>
    </row>
    <row r="22777">
      <c r="C22777" s="1"/>
    </row>
    <row r="22778">
      <c r="C22778" s="1"/>
    </row>
    <row r="22779">
      <c r="C22779" s="1"/>
    </row>
    <row r="22780">
      <c r="C22780" s="1"/>
    </row>
    <row r="22781">
      <c r="C22781" s="1"/>
    </row>
    <row r="22782">
      <c r="C22782" s="1"/>
    </row>
    <row r="22783">
      <c r="C22783" s="1"/>
    </row>
    <row r="22784">
      <c r="C22784" s="1"/>
    </row>
    <row r="22785">
      <c r="C22785" s="1"/>
    </row>
    <row r="22786">
      <c r="C22786" s="1"/>
    </row>
    <row r="22787">
      <c r="C22787" s="1"/>
    </row>
    <row r="22788">
      <c r="C22788" s="1"/>
    </row>
    <row r="22789">
      <c r="C22789" s="1"/>
    </row>
    <row r="22790">
      <c r="C22790" s="1"/>
    </row>
    <row r="22791">
      <c r="C22791" s="1"/>
    </row>
    <row r="22792">
      <c r="C22792" s="1"/>
    </row>
    <row r="22793">
      <c r="C22793" s="1"/>
    </row>
    <row r="22794">
      <c r="C22794" s="1"/>
    </row>
    <row r="22795">
      <c r="C22795" s="1"/>
    </row>
    <row r="22796">
      <c r="C22796" s="1"/>
    </row>
    <row r="22797">
      <c r="C22797" s="1"/>
    </row>
    <row r="22798">
      <c r="C22798" s="1"/>
    </row>
    <row r="22799">
      <c r="C22799" s="1"/>
    </row>
    <row r="22800">
      <c r="C22800" s="1"/>
    </row>
    <row r="22801">
      <c r="C22801" s="1"/>
    </row>
    <row r="22802">
      <c r="C22802" s="1"/>
    </row>
    <row r="22803">
      <c r="C22803" s="1"/>
    </row>
    <row r="22804">
      <c r="C22804" s="1"/>
    </row>
    <row r="22805">
      <c r="C22805" s="1"/>
    </row>
    <row r="22806">
      <c r="C22806" s="1"/>
    </row>
    <row r="22807">
      <c r="C22807" s="1"/>
    </row>
    <row r="22808">
      <c r="C22808" s="1"/>
    </row>
    <row r="22809">
      <c r="C22809" s="1"/>
    </row>
    <row r="22810">
      <c r="C22810" s="1"/>
    </row>
    <row r="22811">
      <c r="C22811" s="1"/>
    </row>
    <row r="22812">
      <c r="C22812" s="1"/>
    </row>
    <row r="22813">
      <c r="C22813" s="1"/>
    </row>
    <row r="22814">
      <c r="C22814" s="1"/>
    </row>
    <row r="22815">
      <c r="C22815" s="1"/>
    </row>
    <row r="22816">
      <c r="C22816" s="1"/>
    </row>
    <row r="22817">
      <c r="C22817" s="1"/>
    </row>
    <row r="22818">
      <c r="C22818" s="1"/>
    </row>
    <row r="22819">
      <c r="C22819" s="1"/>
    </row>
    <row r="22820">
      <c r="C22820" s="1"/>
    </row>
    <row r="22821">
      <c r="C22821" s="1"/>
    </row>
    <row r="22822">
      <c r="C22822" s="1"/>
    </row>
    <row r="22823">
      <c r="C22823" s="1"/>
    </row>
    <row r="22824">
      <c r="C22824" s="1"/>
    </row>
    <row r="22825">
      <c r="C22825" s="1"/>
    </row>
    <row r="22826">
      <c r="C22826" s="1"/>
    </row>
    <row r="22827">
      <c r="C22827" s="1"/>
    </row>
    <row r="22828">
      <c r="C22828" s="1"/>
    </row>
    <row r="22829">
      <c r="C22829" s="1"/>
    </row>
    <row r="22830">
      <c r="C22830" s="1"/>
    </row>
    <row r="22831">
      <c r="C22831" s="1"/>
    </row>
    <row r="22832">
      <c r="C22832" s="1"/>
    </row>
    <row r="22833">
      <c r="C22833" s="1"/>
    </row>
    <row r="22834">
      <c r="C22834" s="1"/>
    </row>
    <row r="22835">
      <c r="C22835" s="1"/>
    </row>
    <row r="22836">
      <c r="C22836" s="1"/>
    </row>
    <row r="22837">
      <c r="C22837" s="1"/>
    </row>
    <row r="22838">
      <c r="C22838" s="1"/>
    </row>
    <row r="22839">
      <c r="C22839" s="1"/>
    </row>
    <row r="22840">
      <c r="C22840" s="1"/>
    </row>
    <row r="22841">
      <c r="C22841" s="1"/>
    </row>
    <row r="22842">
      <c r="C22842" s="1"/>
    </row>
    <row r="22843">
      <c r="C22843" s="1"/>
    </row>
    <row r="22844">
      <c r="C22844" s="1"/>
    </row>
    <row r="22845">
      <c r="C22845" s="1"/>
    </row>
    <row r="22846">
      <c r="C22846" s="1"/>
    </row>
    <row r="22847">
      <c r="C22847" s="1"/>
    </row>
    <row r="22848">
      <c r="C22848" s="1"/>
    </row>
    <row r="22849">
      <c r="C22849" s="1"/>
    </row>
    <row r="22850">
      <c r="C22850" s="1"/>
    </row>
    <row r="22851">
      <c r="C22851" s="1"/>
    </row>
    <row r="22852">
      <c r="C22852" s="1"/>
    </row>
    <row r="22853">
      <c r="C22853" s="1"/>
    </row>
    <row r="22854">
      <c r="C22854" s="1"/>
    </row>
    <row r="22855">
      <c r="C22855" s="1"/>
    </row>
    <row r="22856">
      <c r="C22856" s="1"/>
    </row>
    <row r="22857">
      <c r="C22857" s="1"/>
    </row>
    <row r="22858">
      <c r="C22858" s="1"/>
    </row>
    <row r="22859">
      <c r="C22859" s="1"/>
    </row>
    <row r="22860">
      <c r="C22860" s="1"/>
    </row>
    <row r="22861">
      <c r="C22861" s="1"/>
    </row>
    <row r="22862">
      <c r="C22862" s="1"/>
    </row>
    <row r="22863">
      <c r="C22863" s="1"/>
    </row>
    <row r="22864">
      <c r="C22864" s="1"/>
    </row>
    <row r="22865">
      <c r="C22865" s="1"/>
    </row>
    <row r="22866">
      <c r="C22866" s="1"/>
    </row>
    <row r="22867">
      <c r="C22867" s="1"/>
    </row>
    <row r="22868">
      <c r="C22868" s="1"/>
    </row>
    <row r="22869">
      <c r="C22869" s="1"/>
    </row>
    <row r="22870">
      <c r="C22870" s="1"/>
    </row>
    <row r="22871">
      <c r="C22871" s="1"/>
    </row>
    <row r="22872">
      <c r="C22872" s="1"/>
    </row>
    <row r="22873">
      <c r="C22873" s="1"/>
    </row>
    <row r="22874">
      <c r="C22874" s="1"/>
    </row>
    <row r="22875">
      <c r="C22875" s="1"/>
    </row>
    <row r="22876">
      <c r="C22876" s="1"/>
    </row>
    <row r="22877">
      <c r="C22877" s="1"/>
    </row>
    <row r="22878">
      <c r="C22878" s="1"/>
    </row>
    <row r="22879">
      <c r="C22879" s="1"/>
    </row>
    <row r="22880">
      <c r="C22880" s="1"/>
    </row>
    <row r="22881">
      <c r="C22881" s="1"/>
    </row>
    <row r="22882">
      <c r="C22882" s="1"/>
    </row>
    <row r="22883">
      <c r="C22883" s="1"/>
    </row>
    <row r="22884">
      <c r="C22884" s="1"/>
    </row>
    <row r="22885">
      <c r="C22885" s="1"/>
    </row>
    <row r="22886">
      <c r="C22886" s="1"/>
    </row>
    <row r="22887">
      <c r="C22887" s="1"/>
    </row>
    <row r="22888">
      <c r="C22888" s="1"/>
    </row>
    <row r="22889">
      <c r="C22889" s="1"/>
    </row>
    <row r="22890">
      <c r="C22890" s="1"/>
    </row>
    <row r="22891">
      <c r="C22891" s="1"/>
    </row>
    <row r="22892">
      <c r="C22892" s="1"/>
    </row>
    <row r="22893">
      <c r="C22893" s="1"/>
    </row>
    <row r="22894">
      <c r="C22894" s="1"/>
    </row>
    <row r="22895">
      <c r="C22895" s="1"/>
    </row>
    <row r="22896">
      <c r="C22896" s="1"/>
    </row>
    <row r="22897">
      <c r="C22897" s="1"/>
    </row>
    <row r="22898">
      <c r="C22898" s="1"/>
    </row>
    <row r="22899">
      <c r="C22899" s="1"/>
    </row>
    <row r="22900">
      <c r="C22900" s="1"/>
    </row>
    <row r="22901">
      <c r="C22901" s="1"/>
    </row>
    <row r="22902">
      <c r="C22902" s="1"/>
    </row>
    <row r="22903">
      <c r="C22903" s="1"/>
    </row>
    <row r="22904">
      <c r="C22904" s="1"/>
    </row>
    <row r="22905">
      <c r="C22905" s="1"/>
    </row>
    <row r="22906">
      <c r="C22906" s="1"/>
    </row>
    <row r="22907">
      <c r="C22907" s="1"/>
    </row>
    <row r="22908">
      <c r="C22908" s="1"/>
    </row>
    <row r="22909">
      <c r="C22909" s="1"/>
    </row>
    <row r="22910">
      <c r="C22910" s="1"/>
    </row>
    <row r="22911">
      <c r="C22911" s="1"/>
    </row>
    <row r="22912">
      <c r="C22912" s="1"/>
    </row>
    <row r="22913">
      <c r="C22913" s="1"/>
    </row>
    <row r="22914">
      <c r="C22914" s="1"/>
    </row>
    <row r="22915">
      <c r="C22915" s="1"/>
    </row>
    <row r="22916">
      <c r="C22916" s="1"/>
    </row>
    <row r="22917">
      <c r="C22917" s="1"/>
    </row>
    <row r="22918">
      <c r="C22918" s="1"/>
    </row>
    <row r="22919">
      <c r="C22919" s="1"/>
    </row>
    <row r="22920">
      <c r="C22920" s="1"/>
    </row>
    <row r="22921">
      <c r="C22921" s="1"/>
    </row>
    <row r="22922">
      <c r="C22922" s="1"/>
    </row>
    <row r="22923">
      <c r="C22923" s="1"/>
    </row>
    <row r="22924">
      <c r="C22924" s="1"/>
    </row>
    <row r="22925">
      <c r="C22925" s="1"/>
    </row>
    <row r="22926">
      <c r="C22926" s="1"/>
    </row>
    <row r="22927">
      <c r="C22927" s="1"/>
    </row>
    <row r="22928">
      <c r="C22928" s="1"/>
    </row>
    <row r="22929">
      <c r="C22929" s="1"/>
    </row>
    <row r="22930">
      <c r="C22930" s="1"/>
    </row>
    <row r="22931">
      <c r="C22931" s="1"/>
    </row>
    <row r="22932">
      <c r="C22932" s="1"/>
    </row>
    <row r="22933">
      <c r="C22933" s="1"/>
    </row>
    <row r="22934">
      <c r="C22934" s="1"/>
    </row>
    <row r="22935">
      <c r="C22935" s="1"/>
    </row>
    <row r="22936">
      <c r="C22936" s="1"/>
    </row>
    <row r="22937">
      <c r="C22937" s="1"/>
    </row>
    <row r="22938">
      <c r="C22938" s="1"/>
    </row>
    <row r="22939">
      <c r="C22939" s="1"/>
    </row>
    <row r="22940">
      <c r="C22940" s="1"/>
    </row>
    <row r="22941">
      <c r="C22941" s="1"/>
    </row>
    <row r="22942">
      <c r="C22942" s="1"/>
    </row>
    <row r="22943">
      <c r="C22943" s="1"/>
    </row>
    <row r="22944">
      <c r="C22944" s="1"/>
    </row>
    <row r="22945">
      <c r="C22945" s="1"/>
    </row>
    <row r="22946">
      <c r="C22946" s="1"/>
    </row>
    <row r="22947">
      <c r="C22947" s="1"/>
    </row>
    <row r="22948">
      <c r="C22948" s="1"/>
    </row>
    <row r="22949">
      <c r="C22949" s="1"/>
    </row>
    <row r="22950">
      <c r="C22950" s="1"/>
    </row>
    <row r="22951">
      <c r="C22951" s="1"/>
    </row>
    <row r="22952">
      <c r="C22952" s="1"/>
    </row>
    <row r="22953">
      <c r="C22953" s="1"/>
    </row>
    <row r="22954">
      <c r="C22954" s="1"/>
    </row>
    <row r="22955">
      <c r="C22955" s="1"/>
    </row>
    <row r="22956">
      <c r="C22956" s="1"/>
    </row>
    <row r="22957">
      <c r="C22957" s="1"/>
    </row>
    <row r="22958">
      <c r="C22958" s="1"/>
    </row>
    <row r="22959">
      <c r="C22959" s="1"/>
    </row>
    <row r="22960">
      <c r="C22960" s="1"/>
    </row>
    <row r="22961">
      <c r="C22961" s="1"/>
    </row>
    <row r="22962">
      <c r="C22962" s="1"/>
    </row>
    <row r="22963">
      <c r="C22963" s="1"/>
    </row>
    <row r="22964">
      <c r="C22964" s="1"/>
    </row>
    <row r="22965">
      <c r="C22965" s="1"/>
    </row>
    <row r="22966">
      <c r="C22966" s="1"/>
    </row>
    <row r="22967">
      <c r="C22967" s="1"/>
    </row>
    <row r="22968">
      <c r="C22968" s="1"/>
    </row>
    <row r="22969">
      <c r="C22969" s="1"/>
    </row>
    <row r="22970">
      <c r="C22970" s="1"/>
    </row>
    <row r="22971">
      <c r="C22971" s="1"/>
    </row>
    <row r="22972">
      <c r="C22972" s="1"/>
    </row>
    <row r="22973">
      <c r="C22973" s="1"/>
    </row>
    <row r="22974">
      <c r="C22974" s="1"/>
    </row>
    <row r="22975">
      <c r="C22975" s="1"/>
    </row>
    <row r="22976">
      <c r="C22976" s="1"/>
    </row>
    <row r="22977">
      <c r="C22977" s="1"/>
    </row>
    <row r="22978">
      <c r="C22978" s="1"/>
    </row>
    <row r="22979">
      <c r="C22979" s="1"/>
    </row>
    <row r="22980">
      <c r="C22980" s="1"/>
    </row>
    <row r="22981">
      <c r="C22981" s="1"/>
    </row>
    <row r="22982">
      <c r="C22982" s="1"/>
    </row>
    <row r="22983">
      <c r="C22983" s="1"/>
    </row>
    <row r="22984">
      <c r="C22984" s="1"/>
    </row>
    <row r="22985">
      <c r="C22985" s="1"/>
    </row>
    <row r="22986">
      <c r="C22986" s="1"/>
    </row>
    <row r="22987">
      <c r="C22987" s="1"/>
    </row>
    <row r="22988">
      <c r="C22988" s="1"/>
    </row>
    <row r="22989">
      <c r="C22989" s="1"/>
    </row>
    <row r="22990">
      <c r="C22990" s="1"/>
    </row>
    <row r="22991">
      <c r="C22991" s="1"/>
    </row>
    <row r="22992">
      <c r="C22992" s="1"/>
    </row>
    <row r="22993">
      <c r="C22993" s="1"/>
    </row>
    <row r="22994">
      <c r="C22994" s="1"/>
    </row>
    <row r="22995">
      <c r="C22995" s="1"/>
    </row>
    <row r="22996">
      <c r="C22996" s="1"/>
    </row>
    <row r="22997">
      <c r="C22997" s="1"/>
    </row>
    <row r="22998">
      <c r="C22998" s="1"/>
    </row>
    <row r="22999">
      <c r="C22999" s="1"/>
    </row>
    <row r="23000">
      <c r="C23000" s="1"/>
    </row>
    <row r="23001">
      <c r="C23001" s="1"/>
    </row>
    <row r="23002">
      <c r="C23002" s="1"/>
    </row>
    <row r="23003">
      <c r="C23003" s="1"/>
    </row>
    <row r="23004">
      <c r="C23004" s="1"/>
    </row>
    <row r="23005">
      <c r="C23005" s="1"/>
    </row>
    <row r="23006">
      <c r="C23006" s="1"/>
    </row>
    <row r="23007">
      <c r="C23007" s="1"/>
    </row>
    <row r="23008">
      <c r="C23008" s="1"/>
    </row>
    <row r="23009">
      <c r="C23009" s="1"/>
    </row>
    <row r="23010">
      <c r="C23010" s="1"/>
    </row>
    <row r="23011">
      <c r="C23011" s="1"/>
    </row>
    <row r="23012">
      <c r="C23012" s="1"/>
    </row>
    <row r="23013">
      <c r="C23013" s="1"/>
    </row>
    <row r="23014">
      <c r="C23014" s="1"/>
    </row>
    <row r="23015">
      <c r="C23015" s="1"/>
    </row>
    <row r="23016">
      <c r="C23016" s="1"/>
    </row>
    <row r="23017">
      <c r="C23017" s="1"/>
    </row>
    <row r="23018">
      <c r="C23018" s="1"/>
    </row>
    <row r="23019">
      <c r="C23019" s="1"/>
    </row>
    <row r="23020">
      <c r="C23020" s="1"/>
    </row>
    <row r="23021">
      <c r="C23021" s="1"/>
    </row>
    <row r="23022">
      <c r="C23022" s="1"/>
    </row>
    <row r="23023">
      <c r="C23023" s="1"/>
    </row>
    <row r="23024">
      <c r="C23024" s="1"/>
    </row>
    <row r="23025">
      <c r="C23025" s="1"/>
    </row>
    <row r="23026">
      <c r="C23026" s="1"/>
    </row>
    <row r="23027">
      <c r="C23027" s="1"/>
    </row>
    <row r="23028">
      <c r="C23028" s="1"/>
    </row>
    <row r="23029">
      <c r="C23029" s="1"/>
    </row>
    <row r="23030">
      <c r="C23030" s="1"/>
    </row>
    <row r="23031">
      <c r="C23031" s="1"/>
    </row>
    <row r="23032">
      <c r="C23032" s="1"/>
    </row>
    <row r="23033">
      <c r="C23033" s="1"/>
    </row>
    <row r="23034">
      <c r="C23034" s="1"/>
    </row>
    <row r="23035">
      <c r="C23035" s="1"/>
    </row>
    <row r="23036">
      <c r="C23036" s="1"/>
    </row>
    <row r="23037">
      <c r="C23037" s="1"/>
    </row>
    <row r="23038">
      <c r="C23038" s="1"/>
    </row>
    <row r="23039">
      <c r="C23039" s="1"/>
    </row>
    <row r="23040">
      <c r="C23040" s="1"/>
    </row>
    <row r="23041">
      <c r="C23041" s="1"/>
    </row>
    <row r="23042">
      <c r="C23042" s="1"/>
    </row>
    <row r="23043">
      <c r="C23043" s="1"/>
    </row>
    <row r="23044">
      <c r="C23044" s="1"/>
    </row>
    <row r="23045">
      <c r="C23045" s="1"/>
    </row>
    <row r="23046">
      <c r="C23046" s="1"/>
    </row>
    <row r="23047">
      <c r="C23047" s="1"/>
    </row>
    <row r="23048">
      <c r="C23048" s="1"/>
    </row>
    <row r="23049">
      <c r="C23049" s="1"/>
    </row>
    <row r="23050">
      <c r="C23050" s="1"/>
    </row>
    <row r="23051">
      <c r="C23051" s="1"/>
    </row>
    <row r="23052">
      <c r="C23052" s="1"/>
    </row>
    <row r="23053">
      <c r="C23053" s="1"/>
    </row>
    <row r="23054">
      <c r="C23054" s="1"/>
    </row>
    <row r="23055">
      <c r="C23055" s="1"/>
    </row>
    <row r="23056">
      <c r="C23056" s="1"/>
    </row>
    <row r="23057">
      <c r="C23057" s="1"/>
    </row>
    <row r="23058">
      <c r="C23058" s="1"/>
    </row>
    <row r="23059">
      <c r="C23059" s="1"/>
    </row>
    <row r="23060">
      <c r="C23060" s="1"/>
    </row>
    <row r="23061">
      <c r="C23061" s="1"/>
    </row>
    <row r="23062">
      <c r="C23062" s="1"/>
    </row>
    <row r="23063">
      <c r="C23063" s="1"/>
    </row>
    <row r="23064">
      <c r="C23064" s="1"/>
    </row>
    <row r="23065">
      <c r="C23065" s="1"/>
    </row>
    <row r="23066">
      <c r="C23066" s="1"/>
    </row>
    <row r="23067">
      <c r="C23067" s="1"/>
    </row>
    <row r="23068">
      <c r="C23068" s="1"/>
    </row>
    <row r="23069">
      <c r="C23069" s="1"/>
    </row>
    <row r="23070">
      <c r="C23070" s="1"/>
    </row>
    <row r="23071">
      <c r="C23071" s="1"/>
    </row>
    <row r="23072">
      <c r="C23072" s="1"/>
    </row>
    <row r="23073">
      <c r="C23073" s="1"/>
    </row>
    <row r="23074">
      <c r="C23074" s="1"/>
    </row>
    <row r="23075">
      <c r="C23075" s="1"/>
    </row>
    <row r="23076">
      <c r="C23076" s="1"/>
    </row>
    <row r="23077">
      <c r="C23077" s="1"/>
    </row>
    <row r="23078">
      <c r="C23078" s="1"/>
    </row>
    <row r="23079">
      <c r="C23079" s="1"/>
    </row>
    <row r="23080">
      <c r="C23080" s="1"/>
    </row>
    <row r="23081">
      <c r="C23081" s="1"/>
    </row>
    <row r="23082">
      <c r="C23082" s="1"/>
    </row>
    <row r="23083">
      <c r="C23083" s="1"/>
    </row>
    <row r="23084">
      <c r="C23084" s="1"/>
    </row>
    <row r="23085">
      <c r="C23085" s="1"/>
    </row>
    <row r="23086">
      <c r="C23086" s="1"/>
    </row>
    <row r="23087">
      <c r="C23087" s="1"/>
    </row>
    <row r="23088">
      <c r="C23088" s="1"/>
    </row>
    <row r="23089">
      <c r="C23089" s="1"/>
    </row>
    <row r="23090">
      <c r="C23090" s="1"/>
    </row>
    <row r="23091">
      <c r="C23091" s="1"/>
    </row>
    <row r="23092">
      <c r="C23092" s="1"/>
    </row>
    <row r="23093">
      <c r="C23093" s="1"/>
    </row>
    <row r="23094">
      <c r="C23094" s="1"/>
    </row>
    <row r="23095">
      <c r="C23095" s="1"/>
    </row>
    <row r="23096">
      <c r="C23096" s="1"/>
    </row>
    <row r="23097">
      <c r="C23097" s="1"/>
    </row>
    <row r="23098">
      <c r="C23098" s="1"/>
    </row>
    <row r="23099">
      <c r="C23099" s="1"/>
    </row>
    <row r="23100">
      <c r="C23100" s="1"/>
    </row>
    <row r="23101">
      <c r="C23101" s="1"/>
    </row>
    <row r="23102">
      <c r="C23102" s="1"/>
    </row>
    <row r="23103">
      <c r="C23103" s="1"/>
    </row>
    <row r="23104">
      <c r="C23104" s="1"/>
    </row>
    <row r="23105">
      <c r="C23105" s="1"/>
    </row>
    <row r="23106">
      <c r="C23106" s="1"/>
    </row>
    <row r="23107">
      <c r="C23107" s="1"/>
    </row>
    <row r="23108">
      <c r="C23108" s="1"/>
    </row>
    <row r="23109">
      <c r="C23109" s="1"/>
    </row>
    <row r="23110">
      <c r="C23110" s="1"/>
    </row>
    <row r="23111">
      <c r="C23111" s="1"/>
    </row>
    <row r="23112">
      <c r="C23112" s="1"/>
    </row>
    <row r="23113">
      <c r="C23113" s="1"/>
    </row>
    <row r="23114">
      <c r="C23114" s="1"/>
    </row>
    <row r="23115">
      <c r="C23115" s="1"/>
    </row>
    <row r="23116">
      <c r="C23116" s="1"/>
    </row>
    <row r="23117">
      <c r="C23117" s="1"/>
    </row>
    <row r="23118">
      <c r="C23118" s="1"/>
    </row>
    <row r="23119">
      <c r="C23119" s="1"/>
    </row>
    <row r="23120">
      <c r="C23120" s="1"/>
    </row>
    <row r="23121">
      <c r="C23121" s="1"/>
    </row>
    <row r="23122">
      <c r="C23122" s="1"/>
    </row>
    <row r="23123">
      <c r="C23123" s="1"/>
    </row>
    <row r="23124">
      <c r="C23124" s="1"/>
    </row>
    <row r="23125">
      <c r="C23125" s="1"/>
    </row>
    <row r="23126">
      <c r="C23126" s="1"/>
    </row>
    <row r="23127">
      <c r="C23127" s="1"/>
    </row>
    <row r="23128">
      <c r="C23128" s="1"/>
    </row>
    <row r="23129">
      <c r="C23129" s="1"/>
    </row>
    <row r="23130">
      <c r="C23130" s="1"/>
    </row>
    <row r="23131">
      <c r="C23131" s="1"/>
    </row>
    <row r="23132">
      <c r="C23132" s="1"/>
    </row>
    <row r="23133">
      <c r="C23133" s="1"/>
    </row>
    <row r="23134">
      <c r="C23134" s="1"/>
    </row>
    <row r="23135">
      <c r="C23135" s="1"/>
    </row>
    <row r="23136">
      <c r="C23136" s="1"/>
    </row>
    <row r="23137">
      <c r="C23137" s="1"/>
    </row>
    <row r="23138">
      <c r="C23138" s="1"/>
    </row>
    <row r="23139">
      <c r="C23139" s="1"/>
    </row>
    <row r="23140">
      <c r="C23140" s="1"/>
    </row>
    <row r="23141">
      <c r="C23141" s="1"/>
    </row>
    <row r="23142">
      <c r="C23142" s="1"/>
    </row>
    <row r="23143">
      <c r="C23143" s="1"/>
    </row>
    <row r="23144">
      <c r="C23144" s="1"/>
    </row>
    <row r="23145">
      <c r="C23145" s="1"/>
    </row>
    <row r="23146">
      <c r="C23146" s="1"/>
    </row>
    <row r="23147">
      <c r="C23147" s="1"/>
    </row>
    <row r="23148">
      <c r="C23148" s="1"/>
    </row>
    <row r="23149">
      <c r="C23149" s="1"/>
    </row>
    <row r="23150">
      <c r="C23150" s="1"/>
    </row>
    <row r="23151">
      <c r="C23151" s="1"/>
    </row>
    <row r="23152">
      <c r="C23152" s="1"/>
    </row>
    <row r="23153">
      <c r="C23153" s="1"/>
    </row>
    <row r="23154">
      <c r="C23154" s="1"/>
    </row>
    <row r="23155">
      <c r="C23155" s="1"/>
    </row>
    <row r="23156">
      <c r="C23156" s="1"/>
    </row>
    <row r="23157">
      <c r="C23157" s="1"/>
    </row>
    <row r="23158">
      <c r="C23158" s="1"/>
    </row>
    <row r="23159">
      <c r="C23159" s="1"/>
    </row>
    <row r="23160">
      <c r="C23160" s="1"/>
    </row>
    <row r="23161">
      <c r="C23161" s="1"/>
    </row>
    <row r="23162">
      <c r="C23162" s="1"/>
    </row>
    <row r="23163">
      <c r="C23163" s="1"/>
    </row>
    <row r="23164">
      <c r="C23164" s="1"/>
    </row>
    <row r="23165">
      <c r="C23165" s="1"/>
    </row>
    <row r="23166">
      <c r="C23166" s="1"/>
    </row>
    <row r="23167">
      <c r="C23167" s="1"/>
    </row>
    <row r="23168">
      <c r="C23168" s="1"/>
    </row>
    <row r="23169">
      <c r="C23169" s="1"/>
    </row>
    <row r="23170">
      <c r="C23170" s="1"/>
    </row>
    <row r="23171">
      <c r="C23171" s="1"/>
    </row>
    <row r="23172">
      <c r="C23172" s="1"/>
    </row>
    <row r="23173">
      <c r="C23173" s="1"/>
    </row>
    <row r="23174">
      <c r="C23174" s="1"/>
    </row>
    <row r="23175">
      <c r="C23175" s="1"/>
    </row>
    <row r="23176">
      <c r="C23176" s="1"/>
    </row>
    <row r="23177">
      <c r="C23177" s="1"/>
    </row>
    <row r="23178">
      <c r="C23178" s="1"/>
    </row>
    <row r="23179">
      <c r="C23179" s="1"/>
    </row>
    <row r="23180">
      <c r="C23180" s="1"/>
    </row>
    <row r="23181">
      <c r="C23181" s="1"/>
    </row>
    <row r="23182">
      <c r="C23182" s="1"/>
    </row>
    <row r="23183">
      <c r="C23183" s="1"/>
    </row>
    <row r="23184">
      <c r="C23184" s="1"/>
    </row>
    <row r="23185">
      <c r="C23185" s="1"/>
    </row>
    <row r="23186">
      <c r="C23186" s="1"/>
    </row>
    <row r="23187">
      <c r="C23187" s="1"/>
    </row>
    <row r="23188">
      <c r="C23188" s="1"/>
    </row>
    <row r="23189">
      <c r="C23189" s="1"/>
    </row>
    <row r="23190">
      <c r="C23190" s="1"/>
    </row>
    <row r="23191">
      <c r="C23191" s="1"/>
    </row>
    <row r="23192">
      <c r="C23192" s="1"/>
    </row>
    <row r="23193">
      <c r="C23193" s="1"/>
    </row>
    <row r="23194">
      <c r="C23194" s="1"/>
    </row>
    <row r="23195">
      <c r="C23195" s="1"/>
    </row>
    <row r="23196">
      <c r="C23196" s="1"/>
    </row>
    <row r="23197">
      <c r="C23197" s="1"/>
    </row>
    <row r="23198">
      <c r="C23198" s="1"/>
    </row>
    <row r="23199">
      <c r="C23199" s="1"/>
    </row>
    <row r="23200">
      <c r="C23200" s="1"/>
    </row>
    <row r="23201">
      <c r="C23201" s="1"/>
    </row>
    <row r="23202">
      <c r="C23202" s="1"/>
    </row>
    <row r="23203">
      <c r="C23203" s="1"/>
    </row>
    <row r="23204">
      <c r="C23204" s="1"/>
    </row>
    <row r="23205">
      <c r="C23205" s="1"/>
    </row>
    <row r="23206">
      <c r="C23206" s="1"/>
    </row>
    <row r="23207">
      <c r="C23207" s="1"/>
    </row>
    <row r="23208">
      <c r="C23208" s="1"/>
    </row>
    <row r="23209">
      <c r="C23209" s="1"/>
    </row>
    <row r="23210">
      <c r="C23210" s="1"/>
    </row>
    <row r="23211">
      <c r="C23211" s="1"/>
    </row>
    <row r="23212">
      <c r="C23212" s="1"/>
    </row>
    <row r="23213">
      <c r="C23213" s="1"/>
    </row>
    <row r="23214">
      <c r="C23214" s="1"/>
    </row>
    <row r="23215">
      <c r="C23215" s="1"/>
    </row>
    <row r="23216">
      <c r="C23216" s="1"/>
    </row>
    <row r="23217">
      <c r="C23217" s="1"/>
    </row>
    <row r="23218">
      <c r="C23218" s="1"/>
    </row>
    <row r="23219">
      <c r="C23219" s="1"/>
    </row>
    <row r="23220">
      <c r="C23220" s="1"/>
    </row>
    <row r="23221">
      <c r="C23221" s="1"/>
    </row>
    <row r="23222">
      <c r="C23222" s="1"/>
    </row>
    <row r="23223">
      <c r="C23223" s="1"/>
    </row>
    <row r="23224">
      <c r="C23224" s="1"/>
    </row>
    <row r="23225">
      <c r="C23225" s="1"/>
    </row>
    <row r="23226">
      <c r="C23226" s="1"/>
    </row>
    <row r="23227">
      <c r="C23227" s="1"/>
    </row>
    <row r="23228">
      <c r="C23228" s="1"/>
    </row>
    <row r="23229">
      <c r="C23229" s="1"/>
    </row>
    <row r="23230">
      <c r="C23230" s="1"/>
    </row>
    <row r="23231">
      <c r="C23231" s="1"/>
    </row>
    <row r="23232">
      <c r="C23232" s="1"/>
    </row>
    <row r="23233">
      <c r="C23233" s="1"/>
    </row>
    <row r="23234">
      <c r="C23234" s="1"/>
    </row>
    <row r="23235">
      <c r="C23235" s="1"/>
    </row>
    <row r="23236">
      <c r="C23236" s="1"/>
    </row>
    <row r="23237">
      <c r="C23237" s="1"/>
    </row>
    <row r="23238">
      <c r="C23238" s="1"/>
    </row>
    <row r="23239">
      <c r="C23239" s="1"/>
    </row>
    <row r="23240">
      <c r="C23240" s="1"/>
    </row>
    <row r="23241">
      <c r="C23241" s="1"/>
    </row>
    <row r="23242">
      <c r="C23242" s="1"/>
    </row>
    <row r="23243">
      <c r="C23243" s="1"/>
    </row>
    <row r="23244">
      <c r="C23244" s="1"/>
    </row>
    <row r="23245">
      <c r="C23245" s="1"/>
    </row>
    <row r="23246">
      <c r="C23246" s="1"/>
    </row>
    <row r="23247">
      <c r="C23247" s="1"/>
    </row>
    <row r="23248">
      <c r="C23248" s="1"/>
    </row>
    <row r="23249">
      <c r="C23249" s="1"/>
    </row>
    <row r="23250">
      <c r="C23250" s="1"/>
    </row>
    <row r="23251">
      <c r="C23251" s="1"/>
    </row>
    <row r="23252">
      <c r="C23252" s="1"/>
    </row>
    <row r="23253">
      <c r="C23253" s="1"/>
    </row>
    <row r="23254">
      <c r="C23254" s="1"/>
    </row>
    <row r="23255">
      <c r="C23255" s="1"/>
    </row>
    <row r="23256">
      <c r="C23256" s="1"/>
    </row>
    <row r="23257">
      <c r="C23257" s="1"/>
    </row>
    <row r="23258">
      <c r="C23258" s="1"/>
    </row>
    <row r="23259">
      <c r="C23259" s="1"/>
    </row>
    <row r="23260">
      <c r="C23260" s="1"/>
    </row>
    <row r="23261">
      <c r="C23261" s="1"/>
    </row>
    <row r="23262">
      <c r="C23262" s="1"/>
    </row>
    <row r="23263">
      <c r="C23263" s="1"/>
    </row>
    <row r="23264">
      <c r="C23264" s="1"/>
    </row>
    <row r="23265">
      <c r="C23265" s="1"/>
    </row>
    <row r="23266">
      <c r="C23266" s="1"/>
    </row>
    <row r="23267">
      <c r="C23267" s="1"/>
    </row>
    <row r="23268">
      <c r="C23268" s="1"/>
    </row>
    <row r="23269">
      <c r="C23269" s="1"/>
    </row>
    <row r="23270">
      <c r="C23270" s="1"/>
    </row>
    <row r="23271">
      <c r="C23271" s="1"/>
    </row>
    <row r="23272">
      <c r="C23272" s="1"/>
    </row>
    <row r="23273">
      <c r="C23273" s="1"/>
    </row>
    <row r="23274">
      <c r="C23274" s="1"/>
    </row>
    <row r="23275">
      <c r="C23275" s="1"/>
    </row>
    <row r="23276">
      <c r="C23276" s="1"/>
    </row>
    <row r="23277">
      <c r="C23277" s="1"/>
    </row>
    <row r="23278">
      <c r="C23278" s="1"/>
    </row>
    <row r="23279">
      <c r="C23279" s="1"/>
    </row>
    <row r="23280">
      <c r="C23280" s="1"/>
    </row>
    <row r="23281">
      <c r="C23281" s="1"/>
    </row>
    <row r="23282">
      <c r="C23282" s="1"/>
    </row>
    <row r="23283">
      <c r="C23283" s="1"/>
    </row>
    <row r="23284">
      <c r="C23284" s="1"/>
    </row>
    <row r="23285">
      <c r="C23285" s="1"/>
    </row>
    <row r="23286">
      <c r="C23286" s="1"/>
    </row>
    <row r="23287">
      <c r="C23287" s="1"/>
    </row>
    <row r="23288">
      <c r="C23288" s="1"/>
    </row>
    <row r="23289">
      <c r="C23289" s="1"/>
    </row>
    <row r="23290">
      <c r="C23290" s="1"/>
    </row>
    <row r="23291">
      <c r="C23291" s="1"/>
    </row>
    <row r="23292">
      <c r="C23292" s="1"/>
    </row>
    <row r="23293">
      <c r="C23293" s="1"/>
    </row>
    <row r="23294">
      <c r="C23294" s="1"/>
    </row>
    <row r="23295">
      <c r="C23295" s="1"/>
    </row>
    <row r="23296">
      <c r="C23296" s="1"/>
    </row>
    <row r="23297">
      <c r="C23297" s="1"/>
    </row>
    <row r="23298">
      <c r="C23298" s="1"/>
    </row>
    <row r="23299">
      <c r="C23299" s="1"/>
    </row>
    <row r="23300">
      <c r="C23300" s="1"/>
    </row>
    <row r="23301">
      <c r="C23301" s="1"/>
    </row>
    <row r="23302">
      <c r="C23302" s="1"/>
    </row>
    <row r="23303">
      <c r="C23303" s="1"/>
    </row>
    <row r="23304">
      <c r="C23304" s="5"/>
    </row>
    <row r="23305">
      <c r="C23305" s="1"/>
    </row>
    <row r="23306">
      <c r="C23306" s="1"/>
    </row>
    <row r="23307">
      <c r="C23307" s="1"/>
    </row>
    <row r="23308">
      <c r="C23308" s="1"/>
    </row>
    <row r="23309">
      <c r="C23309" s="1"/>
    </row>
    <row r="23310">
      <c r="C23310" s="1"/>
    </row>
    <row r="23311">
      <c r="C23311" s="1"/>
    </row>
    <row r="23312">
      <c r="C23312" s="1"/>
    </row>
    <row r="23313">
      <c r="C23313" s="1"/>
    </row>
    <row r="23314">
      <c r="C23314" s="1"/>
    </row>
    <row r="23315">
      <c r="C23315" s="1"/>
    </row>
    <row r="23316">
      <c r="C23316" s="1"/>
    </row>
    <row r="23317">
      <c r="C23317" s="1"/>
    </row>
    <row r="23318">
      <c r="C23318" s="1"/>
    </row>
    <row r="23319">
      <c r="C23319" s="1"/>
    </row>
    <row r="23320">
      <c r="C23320" s="1"/>
    </row>
    <row r="23321">
      <c r="C23321" s="1"/>
    </row>
    <row r="23322">
      <c r="C23322" s="1"/>
    </row>
    <row r="23323">
      <c r="C23323" s="1"/>
    </row>
    <row r="23324">
      <c r="C23324" s="1"/>
    </row>
    <row r="23325">
      <c r="C23325" s="1"/>
    </row>
    <row r="23326">
      <c r="C23326" s="1"/>
    </row>
    <row r="23327">
      <c r="C23327" s="1"/>
    </row>
    <row r="23328">
      <c r="C23328" s="1"/>
    </row>
    <row r="23329">
      <c r="C23329" s="1"/>
    </row>
    <row r="23330">
      <c r="C23330" s="1"/>
    </row>
    <row r="23331">
      <c r="C23331" s="1"/>
    </row>
    <row r="23332">
      <c r="C23332" s="1"/>
    </row>
    <row r="23333">
      <c r="C23333" s="1"/>
    </row>
    <row r="23334">
      <c r="C23334" s="1"/>
    </row>
    <row r="23335">
      <c r="C23335" s="1"/>
    </row>
    <row r="23336">
      <c r="C23336" s="1"/>
    </row>
    <row r="23337">
      <c r="C23337" s="1"/>
    </row>
    <row r="23338">
      <c r="C23338" s="1"/>
    </row>
    <row r="23339">
      <c r="C23339" s="1"/>
    </row>
    <row r="23340">
      <c r="C23340" s="1"/>
    </row>
    <row r="23341">
      <c r="C23341" s="1"/>
    </row>
    <row r="23342">
      <c r="C23342" s="1"/>
    </row>
    <row r="23343">
      <c r="C23343" s="1"/>
    </row>
    <row r="23344">
      <c r="C23344" s="1"/>
    </row>
    <row r="23345">
      <c r="C23345" s="1"/>
    </row>
    <row r="23346">
      <c r="C23346" s="1"/>
    </row>
    <row r="23347">
      <c r="C23347" s="1"/>
    </row>
    <row r="23348">
      <c r="C23348" s="1"/>
    </row>
    <row r="23349">
      <c r="C23349" s="1"/>
    </row>
    <row r="23350">
      <c r="C23350" s="1"/>
    </row>
    <row r="23351">
      <c r="C23351" s="1"/>
    </row>
    <row r="23352">
      <c r="C23352" s="1"/>
    </row>
    <row r="23353">
      <c r="C23353" s="1"/>
    </row>
    <row r="23354">
      <c r="C23354" s="1"/>
    </row>
    <row r="23355">
      <c r="C23355" s="1"/>
    </row>
    <row r="23356">
      <c r="C23356" s="1"/>
    </row>
    <row r="23357">
      <c r="C23357" s="1"/>
    </row>
    <row r="23358">
      <c r="C23358" s="1"/>
    </row>
    <row r="23359">
      <c r="C23359" s="1"/>
    </row>
    <row r="23360">
      <c r="C23360" s="1"/>
    </row>
    <row r="23361">
      <c r="C23361" s="1"/>
    </row>
    <row r="23362">
      <c r="C23362" s="1"/>
    </row>
    <row r="23363">
      <c r="C23363" s="1"/>
    </row>
    <row r="23364">
      <c r="C23364" s="1"/>
    </row>
    <row r="23365">
      <c r="C23365" s="1"/>
    </row>
    <row r="23366">
      <c r="C23366" s="1"/>
    </row>
    <row r="23367">
      <c r="C23367" s="1"/>
    </row>
    <row r="23368">
      <c r="C23368" s="1"/>
    </row>
    <row r="23369">
      <c r="C23369" s="1"/>
    </row>
    <row r="23370">
      <c r="C23370" s="1"/>
    </row>
    <row r="23371">
      <c r="C23371" s="1"/>
    </row>
    <row r="23372">
      <c r="C23372" s="1"/>
    </row>
    <row r="23373">
      <c r="C23373" s="1"/>
    </row>
    <row r="23374">
      <c r="C23374" s="1"/>
    </row>
    <row r="23375">
      <c r="C23375" s="1"/>
    </row>
    <row r="23376">
      <c r="C23376" s="1"/>
    </row>
    <row r="23377">
      <c r="C23377" s="1"/>
    </row>
    <row r="23378">
      <c r="C23378" s="1"/>
    </row>
    <row r="23379">
      <c r="C23379" s="1"/>
    </row>
    <row r="23380">
      <c r="C23380" s="1"/>
    </row>
    <row r="23381">
      <c r="C23381" s="1"/>
    </row>
    <row r="23382">
      <c r="C23382" s="1"/>
    </row>
    <row r="23383">
      <c r="C23383" s="1"/>
    </row>
    <row r="23384">
      <c r="C23384" s="1"/>
    </row>
    <row r="23385">
      <c r="C23385" s="1"/>
    </row>
    <row r="23386">
      <c r="C23386" s="1"/>
    </row>
    <row r="23387">
      <c r="C23387" s="1"/>
    </row>
    <row r="23388">
      <c r="C23388" s="1"/>
    </row>
    <row r="23389">
      <c r="C23389" s="1"/>
    </row>
    <row r="23390">
      <c r="C23390" s="1"/>
    </row>
    <row r="23391">
      <c r="C23391" s="1"/>
    </row>
    <row r="23392">
      <c r="C23392" s="1"/>
    </row>
    <row r="23393">
      <c r="C23393" s="1"/>
    </row>
    <row r="23394">
      <c r="C23394" s="1"/>
    </row>
    <row r="23395">
      <c r="C23395" s="1"/>
    </row>
    <row r="23396">
      <c r="C23396" s="1"/>
    </row>
    <row r="23397">
      <c r="C23397" s="1"/>
    </row>
    <row r="23398">
      <c r="C23398" s="1"/>
    </row>
    <row r="23399">
      <c r="C23399" s="1"/>
    </row>
    <row r="23400">
      <c r="C23400" s="1"/>
    </row>
    <row r="23401">
      <c r="C23401" s="1"/>
    </row>
    <row r="23402">
      <c r="C23402" s="1"/>
    </row>
    <row r="23403">
      <c r="C23403" s="1"/>
    </row>
    <row r="23404">
      <c r="C23404" s="1"/>
    </row>
    <row r="23405">
      <c r="C23405" s="1"/>
    </row>
    <row r="23406">
      <c r="C23406" s="1"/>
    </row>
    <row r="23407">
      <c r="C23407" s="1"/>
    </row>
    <row r="23408">
      <c r="C23408" s="1"/>
    </row>
    <row r="23409">
      <c r="C23409" s="1"/>
    </row>
    <row r="23410">
      <c r="C23410" s="1"/>
    </row>
    <row r="23411">
      <c r="C23411" s="1"/>
    </row>
    <row r="23412">
      <c r="C23412" s="1"/>
    </row>
    <row r="23413">
      <c r="C23413" s="1"/>
    </row>
    <row r="23414">
      <c r="C23414" s="1"/>
    </row>
    <row r="23415">
      <c r="C23415" s="1"/>
    </row>
    <row r="23416">
      <c r="C23416" s="1"/>
    </row>
    <row r="23417">
      <c r="C23417" s="1"/>
    </row>
    <row r="23418">
      <c r="C23418" s="1"/>
    </row>
    <row r="23419">
      <c r="C23419" s="1"/>
    </row>
    <row r="23420">
      <c r="C23420" s="1"/>
    </row>
    <row r="23421">
      <c r="C23421" s="1"/>
    </row>
    <row r="23422">
      <c r="C23422" s="1"/>
    </row>
    <row r="23423">
      <c r="C23423" s="1"/>
    </row>
    <row r="23424">
      <c r="C23424" s="1"/>
    </row>
    <row r="23425">
      <c r="C23425" s="1"/>
    </row>
    <row r="23426">
      <c r="C23426" s="1"/>
    </row>
    <row r="23427">
      <c r="C23427" s="1"/>
    </row>
    <row r="23428">
      <c r="C23428" s="1"/>
    </row>
    <row r="23429">
      <c r="C23429" s="1"/>
    </row>
    <row r="23430">
      <c r="C23430" s="1"/>
    </row>
    <row r="23431">
      <c r="C23431" s="1"/>
    </row>
    <row r="23432">
      <c r="C23432" s="1"/>
    </row>
    <row r="23433">
      <c r="C23433" s="1"/>
    </row>
    <row r="23434">
      <c r="C23434" s="1"/>
    </row>
    <row r="23435">
      <c r="C23435" s="1"/>
    </row>
    <row r="23436">
      <c r="C23436" s="1"/>
    </row>
    <row r="23437">
      <c r="C23437" s="1"/>
    </row>
    <row r="23438">
      <c r="C23438" s="1"/>
    </row>
    <row r="23439">
      <c r="C23439" s="1"/>
    </row>
    <row r="23440">
      <c r="C23440" s="1"/>
    </row>
    <row r="23441">
      <c r="C23441" s="1"/>
    </row>
    <row r="23442">
      <c r="C23442" s="1"/>
    </row>
    <row r="23443">
      <c r="C23443" s="1"/>
    </row>
    <row r="23444">
      <c r="C23444" s="1"/>
    </row>
    <row r="23445">
      <c r="C23445" s="1"/>
    </row>
    <row r="23446">
      <c r="C23446" s="1"/>
    </row>
    <row r="23447">
      <c r="C23447" s="1"/>
    </row>
    <row r="23448">
      <c r="C23448" s="1"/>
    </row>
    <row r="23449">
      <c r="C23449" s="1"/>
    </row>
    <row r="23450">
      <c r="C23450" s="1"/>
    </row>
    <row r="23451">
      <c r="C23451" s="1"/>
    </row>
    <row r="23452">
      <c r="C23452" s="1"/>
    </row>
    <row r="23453">
      <c r="C23453" s="1"/>
    </row>
    <row r="23454">
      <c r="C23454" s="1"/>
    </row>
    <row r="23455">
      <c r="C23455" s="1"/>
    </row>
    <row r="23456">
      <c r="C23456" s="1"/>
    </row>
    <row r="23457">
      <c r="C23457" s="1"/>
    </row>
    <row r="23458">
      <c r="C23458" s="1"/>
    </row>
    <row r="23459">
      <c r="C23459" s="1"/>
    </row>
    <row r="23460">
      <c r="C23460" s="1"/>
    </row>
    <row r="23461">
      <c r="C23461" s="1"/>
    </row>
    <row r="23462">
      <c r="C23462" s="1"/>
    </row>
    <row r="23463">
      <c r="C23463" s="1"/>
    </row>
    <row r="23464">
      <c r="C23464" s="1"/>
    </row>
    <row r="23465">
      <c r="C23465" s="1"/>
    </row>
    <row r="23466">
      <c r="C23466" s="1"/>
    </row>
    <row r="23467">
      <c r="C23467" s="1"/>
    </row>
    <row r="23468">
      <c r="C23468" s="1"/>
    </row>
    <row r="23469">
      <c r="C23469" s="1"/>
    </row>
    <row r="23470">
      <c r="C23470" s="1"/>
    </row>
    <row r="23471">
      <c r="C23471" s="1"/>
    </row>
    <row r="23472">
      <c r="C23472" s="1"/>
    </row>
    <row r="23473">
      <c r="C23473" s="1"/>
    </row>
    <row r="23474">
      <c r="C23474" s="1"/>
    </row>
    <row r="23475">
      <c r="C23475" s="1"/>
    </row>
    <row r="23476">
      <c r="C23476" s="1"/>
    </row>
    <row r="23477">
      <c r="C23477" s="1"/>
    </row>
    <row r="23478">
      <c r="C23478" s="1"/>
    </row>
    <row r="23479">
      <c r="C23479" s="1"/>
    </row>
    <row r="23480">
      <c r="C23480" s="1"/>
    </row>
    <row r="23481">
      <c r="C23481" s="1"/>
    </row>
    <row r="23482">
      <c r="C23482" s="1"/>
    </row>
    <row r="23483">
      <c r="C23483" s="1"/>
    </row>
    <row r="23484">
      <c r="C23484" s="1"/>
    </row>
    <row r="23485">
      <c r="C23485" s="1"/>
    </row>
    <row r="23486">
      <c r="C23486" s="1"/>
    </row>
    <row r="23487">
      <c r="C23487" s="1"/>
    </row>
    <row r="23488">
      <c r="C23488" s="1"/>
    </row>
    <row r="23489">
      <c r="C23489" s="1"/>
    </row>
    <row r="23490">
      <c r="C23490" s="1"/>
    </row>
    <row r="23491">
      <c r="C23491" s="1"/>
    </row>
    <row r="23492">
      <c r="C23492" s="1"/>
    </row>
    <row r="23493">
      <c r="C23493" s="1"/>
    </row>
    <row r="23494">
      <c r="C23494" s="1"/>
    </row>
    <row r="23495">
      <c r="C23495" s="1"/>
    </row>
    <row r="23496">
      <c r="C23496" s="1"/>
    </row>
    <row r="23497">
      <c r="C23497" s="1"/>
    </row>
    <row r="23498">
      <c r="C23498" s="1"/>
    </row>
    <row r="23499">
      <c r="C23499" s="1"/>
    </row>
    <row r="23500">
      <c r="C23500" s="1"/>
    </row>
    <row r="23501">
      <c r="C23501" s="1"/>
    </row>
    <row r="23502">
      <c r="C23502" s="1"/>
    </row>
    <row r="23503">
      <c r="C23503" s="1"/>
    </row>
    <row r="23504">
      <c r="C23504" s="1"/>
    </row>
    <row r="23505">
      <c r="C23505" s="1"/>
    </row>
    <row r="23506">
      <c r="C23506" s="1"/>
    </row>
    <row r="23507">
      <c r="C23507" s="1"/>
    </row>
    <row r="23508">
      <c r="C23508" s="1"/>
    </row>
    <row r="23509">
      <c r="C23509" s="1"/>
    </row>
    <row r="23510">
      <c r="C23510" s="1"/>
    </row>
    <row r="23511">
      <c r="C23511" s="1"/>
    </row>
    <row r="23512">
      <c r="C23512" s="1"/>
    </row>
    <row r="23513">
      <c r="C23513" s="1"/>
    </row>
    <row r="23514">
      <c r="C23514" s="1"/>
    </row>
    <row r="23515">
      <c r="C23515" s="1"/>
    </row>
    <row r="23516">
      <c r="C23516" s="1"/>
    </row>
    <row r="23517">
      <c r="C23517" s="1"/>
    </row>
    <row r="23518">
      <c r="C23518" s="1"/>
    </row>
    <row r="23519">
      <c r="C23519" s="1"/>
    </row>
    <row r="23520">
      <c r="C23520" s="1"/>
    </row>
    <row r="23521">
      <c r="C23521" s="1"/>
    </row>
    <row r="23522">
      <c r="C23522" s="1"/>
    </row>
    <row r="23523">
      <c r="C23523" s="1"/>
    </row>
    <row r="23524">
      <c r="C23524" s="1"/>
    </row>
    <row r="23525">
      <c r="C23525" s="1"/>
    </row>
    <row r="23526">
      <c r="C23526" s="1"/>
    </row>
    <row r="23527">
      <c r="C23527" s="1"/>
    </row>
    <row r="23528">
      <c r="C23528" s="1"/>
    </row>
    <row r="23529">
      <c r="C23529" s="1"/>
    </row>
    <row r="23530">
      <c r="C23530" s="1"/>
    </row>
    <row r="23531">
      <c r="C23531" s="1"/>
    </row>
    <row r="23532">
      <c r="C23532" s="1"/>
    </row>
    <row r="23533">
      <c r="C23533" s="1"/>
    </row>
    <row r="23534">
      <c r="C23534" s="1"/>
    </row>
    <row r="23535">
      <c r="C23535" s="1"/>
    </row>
    <row r="23536">
      <c r="C23536" s="1"/>
    </row>
    <row r="23537">
      <c r="C23537" s="1"/>
    </row>
    <row r="23538">
      <c r="C23538" s="1"/>
    </row>
    <row r="23539">
      <c r="C23539" s="1"/>
    </row>
    <row r="23540">
      <c r="C23540" s="1"/>
    </row>
    <row r="23541">
      <c r="C23541" s="1"/>
    </row>
    <row r="23542">
      <c r="C23542" s="1"/>
    </row>
    <row r="23543">
      <c r="C23543" s="1"/>
    </row>
    <row r="23544">
      <c r="C23544" s="1"/>
    </row>
    <row r="23545">
      <c r="C23545" s="1"/>
    </row>
    <row r="23546">
      <c r="C23546" s="1"/>
    </row>
    <row r="23547">
      <c r="C23547" s="1"/>
    </row>
    <row r="23548">
      <c r="C23548" s="1"/>
    </row>
    <row r="23549">
      <c r="C23549" s="1"/>
    </row>
    <row r="23550">
      <c r="C23550" s="1"/>
    </row>
    <row r="23551">
      <c r="C23551" s="1"/>
    </row>
    <row r="23552">
      <c r="C23552" s="1"/>
    </row>
    <row r="23553">
      <c r="C23553" s="1"/>
    </row>
    <row r="23554">
      <c r="C23554" s="1"/>
    </row>
    <row r="23555">
      <c r="C23555" s="1"/>
    </row>
    <row r="23556">
      <c r="C23556" s="1"/>
    </row>
    <row r="23557">
      <c r="C23557" s="1"/>
    </row>
    <row r="23558">
      <c r="C23558" s="1"/>
    </row>
    <row r="23559">
      <c r="C23559" s="1"/>
    </row>
    <row r="23560">
      <c r="C23560" s="1"/>
    </row>
    <row r="23561">
      <c r="C23561" s="1"/>
    </row>
    <row r="23562">
      <c r="C23562" s="1"/>
    </row>
    <row r="23563">
      <c r="C23563" s="1"/>
    </row>
    <row r="23564">
      <c r="C23564" s="1"/>
    </row>
    <row r="23565">
      <c r="C23565" s="1"/>
    </row>
    <row r="23566">
      <c r="C23566" s="1"/>
    </row>
    <row r="23567">
      <c r="C23567" s="1"/>
    </row>
    <row r="23568">
      <c r="C23568" s="1"/>
    </row>
    <row r="23569">
      <c r="C23569" s="1"/>
    </row>
    <row r="23570">
      <c r="C23570" s="1"/>
    </row>
    <row r="23571">
      <c r="C23571" s="1"/>
    </row>
    <row r="23572">
      <c r="C23572" s="1"/>
    </row>
    <row r="23573">
      <c r="C23573" s="1"/>
    </row>
    <row r="23574">
      <c r="C23574" s="1"/>
    </row>
    <row r="23575">
      <c r="C23575" s="1"/>
    </row>
    <row r="23576">
      <c r="C23576" s="1"/>
    </row>
    <row r="23577">
      <c r="C23577" s="1"/>
    </row>
    <row r="23578">
      <c r="C23578" s="1"/>
    </row>
    <row r="23579">
      <c r="C23579" s="1"/>
    </row>
    <row r="23580">
      <c r="C23580" s="1"/>
    </row>
    <row r="23581">
      <c r="C23581" s="1"/>
    </row>
    <row r="23582">
      <c r="C23582" s="1"/>
    </row>
    <row r="23583">
      <c r="C23583" s="1"/>
    </row>
    <row r="23584">
      <c r="C23584" s="1"/>
    </row>
    <row r="23585">
      <c r="C23585" s="1"/>
    </row>
    <row r="23586">
      <c r="C23586" s="1"/>
    </row>
    <row r="23587">
      <c r="C23587" s="1"/>
    </row>
    <row r="23588">
      <c r="C23588" s="1"/>
    </row>
    <row r="23589">
      <c r="C23589" s="1"/>
    </row>
    <row r="23590">
      <c r="C23590" s="1"/>
    </row>
    <row r="23591">
      <c r="C23591" s="1"/>
    </row>
    <row r="23592">
      <c r="C23592" s="1"/>
    </row>
    <row r="23593">
      <c r="C23593" s="1"/>
    </row>
    <row r="23594">
      <c r="C23594" s="1"/>
    </row>
    <row r="23595">
      <c r="C23595" s="1"/>
    </row>
    <row r="23596">
      <c r="C23596" s="1"/>
    </row>
    <row r="23597">
      <c r="C23597" s="1"/>
    </row>
    <row r="23598">
      <c r="C23598" s="1"/>
    </row>
    <row r="23599">
      <c r="C23599" s="1"/>
    </row>
    <row r="23600">
      <c r="C23600" s="1"/>
    </row>
    <row r="23601">
      <c r="C23601" s="1"/>
    </row>
    <row r="23602">
      <c r="C23602" s="1"/>
    </row>
    <row r="23603">
      <c r="C23603" s="1"/>
    </row>
    <row r="23604">
      <c r="C23604" s="1"/>
    </row>
    <row r="23605">
      <c r="C23605" s="1"/>
    </row>
    <row r="23606">
      <c r="C23606" s="1"/>
    </row>
    <row r="23607">
      <c r="C23607" s="1"/>
    </row>
    <row r="23608">
      <c r="C23608" s="1"/>
    </row>
    <row r="23609">
      <c r="C23609" s="1"/>
    </row>
    <row r="23610">
      <c r="C23610" s="1"/>
    </row>
    <row r="23611">
      <c r="C23611" s="1"/>
    </row>
    <row r="23612">
      <c r="C23612" s="1"/>
    </row>
    <row r="23613">
      <c r="C23613" s="1"/>
    </row>
    <row r="23614">
      <c r="C23614" s="1"/>
    </row>
    <row r="23615">
      <c r="C23615" s="1"/>
    </row>
    <row r="23616">
      <c r="C23616" s="1"/>
    </row>
    <row r="23617">
      <c r="C23617" s="1"/>
    </row>
    <row r="23618">
      <c r="C23618" s="1"/>
    </row>
    <row r="23619">
      <c r="C23619" s="1"/>
    </row>
    <row r="23620">
      <c r="C23620" s="1"/>
    </row>
    <row r="23621">
      <c r="C23621" s="1"/>
    </row>
    <row r="23622">
      <c r="C23622" s="1"/>
    </row>
    <row r="23623">
      <c r="C23623" s="1"/>
    </row>
    <row r="23624">
      <c r="C23624" s="1"/>
    </row>
    <row r="23625">
      <c r="C23625" s="1"/>
    </row>
    <row r="23626">
      <c r="C23626" s="1"/>
    </row>
    <row r="23627">
      <c r="C23627" s="1"/>
    </row>
    <row r="23628">
      <c r="C23628" s="1"/>
    </row>
    <row r="23629">
      <c r="C23629" s="1"/>
    </row>
    <row r="23630">
      <c r="C23630" s="1"/>
    </row>
    <row r="23631">
      <c r="C23631" s="1"/>
    </row>
    <row r="23632">
      <c r="C23632" s="1"/>
    </row>
    <row r="23633">
      <c r="C23633" s="1"/>
    </row>
    <row r="23634">
      <c r="C23634" s="1"/>
    </row>
    <row r="23635">
      <c r="C23635" s="1"/>
    </row>
    <row r="23636">
      <c r="C23636" s="1"/>
    </row>
    <row r="23637">
      <c r="C23637" s="1"/>
    </row>
    <row r="23638">
      <c r="C23638" s="1"/>
    </row>
    <row r="23639">
      <c r="C23639" s="1"/>
    </row>
    <row r="23640">
      <c r="C23640" s="1"/>
    </row>
    <row r="23641">
      <c r="C23641" s="1"/>
    </row>
    <row r="23642">
      <c r="C23642" s="1"/>
    </row>
    <row r="23643">
      <c r="C23643" s="1"/>
    </row>
    <row r="23644">
      <c r="C23644" s="1"/>
    </row>
    <row r="23645">
      <c r="C23645" s="1"/>
    </row>
    <row r="23646">
      <c r="C23646" s="1"/>
    </row>
    <row r="23647">
      <c r="C23647" s="1"/>
    </row>
    <row r="23648">
      <c r="C23648" s="1"/>
    </row>
    <row r="23649">
      <c r="C23649" s="1"/>
    </row>
    <row r="23650">
      <c r="C23650" s="1"/>
    </row>
    <row r="23651">
      <c r="C23651" s="1"/>
    </row>
    <row r="23652">
      <c r="C23652" s="1"/>
    </row>
    <row r="23653">
      <c r="C23653" s="1"/>
    </row>
    <row r="23654">
      <c r="C23654" s="1"/>
    </row>
    <row r="23655">
      <c r="C23655" s="1"/>
    </row>
    <row r="23656">
      <c r="C23656" s="1"/>
    </row>
    <row r="23657">
      <c r="C23657" s="1"/>
    </row>
    <row r="23658">
      <c r="C23658" s="1"/>
    </row>
    <row r="23659">
      <c r="C23659" s="1"/>
    </row>
    <row r="23660">
      <c r="C23660" s="1"/>
    </row>
    <row r="23661">
      <c r="C23661" s="1"/>
    </row>
    <row r="23662">
      <c r="C23662" s="1"/>
    </row>
    <row r="23663">
      <c r="C23663" s="1"/>
    </row>
    <row r="23664">
      <c r="C23664" s="1"/>
    </row>
    <row r="23665">
      <c r="C23665" s="1"/>
    </row>
    <row r="23666">
      <c r="C23666" s="1"/>
    </row>
    <row r="23667">
      <c r="C23667" s="1"/>
    </row>
    <row r="23668">
      <c r="C23668" s="1"/>
    </row>
    <row r="23669">
      <c r="C23669" s="1"/>
    </row>
    <row r="23670">
      <c r="C23670" s="1"/>
    </row>
    <row r="23671">
      <c r="C23671" s="1"/>
    </row>
    <row r="23672">
      <c r="C23672" s="1"/>
    </row>
    <row r="23673">
      <c r="C23673" s="1"/>
    </row>
    <row r="23674">
      <c r="C23674" s="1"/>
    </row>
    <row r="23675">
      <c r="C23675" s="1"/>
    </row>
    <row r="23676">
      <c r="C23676" s="1"/>
    </row>
    <row r="23677">
      <c r="C23677" s="1"/>
    </row>
    <row r="23678">
      <c r="C23678" s="1"/>
    </row>
    <row r="23679">
      <c r="C23679" s="1"/>
    </row>
    <row r="23680">
      <c r="C23680" s="1"/>
    </row>
    <row r="23681">
      <c r="C23681" s="1"/>
    </row>
    <row r="23682">
      <c r="C23682" s="1"/>
    </row>
    <row r="23683">
      <c r="C23683" s="1"/>
    </row>
    <row r="23684">
      <c r="C23684" s="1"/>
    </row>
    <row r="23685">
      <c r="C23685" s="1"/>
    </row>
    <row r="23686">
      <c r="C23686" s="1"/>
    </row>
    <row r="23687">
      <c r="C23687" s="1"/>
    </row>
    <row r="23688">
      <c r="C23688" s="1"/>
    </row>
    <row r="23689">
      <c r="C23689" s="1"/>
    </row>
    <row r="23690">
      <c r="C23690" s="1"/>
    </row>
    <row r="23691">
      <c r="C23691" s="1"/>
    </row>
    <row r="23692">
      <c r="C23692" s="1"/>
    </row>
    <row r="23693">
      <c r="C23693" s="1"/>
    </row>
    <row r="23694">
      <c r="C23694" s="1"/>
    </row>
    <row r="23695">
      <c r="C23695" s="1"/>
    </row>
    <row r="23696">
      <c r="C23696" s="1"/>
    </row>
    <row r="23697">
      <c r="C23697" s="1"/>
    </row>
    <row r="23698">
      <c r="C23698" s="1"/>
    </row>
    <row r="23699">
      <c r="C23699" s="1"/>
    </row>
    <row r="23700">
      <c r="C23700" s="1"/>
    </row>
    <row r="23701">
      <c r="C23701" s="1"/>
    </row>
    <row r="23702">
      <c r="C23702" s="1"/>
    </row>
    <row r="23703">
      <c r="C23703" s="1"/>
    </row>
    <row r="23704">
      <c r="C23704" s="1"/>
    </row>
    <row r="23705">
      <c r="C23705" s="1"/>
    </row>
    <row r="23706">
      <c r="C23706" s="1"/>
    </row>
    <row r="23707">
      <c r="C23707" s="1"/>
    </row>
    <row r="23708">
      <c r="C23708" s="1"/>
    </row>
    <row r="23709">
      <c r="C23709" s="1"/>
    </row>
    <row r="23710">
      <c r="C23710" s="1"/>
    </row>
    <row r="23711">
      <c r="C23711" s="1"/>
    </row>
    <row r="23712">
      <c r="C23712" s="1"/>
    </row>
    <row r="23713">
      <c r="C23713" s="1"/>
    </row>
    <row r="23714">
      <c r="C23714" s="1"/>
    </row>
    <row r="23715">
      <c r="C23715" s="1"/>
    </row>
    <row r="23716">
      <c r="C23716" s="1"/>
    </row>
    <row r="23717">
      <c r="C23717" s="1"/>
    </row>
    <row r="23718">
      <c r="C23718" s="1"/>
    </row>
    <row r="23719">
      <c r="C23719" s="1"/>
    </row>
    <row r="23720">
      <c r="C23720" s="1"/>
    </row>
    <row r="23721">
      <c r="C23721" s="1"/>
    </row>
    <row r="23722">
      <c r="C23722" s="1"/>
    </row>
    <row r="23723">
      <c r="C23723" s="1"/>
    </row>
    <row r="23724">
      <c r="C23724" s="1"/>
    </row>
    <row r="23725">
      <c r="C23725" s="1"/>
    </row>
    <row r="23726">
      <c r="C23726" s="1"/>
    </row>
    <row r="23727">
      <c r="C23727" s="1"/>
    </row>
    <row r="23728">
      <c r="C23728" s="1"/>
    </row>
    <row r="23729">
      <c r="C23729" s="1"/>
    </row>
    <row r="23730">
      <c r="C23730" s="1"/>
    </row>
    <row r="23731">
      <c r="C23731" s="1"/>
    </row>
    <row r="23732">
      <c r="C23732" s="1"/>
    </row>
    <row r="23733">
      <c r="C23733" s="1"/>
    </row>
    <row r="23734">
      <c r="C23734" s="1"/>
    </row>
    <row r="23735">
      <c r="C23735" s="1"/>
    </row>
    <row r="23736">
      <c r="C23736" s="1"/>
    </row>
    <row r="23737">
      <c r="C23737" s="1"/>
    </row>
    <row r="23738">
      <c r="C23738" s="1"/>
    </row>
    <row r="23739">
      <c r="C23739" s="1"/>
    </row>
    <row r="23740">
      <c r="C23740" s="1"/>
    </row>
    <row r="23741">
      <c r="C23741" s="1"/>
    </row>
    <row r="23742">
      <c r="C23742" s="1"/>
    </row>
    <row r="23743">
      <c r="C23743" s="1"/>
    </row>
    <row r="23744">
      <c r="C23744" s="1"/>
    </row>
    <row r="23745">
      <c r="C23745" s="1"/>
    </row>
    <row r="23746">
      <c r="C23746" s="1"/>
    </row>
    <row r="23747">
      <c r="C23747" s="1"/>
    </row>
    <row r="23748">
      <c r="C23748" s="1"/>
    </row>
    <row r="23749">
      <c r="C23749" s="1"/>
    </row>
    <row r="23750">
      <c r="C23750" s="1"/>
    </row>
    <row r="23751">
      <c r="C23751" s="1"/>
    </row>
    <row r="23752">
      <c r="C23752" s="1"/>
    </row>
    <row r="23753">
      <c r="C23753" s="1"/>
    </row>
    <row r="23754">
      <c r="C23754" s="1"/>
    </row>
    <row r="23755">
      <c r="C23755" s="1"/>
    </row>
    <row r="23756">
      <c r="C23756" s="1"/>
    </row>
    <row r="23757">
      <c r="C23757" s="1"/>
    </row>
    <row r="23758">
      <c r="C23758" s="1"/>
    </row>
    <row r="23759">
      <c r="C23759" s="1"/>
    </row>
    <row r="23760">
      <c r="C23760" s="1"/>
    </row>
    <row r="23761">
      <c r="C23761" s="1"/>
    </row>
    <row r="23762">
      <c r="C23762" s="1"/>
    </row>
    <row r="23763">
      <c r="C23763" s="1"/>
    </row>
    <row r="23764">
      <c r="C23764" s="1"/>
    </row>
    <row r="23765">
      <c r="C23765" s="1"/>
    </row>
    <row r="23766">
      <c r="C23766" s="1"/>
    </row>
    <row r="23767">
      <c r="C23767" s="1"/>
    </row>
    <row r="23768">
      <c r="C23768" s="1"/>
    </row>
    <row r="23769">
      <c r="C23769" s="1"/>
    </row>
    <row r="23770">
      <c r="C23770" s="1"/>
    </row>
    <row r="23771">
      <c r="C23771" s="1"/>
    </row>
    <row r="23772">
      <c r="C23772" s="1"/>
    </row>
    <row r="23773">
      <c r="C23773" s="1"/>
    </row>
    <row r="23774">
      <c r="C23774" s="1"/>
    </row>
    <row r="23775">
      <c r="C23775" s="1"/>
    </row>
    <row r="23776">
      <c r="C23776" s="1"/>
    </row>
    <row r="23777">
      <c r="C23777" s="1"/>
    </row>
    <row r="23778">
      <c r="C23778" s="1"/>
    </row>
    <row r="23779">
      <c r="C23779" s="1"/>
    </row>
    <row r="23780">
      <c r="C23780" s="1"/>
    </row>
    <row r="23781">
      <c r="C23781" s="1"/>
    </row>
    <row r="23782">
      <c r="C23782" s="1"/>
    </row>
    <row r="23783">
      <c r="C23783" s="1"/>
    </row>
    <row r="23784">
      <c r="C23784" s="1"/>
    </row>
    <row r="23785">
      <c r="C23785" s="1"/>
    </row>
    <row r="23786">
      <c r="C23786" s="1"/>
    </row>
    <row r="23787">
      <c r="C23787" s="1"/>
    </row>
    <row r="23788">
      <c r="C23788" s="1"/>
    </row>
    <row r="23789">
      <c r="C23789" s="1"/>
    </row>
    <row r="23790">
      <c r="C23790" s="1"/>
    </row>
    <row r="23791">
      <c r="C23791" s="1"/>
    </row>
    <row r="23792">
      <c r="C23792" s="1"/>
    </row>
    <row r="23793">
      <c r="C23793" s="1"/>
    </row>
    <row r="23794">
      <c r="C23794" s="1"/>
    </row>
    <row r="23795">
      <c r="C23795" s="1"/>
    </row>
    <row r="23796">
      <c r="C23796" s="1"/>
    </row>
    <row r="23797">
      <c r="C23797" s="1"/>
    </row>
    <row r="23798">
      <c r="C23798" s="1"/>
    </row>
    <row r="23799">
      <c r="C23799" s="1"/>
    </row>
    <row r="23800">
      <c r="C23800" s="1"/>
    </row>
    <row r="23801">
      <c r="C23801" s="1"/>
    </row>
    <row r="23802">
      <c r="C23802" s="1"/>
    </row>
    <row r="23803">
      <c r="C23803" s="1"/>
    </row>
    <row r="23804">
      <c r="C23804" s="1"/>
    </row>
    <row r="23805">
      <c r="C23805" s="1"/>
    </row>
    <row r="23806">
      <c r="C23806" s="1"/>
    </row>
    <row r="23807">
      <c r="C23807" s="1"/>
    </row>
    <row r="23808">
      <c r="C23808" s="1"/>
    </row>
    <row r="23809">
      <c r="C23809" s="1"/>
    </row>
    <row r="23810">
      <c r="C23810" s="1"/>
    </row>
    <row r="23811">
      <c r="C23811" s="1"/>
    </row>
    <row r="23812">
      <c r="C23812" s="1"/>
    </row>
    <row r="23813">
      <c r="C23813" s="1"/>
    </row>
    <row r="23814">
      <c r="C23814" s="1"/>
    </row>
    <row r="23815">
      <c r="C23815" s="1"/>
    </row>
    <row r="23816">
      <c r="C23816" s="1"/>
    </row>
    <row r="23817">
      <c r="C23817" s="1"/>
    </row>
    <row r="23818">
      <c r="C23818" s="1"/>
    </row>
    <row r="23819">
      <c r="C23819" s="1"/>
    </row>
    <row r="23820">
      <c r="C23820" s="1"/>
    </row>
    <row r="23821">
      <c r="C23821" s="1"/>
    </row>
    <row r="23822">
      <c r="C23822" s="1"/>
    </row>
    <row r="23823">
      <c r="C23823" s="1"/>
    </row>
    <row r="23824">
      <c r="C23824" s="1"/>
    </row>
    <row r="23825">
      <c r="C23825" s="1"/>
    </row>
    <row r="23826">
      <c r="C23826" s="1"/>
    </row>
    <row r="23827">
      <c r="C23827" s="1"/>
    </row>
    <row r="23828">
      <c r="C23828" s="1"/>
    </row>
    <row r="23829">
      <c r="C23829" s="1"/>
    </row>
    <row r="23830">
      <c r="C23830" s="1"/>
    </row>
    <row r="23831">
      <c r="C23831" s="1"/>
    </row>
    <row r="23832">
      <c r="C23832" s="1"/>
    </row>
    <row r="23833">
      <c r="C23833" s="1"/>
    </row>
    <row r="23834">
      <c r="C23834" s="1"/>
    </row>
    <row r="23835">
      <c r="C23835" s="1"/>
    </row>
    <row r="23836">
      <c r="C23836" s="1"/>
    </row>
    <row r="23837">
      <c r="C23837" s="1"/>
    </row>
    <row r="23838">
      <c r="C23838" s="1"/>
    </row>
    <row r="23839">
      <c r="C23839" s="1"/>
    </row>
    <row r="23840">
      <c r="C23840" s="1"/>
    </row>
    <row r="23841">
      <c r="C23841" s="1"/>
    </row>
    <row r="23842">
      <c r="C23842" s="1"/>
    </row>
    <row r="23843">
      <c r="C23843" s="1"/>
    </row>
    <row r="23844">
      <c r="C23844" s="1"/>
    </row>
    <row r="23845">
      <c r="C23845" s="1"/>
    </row>
    <row r="23846">
      <c r="C23846" s="1"/>
    </row>
    <row r="23847">
      <c r="C23847" s="1"/>
    </row>
    <row r="23848">
      <c r="C23848" s="1"/>
    </row>
    <row r="23849">
      <c r="C23849" s="1"/>
    </row>
    <row r="23850">
      <c r="C23850" s="1"/>
    </row>
    <row r="23851">
      <c r="C23851" s="1"/>
    </row>
    <row r="23852">
      <c r="C23852" s="1"/>
    </row>
    <row r="23853">
      <c r="C23853" s="1"/>
    </row>
    <row r="23854">
      <c r="C23854" s="1"/>
    </row>
    <row r="23855">
      <c r="C23855" s="1"/>
    </row>
    <row r="23856">
      <c r="C23856" s="1"/>
    </row>
    <row r="23857">
      <c r="C23857" s="1"/>
    </row>
    <row r="23858">
      <c r="C23858" s="1"/>
    </row>
    <row r="23859">
      <c r="C23859" s="1"/>
    </row>
    <row r="23860">
      <c r="C23860" s="1"/>
    </row>
    <row r="23861">
      <c r="C23861" s="1"/>
    </row>
    <row r="23862">
      <c r="C23862" s="1"/>
    </row>
    <row r="23863">
      <c r="C23863" s="1"/>
    </row>
    <row r="23864">
      <c r="C23864" s="1"/>
    </row>
    <row r="23865">
      <c r="C23865" s="1"/>
    </row>
    <row r="23866">
      <c r="C23866" s="1"/>
    </row>
    <row r="23867">
      <c r="C23867" s="1"/>
    </row>
    <row r="23868">
      <c r="C23868" s="1"/>
    </row>
    <row r="23869">
      <c r="C23869" s="1"/>
    </row>
    <row r="23870">
      <c r="C23870" s="1"/>
    </row>
    <row r="23871">
      <c r="C23871" s="1"/>
    </row>
    <row r="23872">
      <c r="C23872" s="1"/>
    </row>
    <row r="23873">
      <c r="C23873" s="1"/>
    </row>
    <row r="23874">
      <c r="C23874" s="1"/>
    </row>
    <row r="23875">
      <c r="C23875" s="1"/>
    </row>
    <row r="23876">
      <c r="C23876" s="1"/>
    </row>
    <row r="23877">
      <c r="C23877" s="1"/>
    </row>
    <row r="23878">
      <c r="C23878" s="1"/>
    </row>
    <row r="23879">
      <c r="C23879" s="1"/>
    </row>
    <row r="23880">
      <c r="C23880" s="1"/>
    </row>
    <row r="23881">
      <c r="C23881" s="1"/>
    </row>
    <row r="23882">
      <c r="C23882" s="1"/>
    </row>
    <row r="23883">
      <c r="C23883" s="1"/>
    </row>
    <row r="23884">
      <c r="C23884" s="1"/>
    </row>
    <row r="23885">
      <c r="C23885" s="1"/>
    </row>
    <row r="23886">
      <c r="C23886" s="1"/>
    </row>
    <row r="23887">
      <c r="C23887" s="1"/>
    </row>
    <row r="23888">
      <c r="C23888" s="1"/>
    </row>
    <row r="23889">
      <c r="C23889" s="1"/>
    </row>
    <row r="23890">
      <c r="C23890" s="1"/>
    </row>
    <row r="23891">
      <c r="C23891" s="1"/>
    </row>
    <row r="23892">
      <c r="C23892" s="1"/>
    </row>
    <row r="23893">
      <c r="C23893" s="1"/>
    </row>
    <row r="23894">
      <c r="C23894" s="1"/>
    </row>
    <row r="23895">
      <c r="C23895" s="1"/>
    </row>
    <row r="23896">
      <c r="C23896" s="1"/>
    </row>
    <row r="23897">
      <c r="C23897" s="1"/>
    </row>
    <row r="23898">
      <c r="C23898" s="1"/>
    </row>
    <row r="23899">
      <c r="C23899" s="1"/>
    </row>
    <row r="23900">
      <c r="C23900" s="1"/>
    </row>
    <row r="23901">
      <c r="C23901" s="1"/>
    </row>
    <row r="23902">
      <c r="C23902" s="1"/>
    </row>
    <row r="23903">
      <c r="C23903" s="1"/>
    </row>
    <row r="23904">
      <c r="C23904" s="1"/>
    </row>
    <row r="23905">
      <c r="C23905" s="1"/>
    </row>
    <row r="23906">
      <c r="C23906" s="1"/>
    </row>
    <row r="23907">
      <c r="C23907" s="1"/>
    </row>
    <row r="23908">
      <c r="C23908" s="1"/>
    </row>
    <row r="23909">
      <c r="C23909" s="1"/>
    </row>
    <row r="23910">
      <c r="C23910" s="1"/>
    </row>
    <row r="23911">
      <c r="C23911" s="1"/>
    </row>
    <row r="23912">
      <c r="C23912" s="1"/>
    </row>
    <row r="23913">
      <c r="C23913" s="1"/>
    </row>
    <row r="23914">
      <c r="C23914" s="1"/>
    </row>
    <row r="23915">
      <c r="C23915" s="1"/>
    </row>
    <row r="23916">
      <c r="C23916" s="1"/>
    </row>
    <row r="23917">
      <c r="C23917" s="1"/>
    </row>
    <row r="23918">
      <c r="C23918" s="1"/>
    </row>
    <row r="23919">
      <c r="C23919" s="1"/>
    </row>
    <row r="23920">
      <c r="C23920" s="1"/>
    </row>
    <row r="23921">
      <c r="C23921" s="1"/>
    </row>
    <row r="23922">
      <c r="C23922" s="1"/>
    </row>
    <row r="23923">
      <c r="C23923" s="1"/>
    </row>
    <row r="23924">
      <c r="C23924" s="1"/>
    </row>
    <row r="23925">
      <c r="C23925" s="1"/>
    </row>
    <row r="23926">
      <c r="C23926" s="1"/>
    </row>
    <row r="23927">
      <c r="C23927" s="1"/>
    </row>
    <row r="23928">
      <c r="C23928" s="1"/>
    </row>
    <row r="23929">
      <c r="C23929" s="1"/>
    </row>
    <row r="23930">
      <c r="C23930" s="1"/>
    </row>
    <row r="23931">
      <c r="C23931" s="1"/>
    </row>
    <row r="23932">
      <c r="C23932" s="1"/>
    </row>
    <row r="23933">
      <c r="C23933" s="1"/>
    </row>
    <row r="23934">
      <c r="C23934" s="1"/>
    </row>
    <row r="23935">
      <c r="C23935" s="1"/>
    </row>
    <row r="23936">
      <c r="C23936" s="1"/>
    </row>
    <row r="23937">
      <c r="C23937" s="1"/>
    </row>
    <row r="23938">
      <c r="C23938" s="1"/>
    </row>
    <row r="23939">
      <c r="C23939" s="1"/>
    </row>
    <row r="23940">
      <c r="C23940" s="1"/>
    </row>
    <row r="23941">
      <c r="C23941" s="1"/>
    </row>
    <row r="23942">
      <c r="C23942" s="1"/>
    </row>
    <row r="23943">
      <c r="C23943" s="1"/>
    </row>
    <row r="23944">
      <c r="C23944" s="1"/>
    </row>
    <row r="23945">
      <c r="C23945" s="1"/>
    </row>
    <row r="23946">
      <c r="C23946" s="1"/>
    </row>
    <row r="23947">
      <c r="C23947" s="1"/>
    </row>
    <row r="23948">
      <c r="C23948" s="1"/>
    </row>
    <row r="23949">
      <c r="C23949" s="1"/>
    </row>
    <row r="23950">
      <c r="C23950" s="1"/>
    </row>
    <row r="23951">
      <c r="C23951" s="1"/>
    </row>
    <row r="23952">
      <c r="C23952" s="1"/>
    </row>
    <row r="23953">
      <c r="C23953" s="1"/>
    </row>
    <row r="23954">
      <c r="C23954" s="1"/>
    </row>
    <row r="23955">
      <c r="C23955" s="1"/>
    </row>
    <row r="23956">
      <c r="C23956" s="1"/>
    </row>
    <row r="23957">
      <c r="C23957" s="1"/>
    </row>
    <row r="23958">
      <c r="C23958" s="1"/>
    </row>
    <row r="23959">
      <c r="C23959" s="1"/>
    </row>
    <row r="23960">
      <c r="C23960" s="1"/>
    </row>
    <row r="23961">
      <c r="C23961" s="1"/>
    </row>
    <row r="23962">
      <c r="C23962" s="1"/>
    </row>
    <row r="23963">
      <c r="C23963" s="1"/>
    </row>
    <row r="23964">
      <c r="C23964" s="1"/>
    </row>
    <row r="23965">
      <c r="C23965" s="1"/>
    </row>
    <row r="23966">
      <c r="C23966" s="1"/>
    </row>
    <row r="23967">
      <c r="C23967" s="1"/>
    </row>
    <row r="23968">
      <c r="C23968" s="1"/>
    </row>
    <row r="23969">
      <c r="C23969" s="1"/>
    </row>
    <row r="23970">
      <c r="C23970" s="1"/>
    </row>
    <row r="23971">
      <c r="C23971" s="1"/>
    </row>
    <row r="23972">
      <c r="C23972" s="1"/>
    </row>
    <row r="23973">
      <c r="C23973" s="1"/>
    </row>
    <row r="23974">
      <c r="C23974" s="1"/>
    </row>
    <row r="23975">
      <c r="C23975" s="1"/>
    </row>
    <row r="23976">
      <c r="C23976" s="1"/>
    </row>
    <row r="23977">
      <c r="C23977" s="1"/>
    </row>
    <row r="23978">
      <c r="C23978" s="1"/>
    </row>
    <row r="23979">
      <c r="C23979" s="1"/>
    </row>
    <row r="23980">
      <c r="C23980" s="1"/>
    </row>
    <row r="23981">
      <c r="C23981" s="1"/>
    </row>
    <row r="23982">
      <c r="C23982" s="1"/>
    </row>
    <row r="23983">
      <c r="C23983" s="1"/>
    </row>
    <row r="23984">
      <c r="C23984" s="1"/>
    </row>
    <row r="23985">
      <c r="C23985" s="1"/>
    </row>
    <row r="23986">
      <c r="C23986" s="1"/>
    </row>
    <row r="23987">
      <c r="C23987" s="1"/>
    </row>
    <row r="23988">
      <c r="C23988" s="1"/>
    </row>
    <row r="23989">
      <c r="C23989" s="1"/>
    </row>
    <row r="23990">
      <c r="C23990" s="1"/>
    </row>
    <row r="23991">
      <c r="C23991" s="1"/>
    </row>
    <row r="23992">
      <c r="C23992" s="1"/>
    </row>
    <row r="23993">
      <c r="C23993" s="1"/>
    </row>
    <row r="23994">
      <c r="C23994" s="1"/>
    </row>
    <row r="23995">
      <c r="C23995" s="1"/>
    </row>
    <row r="23996">
      <c r="C23996" s="1"/>
    </row>
    <row r="23997">
      <c r="C23997" s="1"/>
    </row>
    <row r="23998">
      <c r="C23998" s="1"/>
    </row>
    <row r="23999">
      <c r="C23999" s="1"/>
    </row>
    <row r="24000">
      <c r="C24000" s="1"/>
    </row>
    <row r="24001">
      <c r="C24001" s="1"/>
    </row>
    <row r="24002">
      <c r="C24002" s="1"/>
    </row>
    <row r="24003">
      <c r="C24003" s="1"/>
    </row>
    <row r="24004">
      <c r="C24004" s="1"/>
    </row>
    <row r="24005">
      <c r="C24005" s="1"/>
    </row>
    <row r="24006">
      <c r="C24006" s="1"/>
    </row>
    <row r="24007">
      <c r="C24007" s="1"/>
    </row>
    <row r="24008">
      <c r="C24008" s="1"/>
    </row>
    <row r="24009">
      <c r="C24009" s="1"/>
    </row>
    <row r="24010">
      <c r="C24010" s="1"/>
    </row>
    <row r="24011">
      <c r="C24011" s="1"/>
    </row>
    <row r="24012">
      <c r="C24012" s="1"/>
    </row>
    <row r="24013">
      <c r="C24013" s="1"/>
    </row>
    <row r="24014">
      <c r="C24014" s="1"/>
    </row>
    <row r="24015">
      <c r="C24015" s="1"/>
    </row>
    <row r="24016">
      <c r="C24016" s="1"/>
    </row>
    <row r="24017">
      <c r="C24017" s="1"/>
    </row>
    <row r="24018">
      <c r="C24018" s="1"/>
    </row>
    <row r="24019">
      <c r="C24019" s="1"/>
    </row>
    <row r="24020">
      <c r="C24020" s="1"/>
    </row>
    <row r="24021">
      <c r="C24021" s="1"/>
    </row>
    <row r="24022">
      <c r="C24022" s="1"/>
    </row>
    <row r="24023">
      <c r="C24023" s="1"/>
    </row>
    <row r="24024">
      <c r="C24024" s="1"/>
    </row>
    <row r="24025">
      <c r="C24025" s="1"/>
    </row>
    <row r="24026">
      <c r="C24026" s="1"/>
    </row>
    <row r="24027">
      <c r="C24027" s="1"/>
    </row>
    <row r="24028">
      <c r="C24028" s="1"/>
    </row>
    <row r="24029">
      <c r="C24029" s="1"/>
    </row>
    <row r="24030">
      <c r="C24030" s="1"/>
    </row>
    <row r="24031">
      <c r="C24031" s="1"/>
    </row>
    <row r="24032">
      <c r="C24032" s="1"/>
    </row>
    <row r="24033">
      <c r="C24033" s="1"/>
    </row>
    <row r="24034">
      <c r="C24034" s="1"/>
    </row>
    <row r="24035">
      <c r="C24035" s="1"/>
    </row>
    <row r="24036">
      <c r="C24036" s="1"/>
    </row>
    <row r="24037">
      <c r="C24037" s="1"/>
    </row>
    <row r="24038">
      <c r="C24038" s="1"/>
    </row>
    <row r="24039">
      <c r="C24039" s="1"/>
    </row>
    <row r="24040">
      <c r="C24040" s="1"/>
    </row>
    <row r="24041">
      <c r="C24041" s="1"/>
    </row>
    <row r="24042">
      <c r="C24042" s="1"/>
    </row>
    <row r="24043">
      <c r="C24043" s="1"/>
    </row>
    <row r="24044">
      <c r="C24044" s="1"/>
    </row>
    <row r="24045">
      <c r="C24045" s="1"/>
    </row>
    <row r="24046">
      <c r="C24046" s="1"/>
    </row>
    <row r="24047">
      <c r="C24047" s="1"/>
    </row>
    <row r="24048">
      <c r="C24048" s="1"/>
    </row>
    <row r="24049">
      <c r="C24049" s="1"/>
    </row>
    <row r="24050">
      <c r="C24050" s="1"/>
    </row>
    <row r="24051">
      <c r="C24051" s="1"/>
    </row>
    <row r="24052">
      <c r="C24052" s="1"/>
    </row>
    <row r="24053">
      <c r="C24053" s="1"/>
    </row>
    <row r="24054">
      <c r="C24054" s="1"/>
    </row>
    <row r="24055">
      <c r="C24055" s="1"/>
    </row>
    <row r="24056">
      <c r="C24056" s="1"/>
    </row>
    <row r="24057">
      <c r="C24057" s="1"/>
    </row>
    <row r="24058">
      <c r="C24058" s="1"/>
    </row>
    <row r="24059">
      <c r="C24059" s="1"/>
    </row>
    <row r="24060">
      <c r="C24060" s="1"/>
    </row>
    <row r="24061">
      <c r="C24061" s="1"/>
    </row>
    <row r="24062">
      <c r="C24062" s="1"/>
    </row>
    <row r="24063">
      <c r="C24063" s="1"/>
    </row>
    <row r="24064">
      <c r="C24064" s="1"/>
    </row>
    <row r="24065">
      <c r="C24065" s="1"/>
    </row>
    <row r="24066">
      <c r="C24066" s="1"/>
    </row>
    <row r="24067">
      <c r="C24067" s="1"/>
    </row>
    <row r="24068">
      <c r="C24068" s="1"/>
    </row>
    <row r="24069">
      <c r="C24069" s="1"/>
    </row>
    <row r="24070">
      <c r="C24070" s="1"/>
    </row>
    <row r="24071">
      <c r="C24071" s="1"/>
    </row>
    <row r="24072">
      <c r="C24072" s="1"/>
    </row>
    <row r="24073">
      <c r="C24073" s="1"/>
    </row>
    <row r="24074">
      <c r="C24074" s="1"/>
    </row>
    <row r="24075">
      <c r="C24075" s="1"/>
    </row>
    <row r="24076">
      <c r="C24076" s="1"/>
    </row>
    <row r="24077">
      <c r="C24077" s="1"/>
    </row>
    <row r="24078">
      <c r="C24078" s="1"/>
    </row>
    <row r="24079">
      <c r="C24079" s="1"/>
    </row>
    <row r="24080">
      <c r="C24080" s="1"/>
    </row>
    <row r="24081">
      <c r="C24081" s="1"/>
    </row>
    <row r="24082">
      <c r="C24082" s="1"/>
    </row>
    <row r="24083">
      <c r="C24083" s="1"/>
    </row>
    <row r="24084">
      <c r="C24084" s="1"/>
    </row>
    <row r="24085">
      <c r="C24085" s="1"/>
    </row>
    <row r="24086">
      <c r="C24086" s="1"/>
    </row>
    <row r="24087">
      <c r="C24087" s="1"/>
    </row>
    <row r="24088">
      <c r="C24088" s="1"/>
    </row>
    <row r="24089">
      <c r="C24089" s="1"/>
    </row>
    <row r="24090">
      <c r="C24090" s="1"/>
    </row>
    <row r="24091">
      <c r="C24091" s="1"/>
    </row>
    <row r="24092">
      <c r="C24092" s="1"/>
    </row>
    <row r="24093">
      <c r="C24093" s="1"/>
    </row>
    <row r="24094">
      <c r="C24094" s="1"/>
    </row>
    <row r="24095">
      <c r="C24095" s="1"/>
    </row>
    <row r="24096">
      <c r="C24096" s="1"/>
    </row>
    <row r="24097">
      <c r="C24097" s="1"/>
    </row>
    <row r="24098">
      <c r="C24098" s="1"/>
    </row>
    <row r="24099">
      <c r="C24099" s="1"/>
    </row>
    <row r="24100">
      <c r="C24100" s="1"/>
    </row>
    <row r="24101">
      <c r="C24101" s="1"/>
    </row>
    <row r="24102">
      <c r="C24102" s="1"/>
    </row>
    <row r="24103">
      <c r="C24103" s="1"/>
    </row>
    <row r="24104">
      <c r="C24104" s="1"/>
    </row>
    <row r="24105">
      <c r="C24105" s="1"/>
    </row>
    <row r="24106">
      <c r="C24106" s="1"/>
    </row>
    <row r="24107">
      <c r="C24107" s="1"/>
    </row>
    <row r="24108">
      <c r="C24108" s="1"/>
    </row>
    <row r="24109">
      <c r="C24109" s="1"/>
    </row>
    <row r="24110">
      <c r="C24110" s="1"/>
    </row>
    <row r="24111">
      <c r="C24111" s="1"/>
    </row>
    <row r="24112">
      <c r="C24112" s="1"/>
    </row>
    <row r="24113">
      <c r="C24113" s="1"/>
    </row>
    <row r="24114">
      <c r="C24114" s="1"/>
    </row>
    <row r="24115">
      <c r="C24115" s="1"/>
    </row>
    <row r="24116">
      <c r="C24116" s="1"/>
    </row>
    <row r="24117">
      <c r="C24117" s="1"/>
    </row>
    <row r="24118">
      <c r="C24118" s="1"/>
    </row>
    <row r="24119">
      <c r="C24119" s="1"/>
    </row>
    <row r="24120">
      <c r="C24120" s="1"/>
    </row>
    <row r="24121">
      <c r="C24121" s="1"/>
    </row>
    <row r="24122">
      <c r="C24122" s="1"/>
    </row>
    <row r="24123">
      <c r="C24123" s="1"/>
    </row>
    <row r="24124">
      <c r="C24124" s="1"/>
    </row>
    <row r="24125">
      <c r="C24125" s="1"/>
    </row>
    <row r="24126">
      <c r="C24126" s="1"/>
    </row>
    <row r="24127">
      <c r="C24127" s="1"/>
    </row>
    <row r="24128">
      <c r="C24128" s="1"/>
    </row>
    <row r="24129">
      <c r="C24129" s="1"/>
    </row>
    <row r="24130">
      <c r="C24130" s="1"/>
    </row>
    <row r="24131">
      <c r="C24131" s="1"/>
    </row>
    <row r="24132">
      <c r="C24132" s="1"/>
    </row>
    <row r="24133">
      <c r="C24133" s="1"/>
    </row>
    <row r="24134">
      <c r="C24134" s="1"/>
    </row>
    <row r="24135">
      <c r="C24135" s="1"/>
    </row>
    <row r="24136">
      <c r="C24136" s="1"/>
    </row>
    <row r="24137">
      <c r="C24137" s="1"/>
    </row>
    <row r="24138">
      <c r="C24138" s="1"/>
    </row>
    <row r="24139">
      <c r="C24139" s="1"/>
    </row>
    <row r="24140">
      <c r="C24140" s="1"/>
    </row>
    <row r="24141">
      <c r="C24141" s="1"/>
    </row>
    <row r="24142">
      <c r="C24142" s="1"/>
    </row>
    <row r="24143">
      <c r="C24143" s="1"/>
    </row>
    <row r="24144">
      <c r="C24144" s="1"/>
    </row>
    <row r="24145">
      <c r="C24145" s="1"/>
    </row>
    <row r="24146">
      <c r="C24146" s="1"/>
    </row>
    <row r="24147">
      <c r="C24147" s="1"/>
    </row>
    <row r="24148">
      <c r="C24148" s="1"/>
    </row>
    <row r="24149">
      <c r="C24149" s="1"/>
    </row>
    <row r="24150">
      <c r="C24150" s="1"/>
    </row>
    <row r="24151">
      <c r="C24151" s="1"/>
    </row>
    <row r="24152">
      <c r="C24152" s="1"/>
    </row>
    <row r="24153">
      <c r="C24153" s="1"/>
    </row>
    <row r="24154">
      <c r="C24154" s="1"/>
    </row>
    <row r="24155">
      <c r="C24155" s="1"/>
    </row>
    <row r="24156">
      <c r="C24156" s="1"/>
    </row>
    <row r="24157">
      <c r="C24157" s="1"/>
    </row>
    <row r="24158">
      <c r="C24158" s="1"/>
    </row>
    <row r="24159">
      <c r="C24159" s="1"/>
    </row>
    <row r="24160">
      <c r="C24160" s="1"/>
    </row>
    <row r="24161">
      <c r="C24161" s="1"/>
    </row>
    <row r="24162">
      <c r="C24162" s="1"/>
    </row>
    <row r="24163">
      <c r="C24163" s="1"/>
    </row>
    <row r="24164">
      <c r="C24164" s="1"/>
    </row>
    <row r="24165">
      <c r="C24165" s="1"/>
    </row>
    <row r="24166">
      <c r="C24166" s="1"/>
    </row>
    <row r="24167">
      <c r="C24167" s="1"/>
    </row>
    <row r="24168">
      <c r="C24168" s="1"/>
    </row>
    <row r="24169">
      <c r="C24169" s="1"/>
    </row>
    <row r="24170">
      <c r="C24170" s="1"/>
    </row>
    <row r="24171">
      <c r="C24171" s="1"/>
    </row>
    <row r="24172">
      <c r="C24172" s="1"/>
    </row>
    <row r="24173">
      <c r="C24173" s="1"/>
    </row>
    <row r="24174">
      <c r="C24174" s="1"/>
    </row>
    <row r="24175">
      <c r="C24175" s="1"/>
    </row>
    <row r="24176">
      <c r="C24176" s="1"/>
    </row>
    <row r="24177">
      <c r="C24177" s="1"/>
    </row>
    <row r="24178">
      <c r="C24178" s="1"/>
    </row>
    <row r="24179">
      <c r="C24179" s="1"/>
    </row>
    <row r="24180">
      <c r="C24180" s="1"/>
    </row>
    <row r="24181">
      <c r="C24181" s="1"/>
    </row>
    <row r="24182">
      <c r="C24182" s="1"/>
    </row>
    <row r="24183">
      <c r="C24183" s="1"/>
    </row>
    <row r="24184">
      <c r="C24184" s="1"/>
    </row>
    <row r="24185">
      <c r="C24185" s="1"/>
    </row>
    <row r="24186">
      <c r="C24186" s="1"/>
    </row>
    <row r="24187">
      <c r="C24187" s="1"/>
    </row>
    <row r="24188">
      <c r="C24188" s="1"/>
    </row>
    <row r="24189">
      <c r="C24189" s="1"/>
    </row>
    <row r="24190">
      <c r="C24190" s="1"/>
    </row>
    <row r="24191">
      <c r="C24191" s="1"/>
    </row>
    <row r="24192">
      <c r="C24192" s="1"/>
    </row>
    <row r="24193">
      <c r="C24193" s="1"/>
    </row>
    <row r="24194">
      <c r="C24194" s="1"/>
    </row>
    <row r="24195">
      <c r="C24195" s="1"/>
    </row>
    <row r="24196">
      <c r="C24196" s="1"/>
    </row>
    <row r="24197">
      <c r="C24197" s="1"/>
    </row>
    <row r="24198">
      <c r="C24198" s="1"/>
    </row>
    <row r="24199">
      <c r="C24199" s="1"/>
    </row>
    <row r="24200">
      <c r="C24200" s="1"/>
    </row>
    <row r="24201">
      <c r="C24201" s="1"/>
    </row>
    <row r="24202">
      <c r="C24202" s="1"/>
    </row>
    <row r="24203">
      <c r="C24203" s="1"/>
    </row>
    <row r="24204">
      <c r="C24204" s="1"/>
    </row>
    <row r="24205">
      <c r="C24205" s="1"/>
    </row>
    <row r="24206">
      <c r="C24206" s="1"/>
    </row>
    <row r="24207">
      <c r="C24207" s="1"/>
    </row>
    <row r="24208">
      <c r="C24208" s="1"/>
    </row>
    <row r="24209">
      <c r="C24209" s="1"/>
    </row>
    <row r="24210">
      <c r="C24210" s="1"/>
    </row>
    <row r="24211">
      <c r="C24211" s="1"/>
    </row>
    <row r="24212">
      <c r="C24212" s="1"/>
    </row>
    <row r="24213">
      <c r="C24213" s="1"/>
    </row>
    <row r="24214">
      <c r="C24214" s="1"/>
    </row>
    <row r="24215">
      <c r="C24215" s="1"/>
    </row>
    <row r="24216">
      <c r="C24216" s="1"/>
    </row>
    <row r="24217">
      <c r="C24217" s="1"/>
    </row>
    <row r="24218">
      <c r="C24218" s="1"/>
    </row>
    <row r="24219">
      <c r="C24219" s="1"/>
    </row>
    <row r="24220">
      <c r="C24220" s="1"/>
    </row>
    <row r="24221">
      <c r="C24221" s="1"/>
    </row>
    <row r="24222">
      <c r="C24222" s="1"/>
    </row>
    <row r="24223">
      <c r="C24223" s="1"/>
    </row>
    <row r="24224">
      <c r="C24224" s="1"/>
    </row>
    <row r="24225">
      <c r="C24225" s="1"/>
    </row>
    <row r="24226">
      <c r="C24226" s="1"/>
    </row>
    <row r="24227">
      <c r="C24227" s="1"/>
    </row>
    <row r="24228">
      <c r="C24228" s="1"/>
    </row>
    <row r="24229">
      <c r="C24229" s="1"/>
    </row>
    <row r="24230">
      <c r="C24230" s="1"/>
    </row>
    <row r="24231">
      <c r="C24231" s="1"/>
    </row>
    <row r="24232">
      <c r="C24232" s="1"/>
    </row>
    <row r="24233">
      <c r="C24233" s="1"/>
    </row>
    <row r="24234">
      <c r="C24234" s="1"/>
    </row>
    <row r="24235">
      <c r="C24235" s="1"/>
    </row>
    <row r="24236">
      <c r="C24236" s="1"/>
    </row>
    <row r="24237">
      <c r="C24237" s="1"/>
    </row>
    <row r="24238">
      <c r="C24238" s="1"/>
    </row>
    <row r="24239">
      <c r="C24239" s="1"/>
    </row>
    <row r="24240">
      <c r="C24240" s="1"/>
    </row>
    <row r="24241">
      <c r="C24241" s="1"/>
    </row>
    <row r="24242">
      <c r="C24242" s="1"/>
    </row>
    <row r="24243">
      <c r="C24243" s="1"/>
    </row>
    <row r="24244">
      <c r="C24244" s="1"/>
    </row>
    <row r="24245">
      <c r="C24245" s="1"/>
    </row>
    <row r="24246">
      <c r="C24246" s="1"/>
    </row>
    <row r="24247">
      <c r="C24247" s="1"/>
    </row>
    <row r="24248">
      <c r="C24248" s="1"/>
    </row>
    <row r="24249">
      <c r="C24249" s="1"/>
    </row>
    <row r="24250">
      <c r="C24250" s="1"/>
    </row>
    <row r="24251">
      <c r="C24251" s="1"/>
    </row>
    <row r="24252">
      <c r="C24252" s="1"/>
    </row>
    <row r="24253">
      <c r="C24253" s="1"/>
    </row>
    <row r="24254">
      <c r="C24254" s="1"/>
    </row>
    <row r="24255">
      <c r="C24255" s="1"/>
    </row>
    <row r="24256">
      <c r="C24256" s="1"/>
    </row>
    <row r="24257">
      <c r="C24257" s="1"/>
    </row>
    <row r="24258">
      <c r="C24258" s="1"/>
    </row>
    <row r="24259">
      <c r="C24259" s="1"/>
    </row>
    <row r="24260">
      <c r="C24260" s="1"/>
    </row>
    <row r="24261">
      <c r="C24261" s="1"/>
    </row>
    <row r="24262">
      <c r="C24262" s="1"/>
    </row>
    <row r="24263">
      <c r="C24263" s="1"/>
    </row>
    <row r="24264">
      <c r="C24264" s="1"/>
    </row>
    <row r="24265">
      <c r="C24265" s="1"/>
    </row>
    <row r="24266">
      <c r="C24266" s="1"/>
    </row>
    <row r="24267">
      <c r="C24267" s="1"/>
    </row>
    <row r="24268">
      <c r="C24268" s="1"/>
    </row>
    <row r="24269">
      <c r="C24269" s="1"/>
    </row>
    <row r="24270">
      <c r="C24270" s="1"/>
    </row>
    <row r="24271">
      <c r="C24271" s="1"/>
    </row>
    <row r="24272">
      <c r="C24272" s="1"/>
    </row>
    <row r="24273">
      <c r="C24273" s="1"/>
    </row>
    <row r="24274">
      <c r="C24274" s="1"/>
    </row>
    <row r="24275">
      <c r="C24275" s="1"/>
    </row>
    <row r="24276">
      <c r="C24276" s="1"/>
    </row>
    <row r="24277">
      <c r="C24277" s="1"/>
    </row>
    <row r="24278">
      <c r="C24278" s="1"/>
    </row>
    <row r="24279">
      <c r="C24279" s="1"/>
    </row>
    <row r="24280">
      <c r="C24280" s="1"/>
    </row>
    <row r="24281">
      <c r="C24281" s="1"/>
    </row>
    <row r="24282">
      <c r="C24282" s="1"/>
    </row>
    <row r="24283">
      <c r="C24283" s="1"/>
    </row>
    <row r="24284">
      <c r="C24284" s="1"/>
    </row>
    <row r="24285">
      <c r="C24285" s="1"/>
    </row>
    <row r="24286">
      <c r="C24286" s="1"/>
    </row>
    <row r="24287">
      <c r="C24287" s="1"/>
    </row>
    <row r="24288">
      <c r="C24288" s="1"/>
    </row>
    <row r="24289">
      <c r="C24289" s="1"/>
    </row>
    <row r="24290">
      <c r="C24290" s="1"/>
    </row>
    <row r="24291">
      <c r="C24291" s="1"/>
    </row>
    <row r="24292">
      <c r="C24292" s="1"/>
    </row>
    <row r="24293">
      <c r="C24293" s="1"/>
    </row>
    <row r="24294">
      <c r="C24294" s="1"/>
    </row>
    <row r="24295">
      <c r="C24295" s="1"/>
    </row>
    <row r="24296">
      <c r="C24296" s="1"/>
    </row>
    <row r="24297">
      <c r="C24297" s="1"/>
    </row>
    <row r="24298">
      <c r="C24298" s="1"/>
    </row>
    <row r="24299">
      <c r="C24299" s="1"/>
    </row>
    <row r="24300">
      <c r="C24300" s="1"/>
    </row>
    <row r="24301">
      <c r="C24301" s="1"/>
    </row>
    <row r="24302">
      <c r="C24302" s="1"/>
    </row>
    <row r="24303">
      <c r="C24303" s="1"/>
    </row>
    <row r="24304">
      <c r="C24304" s="1"/>
    </row>
    <row r="24305">
      <c r="C24305" s="1"/>
    </row>
    <row r="24306">
      <c r="C24306" s="1"/>
    </row>
    <row r="24307">
      <c r="C24307" s="1"/>
    </row>
    <row r="24308">
      <c r="C24308" s="1"/>
    </row>
    <row r="24309">
      <c r="C24309" s="1"/>
    </row>
    <row r="24310">
      <c r="C24310" s="1"/>
    </row>
    <row r="24311">
      <c r="C24311" s="1"/>
    </row>
    <row r="24312">
      <c r="C24312" s="1"/>
    </row>
    <row r="24313">
      <c r="C24313" s="1"/>
    </row>
    <row r="24314">
      <c r="C24314" s="1"/>
    </row>
    <row r="24315">
      <c r="C24315" s="1"/>
    </row>
    <row r="24316">
      <c r="C24316" s="1"/>
    </row>
    <row r="24317">
      <c r="C24317" s="1"/>
    </row>
    <row r="24318">
      <c r="C24318" s="1"/>
    </row>
    <row r="24319">
      <c r="C24319" s="1"/>
    </row>
    <row r="24320">
      <c r="C24320" s="1"/>
    </row>
    <row r="24321">
      <c r="C24321" s="1"/>
    </row>
    <row r="24322">
      <c r="C24322" s="1"/>
    </row>
    <row r="24323">
      <c r="C24323" s="1"/>
    </row>
    <row r="24324">
      <c r="C24324" s="1"/>
    </row>
    <row r="24325">
      <c r="C24325" s="1"/>
    </row>
    <row r="24326">
      <c r="C24326" s="1"/>
    </row>
    <row r="24327">
      <c r="C24327" s="1"/>
    </row>
    <row r="24328">
      <c r="C24328" s="1"/>
    </row>
    <row r="24329">
      <c r="C24329" s="1"/>
    </row>
    <row r="24330">
      <c r="C24330" s="1"/>
    </row>
    <row r="24331">
      <c r="C24331" s="1"/>
    </row>
    <row r="24332">
      <c r="C24332" s="1"/>
    </row>
    <row r="24333">
      <c r="C24333" s="1"/>
    </row>
    <row r="24334">
      <c r="C24334" s="1"/>
    </row>
    <row r="24335">
      <c r="C24335" s="1"/>
    </row>
    <row r="24336">
      <c r="C24336" s="1"/>
    </row>
    <row r="24337">
      <c r="C24337" s="1"/>
    </row>
    <row r="24338">
      <c r="C24338" s="1"/>
    </row>
    <row r="24339">
      <c r="C24339" s="1"/>
    </row>
    <row r="24340">
      <c r="C24340" s="1"/>
    </row>
    <row r="24341">
      <c r="C24341" s="1"/>
    </row>
    <row r="24342">
      <c r="C24342" s="1"/>
    </row>
    <row r="24343">
      <c r="C24343" s="1"/>
    </row>
    <row r="24344">
      <c r="C24344" s="1"/>
    </row>
    <row r="24345">
      <c r="C24345" s="1"/>
    </row>
    <row r="24346">
      <c r="C24346" s="1"/>
    </row>
    <row r="24347">
      <c r="C24347" s="1"/>
    </row>
    <row r="24348">
      <c r="C24348" s="1"/>
    </row>
    <row r="24349">
      <c r="C24349" s="1"/>
    </row>
    <row r="24350">
      <c r="C24350" s="1"/>
    </row>
    <row r="24351">
      <c r="C24351" s="1"/>
    </row>
    <row r="24352">
      <c r="C24352" s="1"/>
    </row>
    <row r="24353">
      <c r="C24353" s="1"/>
    </row>
    <row r="24354">
      <c r="C24354" s="1"/>
    </row>
    <row r="24355">
      <c r="C24355" s="1"/>
    </row>
    <row r="24356">
      <c r="C24356" s="1"/>
    </row>
    <row r="24357">
      <c r="C24357" s="1"/>
    </row>
    <row r="24358">
      <c r="C24358" s="1"/>
    </row>
    <row r="24359">
      <c r="C24359" s="1"/>
    </row>
    <row r="24360">
      <c r="C24360" s="1"/>
    </row>
    <row r="24361">
      <c r="C24361" s="1"/>
    </row>
    <row r="24362">
      <c r="C24362" s="1"/>
    </row>
    <row r="24363">
      <c r="C24363" s="1"/>
    </row>
    <row r="24364">
      <c r="C24364" s="1"/>
    </row>
    <row r="24365">
      <c r="C24365" s="1"/>
    </row>
    <row r="24366">
      <c r="C24366" s="1"/>
    </row>
    <row r="24367">
      <c r="C24367" s="1"/>
    </row>
    <row r="24368">
      <c r="C24368" s="1"/>
    </row>
    <row r="24369">
      <c r="C24369" s="1"/>
    </row>
    <row r="24370">
      <c r="C24370" s="1"/>
    </row>
    <row r="24371">
      <c r="C24371" s="1"/>
    </row>
    <row r="24372">
      <c r="C24372" s="1"/>
    </row>
    <row r="24373">
      <c r="C24373" s="1"/>
    </row>
    <row r="24374">
      <c r="C24374" s="1"/>
    </row>
    <row r="24375">
      <c r="C24375" s="1"/>
    </row>
    <row r="24376">
      <c r="C24376" s="1"/>
    </row>
    <row r="24377">
      <c r="C24377" s="1"/>
    </row>
    <row r="24378">
      <c r="C24378" s="1"/>
    </row>
    <row r="24379">
      <c r="C24379" s="1"/>
    </row>
    <row r="24380">
      <c r="C24380" s="1"/>
    </row>
    <row r="24381">
      <c r="C24381" s="1"/>
    </row>
    <row r="24382">
      <c r="C24382" s="1"/>
    </row>
    <row r="24383">
      <c r="C24383" s="1"/>
    </row>
    <row r="24384">
      <c r="C24384" s="1"/>
    </row>
    <row r="24385">
      <c r="C24385" s="1"/>
    </row>
    <row r="24386">
      <c r="C24386" s="1"/>
    </row>
    <row r="24387">
      <c r="C24387" s="1"/>
    </row>
    <row r="24388">
      <c r="C24388" s="1"/>
    </row>
    <row r="24389">
      <c r="C24389" s="1"/>
    </row>
    <row r="24390">
      <c r="C24390" s="1"/>
    </row>
    <row r="24391">
      <c r="C24391" s="1"/>
    </row>
    <row r="24392">
      <c r="C24392" s="1"/>
    </row>
    <row r="24393">
      <c r="C24393" s="1"/>
    </row>
    <row r="24394">
      <c r="C24394" s="1"/>
    </row>
    <row r="24395">
      <c r="C24395" s="1"/>
    </row>
    <row r="24396">
      <c r="C24396" s="1"/>
    </row>
    <row r="24397">
      <c r="C24397" s="1"/>
    </row>
    <row r="24398">
      <c r="C24398" s="1"/>
    </row>
    <row r="24399">
      <c r="C24399" s="1"/>
    </row>
    <row r="24400">
      <c r="C24400" s="1"/>
    </row>
    <row r="24401">
      <c r="C24401" s="1"/>
    </row>
    <row r="24402">
      <c r="C24402" s="1"/>
    </row>
    <row r="24403">
      <c r="C24403" s="1"/>
    </row>
    <row r="24404">
      <c r="C24404" s="1"/>
    </row>
    <row r="24405">
      <c r="C24405" s="1"/>
    </row>
    <row r="24406">
      <c r="C24406" s="1"/>
    </row>
    <row r="24407">
      <c r="C24407" s="1"/>
    </row>
    <row r="24408">
      <c r="C24408" s="1"/>
    </row>
    <row r="24409">
      <c r="C24409" s="1"/>
    </row>
    <row r="24410">
      <c r="C24410" s="1"/>
    </row>
    <row r="24411">
      <c r="C24411" s="1"/>
    </row>
    <row r="24412">
      <c r="C24412" s="1"/>
    </row>
    <row r="24413">
      <c r="C24413" s="1"/>
    </row>
    <row r="24414">
      <c r="C24414" s="1"/>
    </row>
    <row r="24415">
      <c r="C24415" s="1"/>
    </row>
    <row r="24416">
      <c r="C24416" s="1"/>
    </row>
    <row r="24417">
      <c r="C24417" s="1"/>
    </row>
    <row r="24418">
      <c r="C24418" s="1"/>
    </row>
    <row r="24419">
      <c r="C24419" s="1"/>
    </row>
    <row r="24420">
      <c r="C24420" s="1"/>
    </row>
    <row r="24421">
      <c r="C24421" s="1"/>
    </row>
    <row r="24422">
      <c r="C24422" s="1"/>
    </row>
    <row r="24423">
      <c r="C24423" s="1"/>
    </row>
    <row r="24424">
      <c r="C24424" s="1"/>
    </row>
    <row r="24425">
      <c r="C24425" s="1"/>
    </row>
    <row r="24426">
      <c r="C24426" s="1"/>
    </row>
    <row r="24427">
      <c r="C24427" s="1"/>
    </row>
    <row r="24428">
      <c r="C24428" s="1"/>
    </row>
    <row r="24429">
      <c r="C24429" s="1"/>
    </row>
    <row r="24430">
      <c r="C24430" s="1"/>
    </row>
    <row r="24431">
      <c r="C24431" s="1"/>
    </row>
    <row r="24432">
      <c r="C24432" s="1"/>
    </row>
    <row r="24433">
      <c r="C24433" s="1"/>
    </row>
    <row r="24434">
      <c r="C24434" s="1"/>
    </row>
    <row r="24435">
      <c r="C24435" s="1"/>
    </row>
    <row r="24436">
      <c r="C24436" s="1"/>
    </row>
    <row r="24437">
      <c r="C24437" s="1"/>
    </row>
    <row r="24438">
      <c r="C24438" s="1"/>
    </row>
    <row r="24439">
      <c r="C24439" s="1"/>
    </row>
    <row r="24440">
      <c r="C24440" s="1"/>
    </row>
    <row r="24441">
      <c r="C24441" s="1"/>
    </row>
    <row r="24442">
      <c r="C24442" s="1"/>
    </row>
    <row r="24443">
      <c r="C24443" s="1"/>
    </row>
    <row r="24444">
      <c r="C24444" s="1"/>
    </row>
    <row r="24445">
      <c r="C24445" s="1"/>
    </row>
    <row r="24446">
      <c r="C24446" s="1"/>
    </row>
    <row r="24447">
      <c r="C24447" s="1"/>
    </row>
    <row r="24448">
      <c r="C24448" s="1"/>
    </row>
    <row r="24449">
      <c r="C24449" s="1"/>
    </row>
    <row r="24450">
      <c r="C24450" s="1"/>
    </row>
    <row r="24451">
      <c r="C24451" s="1"/>
    </row>
    <row r="24452">
      <c r="C24452" s="1"/>
    </row>
    <row r="24453">
      <c r="C24453" s="1"/>
    </row>
    <row r="24454">
      <c r="C24454" s="1"/>
    </row>
    <row r="24455">
      <c r="C24455" s="1"/>
    </row>
    <row r="24456">
      <c r="C24456" s="1"/>
    </row>
    <row r="24457">
      <c r="C24457" s="1"/>
    </row>
    <row r="24458">
      <c r="C24458" s="1"/>
    </row>
    <row r="24459">
      <c r="C24459" s="1"/>
    </row>
    <row r="24460">
      <c r="C24460" s="1"/>
    </row>
    <row r="24461">
      <c r="C24461" s="1"/>
    </row>
    <row r="24462">
      <c r="C24462" s="1"/>
    </row>
    <row r="24463">
      <c r="C24463" s="1"/>
    </row>
    <row r="24464">
      <c r="C24464" s="1"/>
    </row>
    <row r="24465">
      <c r="C24465" s="1"/>
    </row>
    <row r="24466">
      <c r="C24466" s="1"/>
    </row>
    <row r="24467">
      <c r="C24467" s="1"/>
    </row>
    <row r="24468">
      <c r="C24468" s="1"/>
    </row>
    <row r="24469">
      <c r="C24469" s="1"/>
    </row>
    <row r="24470">
      <c r="C24470" s="1"/>
    </row>
    <row r="24471">
      <c r="C24471" s="1"/>
    </row>
    <row r="24472">
      <c r="C24472" s="1"/>
    </row>
    <row r="24473">
      <c r="C24473" s="1"/>
    </row>
    <row r="24474">
      <c r="C24474" s="1"/>
    </row>
    <row r="24475">
      <c r="C24475" s="1"/>
    </row>
    <row r="24476">
      <c r="C24476" s="1"/>
    </row>
    <row r="24477">
      <c r="C24477" s="1"/>
    </row>
    <row r="24478">
      <c r="C24478" s="1"/>
    </row>
    <row r="24479">
      <c r="C24479" s="1"/>
    </row>
    <row r="24480">
      <c r="C24480" s="1"/>
    </row>
    <row r="24481">
      <c r="C24481" s="1"/>
    </row>
    <row r="24482">
      <c r="C24482" s="1"/>
    </row>
    <row r="24483">
      <c r="C24483" s="1"/>
    </row>
    <row r="24484">
      <c r="C24484" s="1"/>
    </row>
    <row r="24485">
      <c r="C24485" s="1"/>
    </row>
    <row r="24486">
      <c r="C24486" s="1"/>
    </row>
    <row r="24487">
      <c r="C24487" s="1"/>
    </row>
    <row r="24488">
      <c r="C24488" s="1"/>
    </row>
    <row r="24489">
      <c r="C24489" s="1"/>
    </row>
    <row r="24490">
      <c r="C24490" s="1"/>
    </row>
    <row r="24491">
      <c r="C24491" s="1"/>
    </row>
    <row r="24492">
      <c r="C24492" s="1"/>
    </row>
    <row r="24493">
      <c r="C24493" s="1"/>
    </row>
    <row r="24494">
      <c r="C24494" s="1"/>
    </row>
    <row r="24495">
      <c r="C24495" s="1"/>
    </row>
    <row r="24496">
      <c r="C24496" s="1"/>
    </row>
    <row r="24497">
      <c r="C24497" s="1"/>
    </row>
    <row r="24498">
      <c r="C24498" s="1"/>
    </row>
    <row r="24499">
      <c r="C24499" s="1"/>
    </row>
    <row r="24500">
      <c r="C24500" s="1"/>
    </row>
    <row r="24501">
      <c r="C24501" s="1"/>
    </row>
    <row r="24502">
      <c r="C24502" s="1"/>
    </row>
    <row r="24503">
      <c r="C24503" s="1"/>
    </row>
    <row r="24504">
      <c r="C24504" s="1"/>
    </row>
    <row r="24505">
      <c r="C24505" s="1"/>
    </row>
    <row r="24506">
      <c r="C24506" s="1"/>
    </row>
    <row r="24507">
      <c r="C24507" s="1"/>
    </row>
    <row r="24508">
      <c r="C24508" s="1"/>
    </row>
    <row r="24509">
      <c r="C24509" s="1"/>
    </row>
    <row r="24510">
      <c r="C24510" s="1"/>
    </row>
    <row r="24511">
      <c r="C24511" s="1"/>
    </row>
    <row r="24512">
      <c r="C24512" s="1"/>
    </row>
    <row r="24513">
      <c r="C24513" s="1"/>
    </row>
    <row r="24514">
      <c r="C24514" s="1"/>
    </row>
    <row r="24515">
      <c r="C24515" s="1"/>
    </row>
    <row r="24516">
      <c r="C24516" s="1"/>
    </row>
    <row r="24517">
      <c r="C24517" s="1"/>
    </row>
    <row r="24518">
      <c r="C24518" s="1"/>
    </row>
    <row r="24519">
      <c r="C24519" s="1"/>
    </row>
    <row r="24520">
      <c r="C24520" s="1"/>
    </row>
    <row r="24521">
      <c r="C24521" s="1"/>
    </row>
    <row r="24522">
      <c r="C24522" s="1"/>
    </row>
    <row r="24523">
      <c r="C24523" s="1"/>
    </row>
    <row r="24524">
      <c r="C24524" s="1"/>
    </row>
    <row r="24525">
      <c r="C24525" s="1"/>
    </row>
    <row r="24526">
      <c r="C24526" s="1"/>
    </row>
    <row r="24527">
      <c r="C24527" s="1"/>
    </row>
    <row r="24528">
      <c r="C24528" s="1"/>
    </row>
    <row r="24529">
      <c r="C24529" s="1"/>
    </row>
    <row r="24530">
      <c r="C24530" s="1"/>
    </row>
    <row r="24531">
      <c r="C24531" s="1"/>
    </row>
    <row r="24532">
      <c r="C24532" s="1"/>
    </row>
    <row r="24533">
      <c r="C24533" s="1"/>
    </row>
    <row r="24534">
      <c r="C24534" s="1"/>
    </row>
    <row r="24535">
      <c r="C24535" s="1"/>
    </row>
    <row r="24536">
      <c r="C24536" s="1"/>
    </row>
    <row r="24537">
      <c r="C24537" s="1"/>
    </row>
    <row r="24538">
      <c r="C24538" s="1"/>
    </row>
    <row r="24539">
      <c r="C24539" s="1"/>
    </row>
    <row r="24540">
      <c r="C24540" s="1"/>
    </row>
    <row r="24541">
      <c r="C24541" s="1"/>
    </row>
    <row r="24542">
      <c r="C24542" s="1"/>
    </row>
    <row r="24543">
      <c r="C24543" s="1"/>
    </row>
    <row r="24544">
      <c r="C24544" s="1"/>
    </row>
    <row r="24545">
      <c r="C24545" s="1"/>
    </row>
    <row r="24546">
      <c r="C24546" s="1"/>
    </row>
    <row r="24547">
      <c r="C24547" s="1"/>
    </row>
    <row r="24548">
      <c r="C24548" s="1"/>
    </row>
    <row r="24549">
      <c r="C24549" s="1"/>
    </row>
    <row r="24550">
      <c r="C24550" s="1"/>
    </row>
    <row r="24551">
      <c r="C24551" s="1"/>
    </row>
    <row r="24552">
      <c r="C24552" s="1"/>
    </row>
    <row r="24553">
      <c r="C24553" s="1"/>
    </row>
    <row r="24554">
      <c r="C24554" s="1"/>
    </row>
    <row r="24555">
      <c r="C24555" s="1"/>
    </row>
    <row r="24556">
      <c r="C24556" s="1"/>
    </row>
    <row r="24557">
      <c r="C24557" s="1"/>
    </row>
    <row r="24558">
      <c r="C24558" s="1"/>
    </row>
    <row r="24559">
      <c r="C24559" s="1"/>
    </row>
    <row r="24560">
      <c r="C24560" s="1"/>
    </row>
    <row r="24561">
      <c r="C24561" s="1"/>
    </row>
    <row r="24562">
      <c r="C24562" s="1"/>
    </row>
    <row r="24563">
      <c r="C24563" s="1"/>
    </row>
    <row r="24564">
      <c r="C24564" s="1"/>
    </row>
    <row r="24565">
      <c r="C24565" s="1"/>
    </row>
    <row r="24566">
      <c r="C24566" s="1"/>
    </row>
    <row r="24567">
      <c r="C24567" s="1"/>
    </row>
    <row r="24568">
      <c r="C24568" s="1"/>
    </row>
    <row r="24569">
      <c r="C24569" s="1"/>
    </row>
    <row r="24570">
      <c r="C24570" s="1"/>
    </row>
    <row r="24571">
      <c r="C24571" s="1"/>
    </row>
    <row r="24572">
      <c r="C24572" s="1"/>
    </row>
    <row r="24573">
      <c r="C24573" s="1"/>
    </row>
    <row r="24574">
      <c r="C24574" s="1"/>
    </row>
    <row r="24575">
      <c r="C24575" s="1"/>
    </row>
    <row r="24576">
      <c r="C24576" s="1"/>
    </row>
    <row r="24577">
      <c r="C24577" s="1"/>
    </row>
    <row r="24578">
      <c r="C24578" s="1"/>
    </row>
    <row r="24579">
      <c r="C24579" s="1"/>
    </row>
    <row r="24580">
      <c r="C24580" s="1"/>
    </row>
    <row r="24581">
      <c r="C24581" s="1"/>
    </row>
    <row r="24582">
      <c r="C24582" s="1"/>
    </row>
    <row r="24583">
      <c r="C24583" s="1"/>
    </row>
    <row r="24584">
      <c r="C24584" s="1"/>
    </row>
    <row r="24585">
      <c r="C24585" s="1"/>
    </row>
    <row r="24586">
      <c r="C24586" s="1"/>
    </row>
    <row r="24587">
      <c r="C24587" s="1"/>
    </row>
    <row r="24588">
      <c r="C24588" s="1"/>
    </row>
    <row r="24589">
      <c r="C24589" s="1"/>
    </row>
    <row r="24590">
      <c r="C24590" s="1"/>
    </row>
    <row r="24591">
      <c r="C24591" s="1"/>
    </row>
    <row r="24592">
      <c r="C24592" s="1"/>
    </row>
    <row r="24593">
      <c r="C24593" s="1"/>
    </row>
    <row r="24594">
      <c r="C24594" s="1"/>
    </row>
    <row r="24595">
      <c r="C24595" s="1"/>
    </row>
    <row r="24596">
      <c r="C24596" s="1"/>
    </row>
    <row r="24597">
      <c r="C24597" s="1"/>
    </row>
    <row r="24598">
      <c r="C24598" s="1"/>
    </row>
    <row r="24599">
      <c r="C24599" s="1"/>
    </row>
    <row r="24600">
      <c r="C24600" s="1"/>
    </row>
    <row r="24601">
      <c r="C24601" s="1"/>
    </row>
    <row r="24602">
      <c r="C24602" s="1"/>
    </row>
    <row r="24603">
      <c r="C24603" s="1"/>
    </row>
    <row r="24604">
      <c r="C24604" s="1"/>
    </row>
    <row r="24605">
      <c r="C24605" s="1"/>
    </row>
    <row r="24606">
      <c r="C24606" s="1"/>
    </row>
    <row r="24607">
      <c r="C24607" s="1"/>
    </row>
    <row r="24608">
      <c r="C24608" s="1"/>
    </row>
    <row r="24609">
      <c r="C24609" s="1"/>
    </row>
    <row r="24610">
      <c r="C24610" s="1"/>
    </row>
    <row r="24611">
      <c r="C24611" s="1"/>
    </row>
    <row r="24612">
      <c r="C24612" s="1"/>
    </row>
    <row r="24613">
      <c r="C24613" s="1"/>
    </row>
    <row r="24614">
      <c r="C24614" s="1"/>
    </row>
    <row r="24615">
      <c r="C24615" s="1"/>
    </row>
    <row r="24616">
      <c r="C24616" s="1"/>
    </row>
    <row r="24617">
      <c r="C24617" s="1"/>
    </row>
    <row r="24618">
      <c r="C24618" s="1"/>
    </row>
    <row r="24619">
      <c r="C24619" s="1"/>
    </row>
    <row r="24620">
      <c r="C24620" s="1"/>
    </row>
    <row r="24621">
      <c r="C24621" s="1"/>
    </row>
    <row r="24622">
      <c r="C24622" s="1"/>
    </row>
    <row r="24623">
      <c r="C24623" s="1"/>
    </row>
    <row r="24624">
      <c r="C24624" s="1"/>
    </row>
    <row r="24625">
      <c r="C24625" s="1"/>
    </row>
    <row r="24626">
      <c r="C24626" s="1"/>
    </row>
    <row r="24627">
      <c r="C24627" s="1"/>
    </row>
    <row r="24628">
      <c r="C24628" s="1"/>
    </row>
    <row r="24629">
      <c r="C24629" s="1"/>
    </row>
    <row r="24630">
      <c r="C24630" s="1"/>
    </row>
    <row r="24631">
      <c r="C24631" s="1"/>
    </row>
    <row r="24632">
      <c r="C24632" s="1"/>
    </row>
    <row r="24633">
      <c r="C24633" s="1"/>
    </row>
    <row r="24634">
      <c r="C24634" s="1"/>
    </row>
    <row r="24635">
      <c r="C24635" s="1"/>
    </row>
    <row r="24636">
      <c r="C24636" s="1"/>
    </row>
    <row r="24637">
      <c r="C24637" s="1"/>
    </row>
    <row r="24638">
      <c r="C24638" s="1"/>
    </row>
    <row r="24639">
      <c r="C24639" s="1"/>
    </row>
    <row r="24640">
      <c r="C24640" s="1"/>
    </row>
    <row r="24641">
      <c r="C24641" s="1"/>
    </row>
    <row r="24642">
      <c r="C24642" s="1"/>
    </row>
    <row r="24643">
      <c r="C24643" s="1"/>
    </row>
    <row r="24644">
      <c r="C24644" s="1"/>
    </row>
    <row r="24645">
      <c r="C24645" s="1"/>
    </row>
    <row r="24646">
      <c r="C24646" s="1"/>
    </row>
    <row r="24647">
      <c r="C24647" s="1"/>
    </row>
    <row r="24648">
      <c r="C24648" s="1"/>
    </row>
    <row r="24649">
      <c r="C24649" s="1"/>
    </row>
    <row r="24650">
      <c r="C24650" s="1"/>
    </row>
    <row r="24651">
      <c r="C24651" s="1"/>
    </row>
    <row r="24652">
      <c r="C24652" s="1"/>
    </row>
    <row r="24653">
      <c r="C24653" s="1"/>
    </row>
    <row r="24654">
      <c r="C24654" s="1"/>
    </row>
    <row r="24655">
      <c r="C24655" s="1"/>
    </row>
    <row r="24656">
      <c r="C24656" s="1"/>
    </row>
    <row r="24657">
      <c r="C24657" s="1"/>
    </row>
    <row r="24658">
      <c r="C24658" s="1"/>
    </row>
    <row r="24659">
      <c r="C24659" s="1"/>
    </row>
    <row r="24660">
      <c r="C24660" s="1"/>
    </row>
    <row r="24661">
      <c r="C24661" s="1"/>
    </row>
    <row r="24662">
      <c r="C24662" s="1"/>
    </row>
    <row r="24663">
      <c r="C24663" s="1"/>
    </row>
    <row r="24664">
      <c r="C24664" s="1"/>
    </row>
    <row r="24665">
      <c r="C24665" s="1"/>
    </row>
    <row r="24666">
      <c r="C24666" s="1"/>
    </row>
    <row r="24667">
      <c r="C24667" s="1"/>
    </row>
    <row r="24668">
      <c r="C24668" s="1"/>
    </row>
    <row r="24669">
      <c r="C24669" s="1"/>
    </row>
    <row r="24670">
      <c r="C24670" s="1"/>
    </row>
    <row r="24671">
      <c r="C24671" s="1"/>
    </row>
    <row r="24672">
      <c r="C24672" s="1"/>
    </row>
    <row r="24673">
      <c r="C24673" s="1"/>
    </row>
    <row r="24674">
      <c r="C24674" s="1"/>
    </row>
    <row r="24675">
      <c r="C24675" s="1"/>
    </row>
    <row r="24676">
      <c r="C24676" s="1"/>
    </row>
    <row r="24677">
      <c r="C24677" s="1"/>
    </row>
    <row r="24678">
      <c r="C24678" s="1"/>
    </row>
    <row r="24679">
      <c r="C24679" s="1"/>
    </row>
    <row r="24680">
      <c r="C24680" s="1"/>
    </row>
    <row r="24681">
      <c r="C24681" s="1"/>
    </row>
    <row r="24682">
      <c r="C24682" s="1"/>
    </row>
    <row r="24683">
      <c r="C24683" s="1"/>
    </row>
    <row r="24684">
      <c r="C24684" s="1"/>
    </row>
    <row r="24685">
      <c r="C24685" s="1"/>
    </row>
    <row r="24686">
      <c r="C24686" s="1"/>
    </row>
    <row r="24687">
      <c r="C24687" s="1"/>
    </row>
    <row r="24688">
      <c r="C24688" s="1"/>
    </row>
    <row r="24689">
      <c r="C24689" s="1"/>
    </row>
    <row r="24690">
      <c r="C24690" s="1"/>
    </row>
    <row r="24691">
      <c r="C24691" s="1"/>
    </row>
    <row r="24692">
      <c r="C24692" s="1"/>
    </row>
    <row r="24693">
      <c r="C24693" s="1"/>
    </row>
    <row r="24694">
      <c r="C24694" s="1"/>
    </row>
    <row r="24695">
      <c r="C24695" s="1"/>
    </row>
    <row r="24696">
      <c r="C24696" s="1"/>
    </row>
    <row r="24697">
      <c r="C24697" s="1"/>
    </row>
    <row r="24698">
      <c r="C24698" s="1"/>
    </row>
    <row r="24699">
      <c r="C24699" s="1"/>
    </row>
    <row r="24700">
      <c r="C24700" s="1"/>
    </row>
    <row r="24701">
      <c r="C24701" s="1"/>
    </row>
    <row r="24702">
      <c r="C24702" s="1"/>
    </row>
    <row r="24703">
      <c r="C24703" s="1"/>
    </row>
    <row r="24704">
      <c r="C24704" s="1"/>
    </row>
    <row r="24705">
      <c r="C24705" s="1"/>
    </row>
    <row r="24706">
      <c r="C24706" s="1"/>
    </row>
    <row r="24707">
      <c r="C24707" s="1"/>
    </row>
    <row r="24708">
      <c r="C24708" s="1"/>
    </row>
    <row r="24709">
      <c r="C24709" s="1"/>
    </row>
    <row r="24710">
      <c r="C24710" s="1"/>
    </row>
    <row r="24711">
      <c r="C24711" s="1"/>
    </row>
    <row r="24712">
      <c r="C24712" s="1"/>
    </row>
    <row r="24713">
      <c r="C24713" s="1"/>
    </row>
    <row r="24714">
      <c r="C24714" s="1"/>
    </row>
    <row r="24715">
      <c r="C24715" s="1"/>
    </row>
    <row r="24716">
      <c r="C24716" s="1"/>
    </row>
    <row r="24717">
      <c r="C24717" s="1"/>
    </row>
    <row r="24718">
      <c r="C24718" s="1"/>
    </row>
    <row r="24719">
      <c r="C24719" s="1"/>
    </row>
    <row r="24720">
      <c r="C24720" s="1"/>
    </row>
    <row r="24721">
      <c r="C24721" s="1"/>
    </row>
    <row r="24722">
      <c r="C24722" s="1"/>
    </row>
    <row r="24723">
      <c r="C24723" s="1"/>
    </row>
    <row r="24724">
      <c r="C24724" s="1"/>
    </row>
    <row r="24725">
      <c r="C24725" s="1"/>
    </row>
    <row r="24726">
      <c r="C24726" s="1"/>
    </row>
    <row r="24727">
      <c r="C24727" s="1"/>
    </row>
    <row r="24728">
      <c r="C24728" s="1"/>
    </row>
    <row r="24729">
      <c r="C24729" s="1"/>
    </row>
    <row r="24730">
      <c r="C24730" s="1"/>
    </row>
    <row r="24731">
      <c r="C24731" s="1"/>
    </row>
    <row r="24732">
      <c r="C24732" s="1"/>
    </row>
    <row r="24733">
      <c r="C24733" s="1"/>
    </row>
    <row r="24734">
      <c r="C24734" s="1"/>
    </row>
    <row r="24735">
      <c r="C24735" s="1"/>
    </row>
    <row r="24736">
      <c r="C24736" s="1"/>
    </row>
    <row r="24737">
      <c r="C24737" s="1"/>
    </row>
    <row r="24738">
      <c r="C24738" s="1"/>
    </row>
    <row r="24739">
      <c r="C24739" s="1"/>
    </row>
    <row r="24740">
      <c r="C24740" s="1"/>
    </row>
    <row r="24741">
      <c r="C24741" s="1"/>
    </row>
    <row r="24742">
      <c r="C24742" s="1"/>
    </row>
    <row r="24743">
      <c r="C24743" s="1"/>
    </row>
    <row r="24744">
      <c r="C24744" s="1"/>
    </row>
    <row r="24745">
      <c r="C24745" s="1"/>
    </row>
    <row r="24746">
      <c r="C24746" s="1"/>
    </row>
    <row r="24747">
      <c r="C24747" s="1"/>
    </row>
    <row r="24748">
      <c r="C24748" s="1"/>
    </row>
    <row r="24749">
      <c r="C24749" s="1"/>
    </row>
    <row r="24750">
      <c r="C24750" s="1"/>
    </row>
    <row r="24751">
      <c r="C24751" s="1"/>
    </row>
    <row r="24752">
      <c r="C24752" s="1"/>
    </row>
    <row r="24753">
      <c r="C24753" s="1"/>
    </row>
    <row r="24754">
      <c r="C24754" s="1"/>
    </row>
    <row r="24755">
      <c r="C24755" s="1"/>
    </row>
    <row r="24756">
      <c r="C24756" s="1"/>
    </row>
    <row r="24757">
      <c r="C24757" s="1"/>
    </row>
    <row r="24758">
      <c r="C24758" s="1"/>
    </row>
    <row r="24759">
      <c r="C24759" s="1"/>
    </row>
    <row r="24760">
      <c r="C24760" s="1"/>
    </row>
    <row r="24761">
      <c r="C24761" s="1"/>
    </row>
    <row r="24762">
      <c r="C24762" s="1"/>
    </row>
    <row r="24763">
      <c r="C24763" s="1"/>
    </row>
    <row r="24764">
      <c r="C24764" s="1"/>
    </row>
    <row r="24765">
      <c r="C24765" s="1"/>
    </row>
    <row r="24766">
      <c r="C24766" s="1"/>
    </row>
    <row r="24767">
      <c r="C24767" s="1"/>
    </row>
    <row r="24768">
      <c r="C24768" s="1"/>
    </row>
    <row r="24769">
      <c r="C24769" s="1"/>
    </row>
    <row r="24770">
      <c r="C24770" s="1"/>
    </row>
    <row r="24771">
      <c r="C24771" s="1"/>
    </row>
    <row r="24772">
      <c r="C24772" s="1"/>
    </row>
    <row r="24773">
      <c r="C24773" s="1"/>
    </row>
    <row r="24774">
      <c r="C24774" s="1"/>
    </row>
    <row r="24775">
      <c r="C24775" s="1"/>
    </row>
    <row r="24776">
      <c r="C24776" s="1"/>
    </row>
    <row r="24777">
      <c r="C24777" s="1"/>
    </row>
    <row r="24778">
      <c r="C24778" s="1"/>
    </row>
    <row r="24779">
      <c r="C24779" s="1"/>
    </row>
    <row r="24780">
      <c r="C24780" s="1"/>
    </row>
    <row r="24781">
      <c r="C24781" s="1"/>
    </row>
    <row r="24782">
      <c r="C24782" s="1"/>
    </row>
    <row r="24783">
      <c r="C24783" s="1"/>
    </row>
    <row r="24784">
      <c r="C24784" s="1"/>
    </row>
    <row r="24785">
      <c r="C24785" s="1"/>
    </row>
    <row r="24786">
      <c r="C24786" s="1"/>
    </row>
    <row r="24787">
      <c r="C24787" s="1"/>
    </row>
    <row r="24788">
      <c r="C24788" s="1"/>
    </row>
    <row r="24789">
      <c r="C24789" s="1"/>
    </row>
    <row r="24790">
      <c r="C24790" s="1"/>
    </row>
    <row r="24791">
      <c r="C24791" s="1"/>
    </row>
    <row r="24792">
      <c r="C24792" s="1"/>
    </row>
    <row r="24793">
      <c r="C24793" s="1"/>
    </row>
    <row r="24794">
      <c r="C24794" s="1"/>
    </row>
    <row r="24795">
      <c r="C24795" s="1"/>
    </row>
    <row r="24796">
      <c r="C24796" s="1"/>
    </row>
    <row r="24797">
      <c r="C24797" s="1"/>
    </row>
    <row r="24798">
      <c r="C24798" s="1"/>
    </row>
    <row r="24799">
      <c r="C24799" s="1"/>
    </row>
    <row r="24800">
      <c r="C24800" s="1"/>
    </row>
    <row r="24801">
      <c r="C24801" s="1"/>
    </row>
    <row r="24802">
      <c r="C24802" s="1"/>
    </row>
    <row r="24803">
      <c r="C24803" s="1"/>
    </row>
    <row r="24804">
      <c r="C24804" s="1"/>
    </row>
    <row r="24805">
      <c r="C24805" s="1"/>
    </row>
    <row r="24806">
      <c r="C24806" s="1"/>
    </row>
    <row r="24807">
      <c r="C24807" s="1"/>
    </row>
    <row r="24808">
      <c r="C24808" s="1"/>
    </row>
    <row r="24809">
      <c r="C24809" s="1"/>
    </row>
    <row r="24810">
      <c r="C24810" s="1"/>
    </row>
    <row r="24811">
      <c r="C24811" s="1"/>
    </row>
    <row r="24812">
      <c r="C24812" s="1"/>
    </row>
    <row r="24813">
      <c r="C24813" s="1"/>
    </row>
    <row r="24814">
      <c r="C24814" s="1"/>
    </row>
    <row r="24815">
      <c r="C24815" s="1"/>
    </row>
    <row r="24816">
      <c r="C24816" s="1"/>
    </row>
    <row r="24817">
      <c r="C24817" s="1"/>
    </row>
    <row r="24818">
      <c r="C24818" s="1"/>
    </row>
    <row r="24819">
      <c r="C24819" s="1"/>
    </row>
    <row r="24820">
      <c r="C24820" s="1"/>
    </row>
    <row r="24821">
      <c r="C24821" s="1"/>
    </row>
    <row r="24822">
      <c r="C24822" s="1"/>
    </row>
    <row r="24823">
      <c r="C24823" s="1"/>
    </row>
    <row r="24824">
      <c r="C24824" s="1"/>
    </row>
    <row r="24825">
      <c r="C24825" s="1"/>
    </row>
    <row r="24826">
      <c r="C24826" s="1"/>
    </row>
    <row r="24827">
      <c r="C24827" s="1"/>
    </row>
    <row r="24828">
      <c r="C24828" s="1"/>
    </row>
    <row r="24829">
      <c r="C24829" s="1"/>
    </row>
    <row r="24830">
      <c r="C24830" s="1"/>
    </row>
    <row r="24831">
      <c r="C24831" s="1"/>
    </row>
    <row r="24832">
      <c r="C24832" s="1"/>
    </row>
    <row r="24833">
      <c r="C24833" s="1"/>
    </row>
    <row r="24834">
      <c r="C24834" s="1"/>
    </row>
    <row r="24835">
      <c r="C24835" s="1"/>
    </row>
    <row r="24836">
      <c r="C24836" s="1"/>
    </row>
    <row r="24837">
      <c r="C24837" s="1"/>
    </row>
    <row r="24838">
      <c r="C24838" s="1"/>
    </row>
    <row r="24839">
      <c r="C24839" s="1"/>
    </row>
    <row r="24840">
      <c r="C24840" s="1"/>
    </row>
    <row r="24841">
      <c r="C24841" s="1"/>
    </row>
    <row r="24842">
      <c r="C24842" s="1"/>
    </row>
    <row r="24843">
      <c r="C24843" s="1"/>
    </row>
    <row r="24844">
      <c r="C24844" s="1"/>
    </row>
    <row r="24845">
      <c r="C24845" s="1"/>
    </row>
    <row r="24846">
      <c r="C24846" s="1"/>
    </row>
    <row r="24847">
      <c r="C24847" s="1"/>
    </row>
    <row r="24848">
      <c r="C24848" s="1"/>
    </row>
    <row r="24849">
      <c r="C24849" s="1"/>
    </row>
    <row r="24850">
      <c r="C24850" s="1"/>
    </row>
    <row r="24851">
      <c r="C24851" s="1"/>
    </row>
    <row r="24852">
      <c r="C24852" s="1"/>
    </row>
    <row r="24853">
      <c r="C24853" s="1"/>
    </row>
    <row r="24854">
      <c r="C24854" s="1"/>
    </row>
    <row r="24855">
      <c r="C24855" s="1"/>
    </row>
    <row r="24856">
      <c r="C24856" s="1"/>
    </row>
    <row r="24857">
      <c r="C24857" s="1"/>
    </row>
    <row r="24858">
      <c r="C24858" s="1"/>
    </row>
    <row r="24859">
      <c r="C24859" s="1"/>
    </row>
    <row r="24860">
      <c r="C24860" s="1"/>
    </row>
    <row r="24861">
      <c r="C24861" s="1"/>
    </row>
    <row r="24862">
      <c r="C24862" s="1"/>
    </row>
    <row r="24863">
      <c r="C24863" s="1"/>
    </row>
    <row r="24864">
      <c r="C24864" s="1"/>
    </row>
    <row r="24865">
      <c r="C24865" s="1"/>
    </row>
    <row r="24866">
      <c r="C24866" s="1"/>
    </row>
    <row r="24867">
      <c r="C24867" s="1"/>
    </row>
    <row r="24868">
      <c r="C24868" s="1"/>
    </row>
    <row r="24869">
      <c r="C24869" s="1"/>
    </row>
    <row r="24870">
      <c r="C24870" s="1"/>
    </row>
    <row r="24871">
      <c r="C24871" s="1"/>
    </row>
    <row r="24872">
      <c r="C24872" s="1"/>
    </row>
    <row r="24873">
      <c r="C24873" s="1"/>
    </row>
    <row r="24874">
      <c r="C24874" s="1"/>
    </row>
    <row r="24875">
      <c r="C24875" s="1"/>
    </row>
    <row r="24876">
      <c r="C24876" s="1"/>
    </row>
    <row r="24877">
      <c r="C24877" s="1"/>
    </row>
    <row r="24878">
      <c r="C24878" s="1"/>
    </row>
    <row r="24879">
      <c r="C24879" s="1"/>
    </row>
    <row r="24880">
      <c r="C24880" s="1"/>
    </row>
    <row r="24881">
      <c r="C24881" s="1"/>
    </row>
    <row r="24882">
      <c r="C24882" s="1"/>
    </row>
    <row r="24883">
      <c r="C24883" s="1"/>
    </row>
    <row r="24884">
      <c r="C24884" s="1"/>
    </row>
    <row r="24885">
      <c r="C24885" s="1"/>
    </row>
    <row r="24886">
      <c r="C24886" s="1"/>
    </row>
    <row r="24887">
      <c r="C24887" s="1"/>
    </row>
    <row r="24888">
      <c r="C24888" s="1"/>
    </row>
    <row r="24889">
      <c r="C24889" s="1"/>
    </row>
    <row r="24890">
      <c r="C24890" s="1"/>
    </row>
    <row r="24891">
      <c r="C24891" s="1"/>
    </row>
    <row r="24892">
      <c r="C24892" s="1"/>
    </row>
    <row r="24893">
      <c r="C24893" s="1"/>
    </row>
    <row r="24894">
      <c r="C24894" s="1"/>
    </row>
    <row r="24895">
      <c r="C24895" s="1"/>
    </row>
    <row r="24896">
      <c r="C24896" s="1"/>
    </row>
    <row r="24897">
      <c r="C24897" s="1"/>
    </row>
    <row r="24898">
      <c r="C24898" s="1"/>
    </row>
    <row r="24899">
      <c r="C24899" s="1"/>
    </row>
    <row r="24900">
      <c r="C24900" s="1"/>
    </row>
    <row r="24901">
      <c r="C24901" s="1"/>
    </row>
    <row r="24902">
      <c r="C24902" s="1"/>
    </row>
    <row r="24903">
      <c r="C24903" s="1"/>
    </row>
    <row r="24904">
      <c r="C24904" s="1"/>
    </row>
    <row r="24905">
      <c r="C24905" s="1"/>
    </row>
    <row r="24906">
      <c r="C24906" s="1"/>
    </row>
    <row r="24907">
      <c r="C24907" s="1"/>
    </row>
    <row r="24908">
      <c r="C24908" s="1"/>
    </row>
    <row r="24909">
      <c r="C24909" s="1"/>
    </row>
    <row r="24910">
      <c r="C24910" s="1"/>
    </row>
    <row r="24911">
      <c r="C24911" s="1"/>
    </row>
    <row r="24912">
      <c r="C24912" s="1"/>
    </row>
    <row r="24913">
      <c r="C24913" s="1"/>
    </row>
    <row r="24914">
      <c r="C24914" s="1"/>
    </row>
    <row r="24915">
      <c r="C24915" s="1"/>
    </row>
    <row r="24916">
      <c r="C24916" s="1"/>
    </row>
    <row r="24917">
      <c r="C24917" s="1"/>
    </row>
    <row r="24918">
      <c r="C24918" s="1"/>
    </row>
    <row r="24919">
      <c r="C24919" s="1"/>
    </row>
    <row r="24920">
      <c r="C24920" s="1"/>
    </row>
    <row r="24921">
      <c r="C24921" s="1"/>
    </row>
    <row r="24922">
      <c r="C24922" s="1"/>
    </row>
    <row r="24923">
      <c r="C24923" s="1"/>
    </row>
    <row r="24924">
      <c r="C24924" s="1"/>
    </row>
    <row r="24925">
      <c r="C24925" s="1"/>
    </row>
    <row r="24926">
      <c r="C24926" s="1"/>
    </row>
    <row r="24927">
      <c r="C24927" s="1"/>
    </row>
    <row r="24928">
      <c r="C24928" s="1"/>
    </row>
    <row r="24929">
      <c r="C24929" s="1"/>
    </row>
    <row r="24930">
      <c r="C24930" s="1"/>
    </row>
    <row r="24931">
      <c r="C24931" s="1"/>
    </row>
    <row r="24932">
      <c r="C24932" s="1"/>
    </row>
    <row r="24933">
      <c r="C24933" s="1"/>
    </row>
    <row r="24934">
      <c r="C24934" s="1"/>
    </row>
    <row r="24935">
      <c r="C24935" s="1"/>
    </row>
    <row r="24936">
      <c r="C24936" s="1"/>
    </row>
    <row r="24937">
      <c r="C24937" s="1"/>
    </row>
    <row r="24938">
      <c r="C24938" s="1"/>
    </row>
    <row r="24939">
      <c r="C24939" s="1"/>
    </row>
    <row r="24940">
      <c r="C24940" s="1"/>
    </row>
    <row r="24941">
      <c r="C24941" s="1"/>
    </row>
    <row r="24942">
      <c r="C24942" s="1"/>
    </row>
    <row r="24943">
      <c r="C24943" s="1"/>
    </row>
    <row r="24944">
      <c r="C24944" s="1"/>
    </row>
    <row r="24945">
      <c r="C24945" s="1"/>
    </row>
    <row r="24946">
      <c r="C24946" s="1"/>
    </row>
    <row r="24947">
      <c r="C24947" s="1"/>
    </row>
    <row r="24948">
      <c r="C24948" s="1"/>
    </row>
    <row r="24949">
      <c r="C24949" s="1"/>
    </row>
    <row r="24950">
      <c r="C24950" s="1"/>
    </row>
    <row r="24951">
      <c r="C24951" s="1"/>
    </row>
    <row r="24952">
      <c r="C24952" s="1"/>
    </row>
    <row r="24953">
      <c r="C24953" s="1"/>
    </row>
    <row r="24954">
      <c r="C24954" s="1"/>
    </row>
    <row r="24955">
      <c r="C24955" s="1"/>
    </row>
    <row r="24956">
      <c r="C24956" s="1"/>
    </row>
    <row r="24957">
      <c r="C24957" s="1"/>
    </row>
    <row r="24958">
      <c r="C24958" s="1"/>
    </row>
    <row r="24959">
      <c r="C24959" s="1"/>
    </row>
    <row r="24960">
      <c r="C24960" s="1"/>
    </row>
    <row r="24961">
      <c r="C24961" s="1"/>
    </row>
    <row r="24962">
      <c r="C24962" s="1"/>
    </row>
    <row r="24963">
      <c r="C24963" s="1"/>
    </row>
    <row r="24964">
      <c r="C24964" s="1"/>
    </row>
    <row r="24965">
      <c r="C24965" s="1"/>
    </row>
    <row r="24966">
      <c r="C24966" s="1"/>
    </row>
    <row r="24967">
      <c r="C24967" s="1"/>
    </row>
    <row r="24968">
      <c r="C24968" s="1"/>
    </row>
    <row r="24969">
      <c r="C24969" s="1"/>
    </row>
    <row r="24970">
      <c r="C24970" s="1"/>
    </row>
    <row r="24971">
      <c r="C24971" s="1"/>
    </row>
    <row r="24972">
      <c r="C24972" s="1"/>
    </row>
    <row r="24973">
      <c r="C24973" s="1"/>
    </row>
    <row r="24974">
      <c r="C24974" s="1"/>
    </row>
    <row r="24975">
      <c r="C24975" s="1"/>
    </row>
    <row r="24976">
      <c r="C24976" s="1"/>
    </row>
    <row r="24977">
      <c r="C24977" s="1"/>
    </row>
    <row r="24978">
      <c r="C24978" s="1"/>
    </row>
    <row r="24979">
      <c r="C24979" s="1"/>
    </row>
    <row r="24980">
      <c r="C24980" s="1"/>
    </row>
    <row r="24981">
      <c r="C24981" s="1"/>
    </row>
    <row r="24982">
      <c r="C24982" s="1"/>
    </row>
    <row r="24983">
      <c r="C24983" s="1"/>
    </row>
    <row r="24984">
      <c r="C24984" s="1"/>
    </row>
    <row r="24985">
      <c r="C24985" s="1"/>
    </row>
    <row r="24986">
      <c r="C24986" s="1"/>
    </row>
    <row r="24987">
      <c r="C24987" s="1"/>
    </row>
    <row r="24988">
      <c r="C24988" s="1"/>
    </row>
    <row r="24989">
      <c r="C24989" s="1"/>
    </row>
    <row r="24990">
      <c r="C24990" s="1"/>
    </row>
    <row r="24991">
      <c r="C24991" s="1"/>
    </row>
    <row r="24992">
      <c r="C24992" s="1"/>
    </row>
    <row r="24993">
      <c r="C24993" s="1"/>
    </row>
    <row r="24994">
      <c r="C24994" s="1"/>
    </row>
    <row r="24995">
      <c r="C24995" s="1"/>
    </row>
    <row r="24996">
      <c r="C24996" s="1"/>
    </row>
    <row r="24997">
      <c r="C24997" s="1"/>
    </row>
    <row r="24998">
      <c r="C24998" s="1"/>
    </row>
    <row r="24999">
      <c r="C24999" s="1"/>
    </row>
    <row r="25000">
      <c r="C25000" s="1"/>
    </row>
    <row r="25001">
      <c r="C25001" s="1"/>
    </row>
    <row r="25002">
      <c r="C25002" s="1"/>
    </row>
    <row r="25003">
      <c r="C25003" s="1"/>
    </row>
    <row r="25004">
      <c r="C25004" s="1"/>
    </row>
    <row r="25005">
      <c r="C25005" s="1"/>
    </row>
    <row r="25006">
      <c r="C25006" s="1"/>
    </row>
    <row r="25007">
      <c r="C25007" s="1"/>
    </row>
    <row r="25008">
      <c r="C25008" s="1"/>
    </row>
    <row r="25009">
      <c r="C25009" s="1"/>
    </row>
    <row r="25010">
      <c r="C25010" s="1"/>
    </row>
    <row r="25011">
      <c r="C25011" s="1"/>
    </row>
    <row r="25012">
      <c r="C25012" s="1"/>
    </row>
    <row r="25013">
      <c r="C25013" s="1"/>
    </row>
    <row r="25014">
      <c r="C25014" s="1"/>
    </row>
    <row r="25015">
      <c r="C25015" s="1"/>
    </row>
    <row r="25016">
      <c r="C25016" s="1"/>
    </row>
    <row r="25017">
      <c r="C25017" s="1"/>
    </row>
    <row r="25018">
      <c r="C25018" s="1"/>
    </row>
    <row r="25019">
      <c r="C25019" s="1"/>
    </row>
    <row r="25020">
      <c r="C25020" s="1"/>
    </row>
    <row r="25021">
      <c r="C25021" s="1"/>
    </row>
    <row r="25022">
      <c r="C25022" s="1"/>
    </row>
    <row r="25023">
      <c r="C25023" s="1"/>
    </row>
    <row r="25024">
      <c r="C25024" s="1"/>
    </row>
    <row r="25025">
      <c r="C25025" s="1"/>
    </row>
    <row r="25026">
      <c r="C25026" s="1"/>
    </row>
    <row r="25027">
      <c r="C25027" s="1"/>
    </row>
    <row r="25028">
      <c r="C25028" s="1"/>
    </row>
    <row r="25029">
      <c r="C25029" s="1"/>
    </row>
    <row r="25030">
      <c r="C25030" s="1"/>
    </row>
    <row r="25031">
      <c r="C25031" s="1"/>
    </row>
    <row r="25032">
      <c r="C25032" s="1"/>
    </row>
    <row r="25033">
      <c r="C25033" s="1"/>
    </row>
    <row r="25034">
      <c r="C25034" s="1"/>
    </row>
    <row r="25035">
      <c r="C25035" s="1"/>
    </row>
    <row r="25036">
      <c r="C25036" s="1"/>
    </row>
    <row r="25037">
      <c r="C25037" s="1"/>
    </row>
    <row r="25038">
      <c r="C25038" s="1"/>
    </row>
    <row r="25039">
      <c r="C25039" s="1"/>
    </row>
    <row r="25040">
      <c r="C25040" s="1"/>
    </row>
    <row r="25041">
      <c r="C25041" s="1"/>
    </row>
    <row r="25042">
      <c r="C25042" s="1"/>
    </row>
    <row r="25043">
      <c r="C25043" s="1"/>
    </row>
    <row r="25044">
      <c r="C25044" s="1"/>
    </row>
    <row r="25045">
      <c r="C25045" s="1"/>
    </row>
    <row r="25046">
      <c r="C25046" s="1"/>
    </row>
    <row r="25047">
      <c r="C25047" s="1"/>
    </row>
    <row r="25048">
      <c r="C25048" s="1"/>
    </row>
    <row r="25049">
      <c r="C25049" s="1"/>
    </row>
    <row r="25050">
      <c r="C25050" s="1"/>
    </row>
    <row r="25051">
      <c r="C25051" s="1"/>
    </row>
    <row r="25052">
      <c r="C25052" s="1"/>
    </row>
    <row r="25053">
      <c r="C25053" s="1"/>
    </row>
    <row r="25054">
      <c r="C25054" s="1"/>
    </row>
    <row r="25055">
      <c r="C25055" s="1"/>
    </row>
    <row r="25056">
      <c r="C25056" s="1"/>
    </row>
    <row r="25057">
      <c r="C25057" s="1"/>
    </row>
    <row r="25058">
      <c r="C25058" s="1"/>
    </row>
    <row r="25059">
      <c r="C25059" s="1"/>
    </row>
    <row r="25060">
      <c r="C25060" s="1"/>
    </row>
    <row r="25061">
      <c r="C25061" s="1"/>
    </row>
    <row r="25062">
      <c r="C25062" s="1"/>
    </row>
    <row r="25063">
      <c r="C25063" s="1"/>
    </row>
    <row r="25064">
      <c r="C25064" s="1"/>
    </row>
    <row r="25065">
      <c r="C25065" s="1"/>
    </row>
    <row r="25066">
      <c r="C25066" s="1"/>
    </row>
    <row r="25067">
      <c r="C25067" s="1"/>
    </row>
    <row r="25068">
      <c r="C25068" s="1"/>
    </row>
    <row r="25069">
      <c r="C25069" s="1"/>
    </row>
    <row r="25070">
      <c r="C25070" s="1"/>
    </row>
    <row r="25071">
      <c r="C25071" s="1"/>
    </row>
    <row r="25072">
      <c r="C25072" s="1"/>
    </row>
    <row r="25073">
      <c r="C25073" s="1"/>
    </row>
    <row r="25074">
      <c r="C25074" s="1"/>
    </row>
    <row r="25075">
      <c r="C25075" s="1"/>
    </row>
    <row r="25076">
      <c r="C25076" s="1"/>
    </row>
    <row r="25077">
      <c r="C25077" s="1"/>
    </row>
    <row r="25078">
      <c r="C25078" s="1"/>
    </row>
    <row r="25079">
      <c r="C25079" s="1"/>
    </row>
    <row r="25080">
      <c r="C25080" s="1"/>
    </row>
    <row r="25081">
      <c r="C25081" s="1"/>
    </row>
    <row r="25082">
      <c r="C25082" s="1"/>
    </row>
    <row r="25083">
      <c r="C25083" s="1"/>
    </row>
    <row r="25084">
      <c r="C25084" s="1"/>
    </row>
    <row r="25085">
      <c r="C25085" s="1"/>
    </row>
    <row r="25086">
      <c r="C25086" s="1"/>
    </row>
    <row r="25087">
      <c r="C25087" s="1"/>
    </row>
    <row r="25088">
      <c r="C25088" s="1"/>
    </row>
    <row r="25089">
      <c r="C25089" s="1"/>
    </row>
    <row r="25090">
      <c r="C25090" s="1"/>
    </row>
    <row r="25091">
      <c r="C25091" s="1"/>
    </row>
    <row r="25092">
      <c r="C25092" s="1"/>
    </row>
    <row r="25093">
      <c r="C25093" s="1"/>
    </row>
    <row r="25094">
      <c r="C25094" s="1"/>
    </row>
    <row r="25095">
      <c r="C25095" s="1"/>
    </row>
    <row r="25096">
      <c r="C25096" s="1"/>
    </row>
    <row r="25097">
      <c r="C25097" s="1"/>
    </row>
    <row r="25098">
      <c r="C25098" s="1"/>
    </row>
    <row r="25099">
      <c r="C25099" s="1"/>
    </row>
    <row r="25100">
      <c r="C25100" s="1"/>
    </row>
    <row r="25101">
      <c r="C25101" s="1"/>
    </row>
    <row r="25102">
      <c r="C25102" s="1"/>
    </row>
    <row r="25103">
      <c r="C25103" s="1"/>
    </row>
    <row r="25104">
      <c r="C25104" s="1"/>
    </row>
    <row r="25105">
      <c r="C25105" s="1"/>
    </row>
    <row r="25106">
      <c r="C25106" s="1"/>
    </row>
    <row r="25107">
      <c r="C25107" s="1"/>
    </row>
    <row r="25108">
      <c r="C25108" s="1"/>
    </row>
    <row r="25109">
      <c r="C25109" s="1"/>
    </row>
    <row r="25110">
      <c r="C25110" s="1"/>
    </row>
    <row r="25111">
      <c r="C25111" s="1"/>
    </row>
    <row r="25112">
      <c r="C25112" s="1"/>
    </row>
    <row r="25113">
      <c r="C25113" s="1"/>
    </row>
    <row r="25114">
      <c r="C25114" s="1"/>
    </row>
    <row r="25115">
      <c r="C25115" s="1"/>
    </row>
    <row r="25116">
      <c r="C25116" s="1"/>
    </row>
    <row r="25117">
      <c r="C25117" s="1"/>
    </row>
    <row r="25118">
      <c r="C25118" s="1"/>
    </row>
    <row r="25119">
      <c r="C25119" s="1"/>
    </row>
    <row r="25120">
      <c r="C25120" s="1"/>
    </row>
    <row r="25121">
      <c r="C25121" s="1"/>
    </row>
    <row r="25122">
      <c r="C25122" s="1"/>
    </row>
    <row r="25123">
      <c r="C25123" s="1"/>
    </row>
    <row r="25124">
      <c r="C25124" s="1"/>
    </row>
    <row r="25125">
      <c r="C25125" s="1"/>
    </row>
    <row r="25126">
      <c r="C25126" s="1"/>
    </row>
    <row r="25127">
      <c r="C25127" s="1"/>
    </row>
    <row r="25128">
      <c r="C25128" s="1"/>
    </row>
    <row r="25129">
      <c r="C25129" s="1"/>
    </row>
    <row r="25130">
      <c r="C25130" s="1"/>
    </row>
    <row r="25131">
      <c r="C25131" s="1"/>
    </row>
    <row r="25132">
      <c r="C25132" s="1"/>
    </row>
    <row r="25133">
      <c r="C25133" s="1"/>
    </row>
    <row r="25134">
      <c r="C25134" s="1"/>
    </row>
    <row r="25135">
      <c r="C25135" s="1"/>
    </row>
    <row r="25136">
      <c r="C25136" s="1"/>
    </row>
    <row r="25137">
      <c r="C25137" s="1"/>
    </row>
    <row r="25138">
      <c r="C25138" s="1"/>
    </row>
    <row r="25139">
      <c r="C25139" s="1"/>
    </row>
    <row r="25140">
      <c r="C25140" s="1"/>
    </row>
    <row r="25141">
      <c r="C25141" s="1"/>
    </row>
    <row r="25142">
      <c r="C25142" s="1"/>
    </row>
    <row r="25143">
      <c r="C25143" s="1"/>
    </row>
    <row r="25144">
      <c r="C25144" s="1"/>
    </row>
    <row r="25145">
      <c r="C25145" s="1"/>
    </row>
    <row r="25146">
      <c r="C25146" s="1"/>
    </row>
    <row r="25147">
      <c r="C25147" s="1"/>
    </row>
    <row r="25148">
      <c r="C25148" s="1"/>
    </row>
    <row r="25149">
      <c r="C25149" s="1"/>
    </row>
    <row r="25150">
      <c r="C25150" s="1"/>
    </row>
    <row r="25151">
      <c r="C25151" s="1"/>
    </row>
    <row r="25152">
      <c r="C25152" s="1"/>
    </row>
    <row r="25153">
      <c r="C25153" s="1"/>
    </row>
    <row r="25154">
      <c r="C25154" s="1"/>
    </row>
    <row r="25155">
      <c r="C25155" s="1"/>
    </row>
    <row r="25156">
      <c r="C25156" s="1"/>
    </row>
    <row r="25157">
      <c r="C25157" s="1"/>
    </row>
    <row r="25158">
      <c r="C25158" s="1"/>
    </row>
    <row r="25159">
      <c r="C25159" s="1"/>
    </row>
    <row r="25160">
      <c r="C25160" s="1"/>
    </row>
    <row r="25161">
      <c r="C25161" s="1"/>
    </row>
    <row r="25162">
      <c r="C25162" s="1"/>
    </row>
    <row r="25163">
      <c r="C25163" s="1"/>
    </row>
    <row r="25164">
      <c r="C25164" s="1"/>
    </row>
    <row r="25165">
      <c r="C25165" s="1"/>
    </row>
    <row r="25166">
      <c r="C25166" s="1"/>
    </row>
    <row r="25167">
      <c r="C25167" s="1"/>
    </row>
    <row r="25168">
      <c r="C25168" s="1"/>
    </row>
    <row r="25169">
      <c r="C25169" s="1"/>
    </row>
    <row r="25170">
      <c r="C25170" s="1"/>
    </row>
    <row r="25171">
      <c r="C25171" s="1"/>
    </row>
    <row r="25172">
      <c r="C25172" s="1"/>
    </row>
    <row r="25173">
      <c r="C25173" s="1"/>
    </row>
    <row r="25174">
      <c r="C25174" s="1"/>
    </row>
    <row r="25175">
      <c r="C25175" s="1"/>
    </row>
    <row r="25176">
      <c r="C25176" s="1"/>
    </row>
    <row r="25177">
      <c r="C25177" s="1"/>
    </row>
    <row r="25178">
      <c r="C25178" s="1"/>
    </row>
    <row r="25179">
      <c r="C25179" s="1"/>
    </row>
    <row r="25180">
      <c r="C25180" s="1"/>
    </row>
    <row r="25181">
      <c r="C25181" s="1"/>
    </row>
    <row r="25182">
      <c r="C25182" s="1"/>
    </row>
    <row r="25183">
      <c r="C25183" s="1"/>
    </row>
    <row r="25184">
      <c r="C25184" s="1"/>
    </row>
    <row r="25185">
      <c r="C25185" s="1"/>
    </row>
    <row r="25186">
      <c r="C25186" s="1"/>
    </row>
    <row r="25187">
      <c r="C25187" s="1"/>
    </row>
    <row r="25188">
      <c r="C25188" s="1"/>
    </row>
    <row r="25189">
      <c r="C25189" s="1"/>
    </row>
    <row r="25190">
      <c r="C25190" s="1"/>
    </row>
    <row r="25191">
      <c r="C25191" s="1"/>
    </row>
    <row r="25192">
      <c r="C25192" s="1"/>
    </row>
    <row r="25193">
      <c r="C25193" s="1"/>
    </row>
    <row r="25194">
      <c r="C25194" s="1"/>
    </row>
    <row r="25195">
      <c r="C25195" s="1"/>
    </row>
    <row r="25196">
      <c r="C25196" s="1"/>
    </row>
    <row r="25197">
      <c r="C25197" s="1"/>
    </row>
    <row r="25198">
      <c r="C25198" s="1"/>
    </row>
    <row r="25199">
      <c r="C25199" s="1"/>
    </row>
    <row r="25200">
      <c r="C25200" s="1"/>
    </row>
    <row r="25201">
      <c r="C25201" s="1"/>
    </row>
    <row r="25202">
      <c r="C25202" s="1"/>
    </row>
    <row r="25203">
      <c r="C25203" s="1"/>
    </row>
    <row r="25204">
      <c r="C25204" s="1"/>
    </row>
    <row r="25205">
      <c r="C25205" s="1"/>
    </row>
    <row r="25206">
      <c r="C25206" s="1"/>
    </row>
    <row r="25207">
      <c r="C25207" s="1"/>
    </row>
    <row r="25208">
      <c r="C25208" s="1"/>
    </row>
    <row r="25209">
      <c r="C25209" s="1"/>
    </row>
    <row r="25210">
      <c r="C25210" s="1"/>
    </row>
    <row r="25211">
      <c r="C25211" s="1"/>
    </row>
    <row r="25212">
      <c r="C25212" s="1"/>
    </row>
    <row r="25213">
      <c r="C25213" s="1"/>
    </row>
    <row r="25214">
      <c r="C25214" s="1"/>
    </row>
    <row r="25215">
      <c r="C25215" s="1"/>
    </row>
    <row r="25216">
      <c r="C25216" s="1"/>
    </row>
    <row r="25217">
      <c r="C25217" s="1"/>
    </row>
    <row r="25218">
      <c r="C25218" s="1"/>
    </row>
    <row r="25219">
      <c r="C25219" s="1"/>
    </row>
    <row r="25220">
      <c r="C25220" s="1"/>
    </row>
    <row r="25221">
      <c r="C25221" s="1"/>
    </row>
    <row r="25222">
      <c r="C25222" s="1"/>
    </row>
    <row r="25223">
      <c r="C25223" s="1"/>
    </row>
    <row r="25224">
      <c r="C25224" s="1"/>
    </row>
    <row r="25225">
      <c r="C25225" s="1"/>
    </row>
    <row r="25226">
      <c r="C25226" s="1"/>
    </row>
    <row r="25227">
      <c r="C25227" s="1"/>
    </row>
    <row r="25228">
      <c r="C25228" s="1"/>
    </row>
    <row r="25229">
      <c r="C25229" s="1"/>
    </row>
    <row r="25230">
      <c r="C25230" s="1"/>
    </row>
    <row r="25231">
      <c r="C25231" s="1"/>
    </row>
    <row r="25232">
      <c r="C25232" s="1"/>
    </row>
    <row r="25233">
      <c r="C25233" s="1"/>
    </row>
    <row r="25234">
      <c r="C25234" s="1"/>
    </row>
    <row r="25235">
      <c r="C25235" s="1"/>
    </row>
    <row r="25236">
      <c r="C25236" s="1"/>
    </row>
    <row r="25237">
      <c r="C25237" s="1"/>
    </row>
    <row r="25238">
      <c r="C25238" s="1"/>
    </row>
    <row r="25239">
      <c r="C25239" s="1"/>
    </row>
    <row r="25240">
      <c r="C25240" s="1"/>
    </row>
    <row r="25241">
      <c r="C25241" s="1"/>
    </row>
    <row r="25242">
      <c r="C25242" s="1"/>
    </row>
    <row r="25243">
      <c r="C25243" s="1"/>
    </row>
    <row r="25244">
      <c r="C25244" s="1"/>
    </row>
    <row r="25245">
      <c r="C25245" s="1"/>
    </row>
    <row r="25246">
      <c r="C25246" s="1"/>
    </row>
    <row r="25247">
      <c r="C25247" s="1"/>
    </row>
    <row r="25248">
      <c r="C25248" s="1"/>
    </row>
    <row r="25249">
      <c r="C25249" s="1"/>
    </row>
    <row r="25250">
      <c r="C25250" s="1"/>
    </row>
    <row r="25251">
      <c r="C25251" s="1"/>
    </row>
    <row r="25252">
      <c r="C25252" s="1"/>
    </row>
    <row r="25253">
      <c r="C25253" s="1"/>
    </row>
    <row r="25254">
      <c r="C25254" s="1"/>
    </row>
    <row r="25255">
      <c r="C25255" s="1"/>
    </row>
    <row r="25256">
      <c r="C25256" s="1"/>
    </row>
    <row r="25257">
      <c r="C25257" s="1"/>
    </row>
    <row r="25258">
      <c r="C25258" s="1"/>
    </row>
    <row r="25259">
      <c r="C25259" s="1"/>
    </row>
    <row r="25260">
      <c r="C25260" s="1"/>
    </row>
    <row r="25261">
      <c r="C25261" s="1"/>
    </row>
    <row r="25262">
      <c r="C25262" s="1"/>
    </row>
    <row r="25263">
      <c r="C25263" s="1"/>
    </row>
    <row r="25264">
      <c r="C25264" s="1"/>
    </row>
    <row r="25265">
      <c r="C25265" s="1"/>
    </row>
    <row r="25266">
      <c r="C25266" s="1"/>
    </row>
    <row r="25267">
      <c r="C25267" s="1"/>
    </row>
    <row r="25268">
      <c r="C25268" s="1"/>
    </row>
    <row r="25269">
      <c r="C25269" s="1"/>
    </row>
    <row r="25270">
      <c r="C25270" s="1"/>
    </row>
    <row r="25271">
      <c r="C25271" s="1"/>
    </row>
    <row r="25272">
      <c r="C25272" s="1"/>
    </row>
    <row r="25273">
      <c r="C25273" s="1"/>
    </row>
    <row r="25274">
      <c r="C25274" s="1"/>
    </row>
    <row r="25275">
      <c r="C25275" s="1"/>
    </row>
    <row r="25276">
      <c r="C25276" s="1"/>
    </row>
    <row r="25277">
      <c r="C25277" s="1"/>
    </row>
    <row r="25278">
      <c r="C25278" s="1"/>
    </row>
    <row r="25279">
      <c r="C25279" s="1"/>
    </row>
    <row r="25280">
      <c r="C25280" s="1"/>
    </row>
    <row r="25281">
      <c r="C25281" s="1"/>
    </row>
    <row r="25282">
      <c r="C25282" s="1"/>
    </row>
    <row r="25283">
      <c r="C25283" s="1"/>
    </row>
    <row r="25284">
      <c r="C25284" s="1"/>
    </row>
    <row r="25285">
      <c r="C25285" s="1"/>
    </row>
    <row r="25286">
      <c r="C25286" s="1"/>
    </row>
    <row r="25287">
      <c r="C25287" s="1"/>
    </row>
    <row r="25288">
      <c r="C25288" s="1"/>
    </row>
    <row r="25289">
      <c r="C25289" s="1"/>
    </row>
    <row r="25290">
      <c r="C25290" s="1"/>
    </row>
    <row r="25291">
      <c r="C25291" s="1"/>
    </row>
    <row r="25292">
      <c r="C25292" s="1"/>
    </row>
    <row r="25293">
      <c r="C25293" s="1"/>
    </row>
    <row r="25294">
      <c r="C25294" s="1"/>
    </row>
    <row r="25295">
      <c r="C25295" s="1"/>
    </row>
    <row r="25296">
      <c r="C25296" s="1"/>
    </row>
    <row r="25297">
      <c r="C25297" s="1"/>
    </row>
    <row r="25298">
      <c r="C25298" s="1"/>
    </row>
    <row r="25299">
      <c r="C25299" s="1"/>
    </row>
    <row r="25300">
      <c r="C25300" s="1"/>
    </row>
    <row r="25301">
      <c r="C25301" s="1"/>
    </row>
    <row r="25302">
      <c r="C25302" s="1"/>
    </row>
    <row r="25303">
      <c r="C25303" s="1"/>
    </row>
    <row r="25304">
      <c r="C25304" s="1"/>
    </row>
    <row r="25305">
      <c r="C25305" s="1"/>
    </row>
    <row r="25306">
      <c r="C25306" s="1"/>
    </row>
    <row r="25307">
      <c r="C25307" s="1"/>
    </row>
    <row r="25308">
      <c r="C25308" s="1"/>
    </row>
    <row r="25309">
      <c r="C25309" s="1"/>
    </row>
    <row r="25310">
      <c r="C25310" s="1"/>
    </row>
    <row r="25311">
      <c r="C25311" s="1"/>
    </row>
    <row r="25312">
      <c r="C25312" s="1"/>
    </row>
    <row r="25313">
      <c r="C25313" s="1"/>
    </row>
    <row r="25314">
      <c r="C25314" s="1"/>
    </row>
    <row r="25315">
      <c r="C25315" s="1"/>
    </row>
    <row r="25316">
      <c r="C25316" s="1"/>
    </row>
    <row r="25317">
      <c r="C25317" s="1"/>
    </row>
    <row r="25318">
      <c r="C25318" s="1"/>
    </row>
    <row r="25319">
      <c r="C25319" s="1"/>
    </row>
    <row r="25320">
      <c r="C25320" s="1"/>
    </row>
    <row r="25321">
      <c r="C25321" s="1"/>
    </row>
    <row r="25322">
      <c r="C25322" s="1"/>
    </row>
    <row r="25323">
      <c r="C25323" s="1"/>
    </row>
    <row r="25324">
      <c r="C25324" s="1"/>
    </row>
    <row r="25325">
      <c r="C25325" s="1"/>
    </row>
    <row r="25326">
      <c r="C25326" s="1"/>
    </row>
    <row r="25327">
      <c r="C25327" s="1"/>
    </row>
    <row r="25328">
      <c r="C25328" s="1"/>
    </row>
    <row r="25329">
      <c r="C25329" s="1"/>
    </row>
    <row r="25330">
      <c r="C25330" s="1"/>
    </row>
    <row r="25331">
      <c r="C25331" s="1"/>
    </row>
    <row r="25332">
      <c r="C25332" s="1"/>
    </row>
    <row r="25333">
      <c r="C25333" s="1"/>
    </row>
    <row r="25334">
      <c r="C25334" s="1"/>
    </row>
    <row r="25335">
      <c r="C25335" s="1"/>
    </row>
    <row r="25336">
      <c r="C25336" s="1"/>
    </row>
    <row r="25337">
      <c r="C25337" s="1"/>
    </row>
    <row r="25338">
      <c r="C25338" s="1"/>
    </row>
    <row r="25339">
      <c r="C25339" s="1"/>
    </row>
    <row r="25340">
      <c r="C25340" s="1"/>
    </row>
    <row r="25341">
      <c r="C25341" s="1"/>
    </row>
    <row r="25342">
      <c r="C25342" s="1"/>
    </row>
    <row r="25343">
      <c r="C25343" s="1"/>
    </row>
    <row r="25344">
      <c r="C25344" s="1"/>
    </row>
    <row r="25345">
      <c r="C25345" s="1"/>
    </row>
    <row r="25346">
      <c r="C25346" s="1"/>
    </row>
    <row r="25347">
      <c r="C25347" s="1"/>
    </row>
    <row r="25348">
      <c r="C25348" s="1"/>
    </row>
    <row r="25349">
      <c r="C25349" s="1"/>
    </row>
    <row r="25350">
      <c r="C25350" s="1"/>
    </row>
    <row r="25351">
      <c r="C25351" s="1"/>
    </row>
    <row r="25352">
      <c r="C25352" s="1"/>
    </row>
    <row r="25353">
      <c r="C25353" s="1"/>
    </row>
    <row r="25354">
      <c r="C25354" s="1"/>
    </row>
    <row r="25355">
      <c r="C25355" s="1"/>
    </row>
    <row r="25356">
      <c r="C25356" s="1"/>
    </row>
    <row r="25357">
      <c r="C25357" s="1"/>
    </row>
    <row r="25358">
      <c r="C25358" s="1"/>
    </row>
    <row r="25359">
      <c r="C25359" s="1"/>
    </row>
    <row r="25360">
      <c r="C25360" s="1"/>
    </row>
    <row r="25361">
      <c r="C25361" s="1"/>
    </row>
    <row r="25362">
      <c r="C25362" s="1"/>
    </row>
    <row r="25363">
      <c r="C25363" s="1"/>
    </row>
    <row r="25364">
      <c r="C25364" s="1"/>
    </row>
    <row r="25365">
      <c r="C25365" s="1"/>
    </row>
    <row r="25366">
      <c r="C25366" s="1"/>
    </row>
    <row r="25367">
      <c r="C25367" s="1"/>
    </row>
    <row r="25368">
      <c r="C25368" s="1"/>
    </row>
    <row r="25369">
      <c r="C25369" s="1"/>
    </row>
    <row r="25370">
      <c r="C25370" s="1"/>
    </row>
    <row r="25371">
      <c r="C25371" s="1"/>
    </row>
    <row r="25372">
      <c r="C25372" s="1"/>
    </row>
    <row r="25373">
      <c r="C25373" s="1"/>
    </row>
    <row r="25374">
      <c r="C25374" s="1"/>
    </row>
    <row r="25375">
      <c r="C25375" s="1"/>
    </row>
    <row r="25376">
      <c r="C25376" s="1"/>
    </row>
    <row r="25377">
      <c r="C25377" s="1"/>
    </row>
    <row r="25378">
      <c r="C25378" s="1"/>
    </row>
    <row r="25379">
      <c r="C25379" s="1"/>
    </row>
    <row r="25380">
      <c r="C25380" s="1"/>
    </row>
    <row r="25381">
      <c r="C25381" s="1"/>
    </row>
    <row r="25382">
      <c r="C25382" s="1"/>
    </row>
    <row r="25383">
      <c r="C25383" s="1"/>
    </row>
    <row r="25384">
      <c r="C25384" s="1"/>
    </row>
    <row r="25385">
      <c r="C25385" s="1"/>
    </row>
    <row r="25386">
      <c r="C25386" s="1"/>
    </row>
    <row r="25387">
      <c r="C25387" s="1"/>
    </row>
    <row r="25388">
      <c r="C25388" s="1"/>
    </row>
    <row r="25389">
      <c r="C25389" s="1"/>
    </row>
    <row r="25390">
      <c r="C25390" s="1"/>
    </row>
    <row r="25391">
      <c r="C25391" s="1"/>
    </row>
    <row r="25392">
      <c r="C25392" s="1"/>
    </row>
    <row r="25393">
      <c r="C25393" s="1"/>
    </row>
    <row r="25394">
      <c r="C25394" s="1"/>
    </row>
    <row r="25395">
      <c r="C25395" s="1"/>
    </row>
    <row r="25396">
      <c r="C25396" s="1"/>
    </row>
    <row r="25397">
      <c r="C25397" s="1"/>
    </row>
    <row r="25398">
      <c r="C25398" s="1"/>
    </row>
    <row r="25399">
      <c r="C25399" s="1"/>
    </row>
    <row r="25400">
      <c r="C25400" s="1"/>
    </row>
    <row r="25401">
      <c r="C25401" s="1"/>
    </row>
    <row r="25402">
      <c r="C25402" s="1"/>
    </row>
    <row r="25403">
      <c r="C25403" s="1"/>
    </row>
    <row r="25404">
      <c r="C25404" s="1"/>
    </row>
    <row r="25405">
      <c r="C25405" s="1"/>
    </row>
    <row r="25406">
      <c r="C25406" s="1"/>
    </row>
    <row r="25407">
      <c r="C25407" s="1"/>
    </row>
    <row r="25408">
      <c r="C25408" s="1"/>
    </row>
    <row r="25409">
      <c r="C25409" s="1"/>
    </row>
    <row r="25410">
      <c r="C25410" s="1"/>
    </row>
    <row r="25411">
      <c r="C25411" s="1"/>
    </row>
    <row r="25412">
      <c r="C25412" s="1"/>
    </row>
    <row r="25413">
      <c r="C25413" s="1"/>
    </row>
    <row r="25414">
      <c r="C25414" s="1"/>
    </row>
    <row r="25415">
      <c r="C25415" s="1"/>
    </row>
    <row r="25416">
      <c r="C25416" s="1"/>
    </row>
    <row r="25417">
      <c r="C25417" s="1"/>
    </row>
    <row r="25418">
      <c r="C25418" s="1"/>
    </row>
    <row r="25419">
      <c r="C25419" s="1"/>
    </row>
    <row r="25420">
      <c r="C25420" s="1"/>
    </row>
    <row r="25421">
      <c r="C25421" s="1"/>
    </row>
    <row r="25422">
      <c r="C25422" s="1"/>
    </row>
    <row r="25423">
      <c r="C25423" s="1"/>
    </row>
    <row r="25424">
      <c r="C25424" s="1"/>
    </row>
    <row r="25425">
      <c r="C25425" s="1"/>
    </row>
    <row r="25426">
      <c r="C25426" s="1"/>
    </row>
    <row r="25427">
      <c r="C25427" s="1"/>
    </row>
    <row r="25428">
      <c r="C25428" s="1"/>
    </row>
    <row r="25429">
      <c r="C25429" s="1"/>
    </row>
    <row r="25430">
      <c r="C25430" s="1"/>
    </row>
    <row r="25431">
      <c r="C25431" s="1"/>
    </row>
    <row r="25432">
      <c r="C25432" s="1"/>
    </row>
    <row r="25433">
      <c r="C25433" s="1"/>
    </row>
    <row r="25434">
      <c r="C25434" s="1"/>
    </row>
    <row r="25435">
      <c r="C25435" s="1"/>
    </row>
    <row r="25436">
      <c r="C25436" s="1"/>
    </row>
    <row r="25437">
      <c r="C25437" s="1"/>
    </row>
    <row r="25438">
      <c r="C25438" s="1"/>
    </row>
    <row r="25439">
      <c r="C25439" s="1"/>
    </row>
    <row r="25440">
      <c r="C25440" s="1"/>
    </row>
    <row r="25441">
      <c r="C25441" s="1"/>
    </row>
    <row r="25442">
      <c r="C25442" s="1"/>
    </row>
    <row r="25443">
      <c r="C25443" s="1"/>
    </row>
    <row r="25444">
      <c r="C25444" s="1"/>
    </row>
    <row r="25445">
      <c r="C25445" s="1"/>
    </row>
    <row r="25446">
      <c r="C25446" s="1"/>
    </row>
    <row r="25447">
      <c r="C25447" s="1"/>
    </row>
    <row r="25448">
      <c r="C25448" s="1"/>
    </row>
    <row r="25449">
      <c r="C25449" s="1"/>
    </row>
    <row r="25450">
      <c r="C25450" s="1"/>
    </row>
    <row r="25451">
      <c r="C25451" s="1"/>
    </row>
    <row r="25452">
      <c r="C25452" s="1"/>
    </row>
    <row r="25453">
      <c r="C25453" s="1"/>
    </row>
    <row r="25454">
      <c r="C25454" s="1"/>
    </row>
    <row r="25455">
      <c r="C25455" s="1"/>
    </row>
    <row r="25456">
      <c r="C25456" s="1"/>
    </row>
    <row r="25457">
      <c r="C25457" s="1"/>
    </row>
    <row r="25458">
      <c r="C25458" s="1"/>
    </row>
    <row r="25459">
      <c r="C25459" s="1"/>
    </row>
    <row r="25460">
      <c r="C25460" s="1"/>
    </row>
    <row r="25461">
      <c r="C25461" s="1"/>
    </row>
    <row r="25462">
      <c r="C25462" s="1"/>
    </row>
    <row r="25463">
      <c r="C25463" s="1"/>
    </row>
    <row r="25464">
      <c r="C25464" s="1"/>
    </row>
    <row r="25465">
      <c r="C25465" s="1"/>
    </row>
    <row r="25466">
      <c r="C25466" s="1"/>
    </row>
    <row r="25467">
      <c r="C25467" s="1"/>
    </row>
    <row r="25468">
      <c r="C25468" s="1"/>
    </row>
    <row r="25469">
      <c r="C25469" s="1"/>
    </row>
    <row r="25470">
      <c r="C25470" s="1"/>
    </row>
    <row r="25471">
      <c r="C25471" s="1"/>
    </row>
    <row r="25472">
      <c r="C25472" s="1"/>
    </row>
    <row r="25473">
      <c r="C25473" s="1"/>
    </row>
    <row r="25474">
      <c r="C25474" s="1"/>
    </row>
    <row r="25475">
      <c r="C25475" s="1"/>
    </row>
    <row r="25476">
      <c r="C25476" s="1"/>
    </row>
    <row r="25477">
      <c r="C25477" s="1"/>
    </row>
    <row r="25478">
      <c r="C25478" s="1"/>
    </row>
    <row r="25479">
      <c r="C25479" s="1"/>
    </row>
    <row r="25480">
      <c r="C25480" s="1"/>
    </row>
    <row r="25481">
      <c r="C25481" s="1"/>
    </row>
    <row r="25482">
      <c r="C25482" s="1"/>
    </row>
    <row r="25483">
      <c r="C25483" s="1"/>
    </row>
    <row r="25484">
      <c r="C25484" s="1"/>
    </row>
    <row r="25485">
      <c r="C25485" s="1"/>
    </row>
    <row r="25486">
      <c r="C25486" s="1"/>
    </row>
    <row r="25487">
      <c r="C25487" s="1"/>
    </row>
    <row r="25488">
      <c r="C25488" s="1"/>
    </row>
    <row r="25489">
      <c r="C25489" s="1"/>
    </row>
    <row r="25490">
      <c r="C25490" s="1"/>
    </row>
    <row r="25491">
      <c r="C25491" s="1"/>
    </row>
    <row r="25492">
      <c r="C25492" s="1"/>
    </row>
    <row r="25493">
      <c r="C25493" s="1"/>
    </row>
    <row r="25494">
      <c r="C25494" s="1"/>
    </row>
    <row r="25495">
      <c r="C25495" s="1"/>
    </row>
    <row r="25496">
      <c r="C25496" s="1"/>
    </row>
    <row r="25497">
      <c r="C25497" s="1"/>
    </row>
    <row r="25498">
      <c r="C25498" s="1"/>
    </row>
    <row r="25499">
      <c r="C25499" s="1"/>
    </row>
    <row r="25500">
      <c r="C25500" s="1"/>
    </row>
    <row r="25501">
      <c r="C25501" s="1"/>
    </row>
    <row r="25502">
      <c r="C25502" s="1"/>
    </row>
    <row r="25503">
      <c r="C25503" s="1"/>
    </row>
    <row r="25504">
      <c r="C25504" s="1"/>
    </row>
    <row r="25505">
      <c r="C25505" s="1"/>
    </row>
    <row r="25506">
      <c r="C25506" s="1"/>
    </row>
    <row r="25507">
      <c r="C25507" s="1"/>
    </row>
    <row r="25508">
      <c r="C25508" s="1"/>
    </row>
    <row r="25509">
      <c r="C25509" s="1"/>
    </row>
    <row r="25510">
      <c r="C25510" s="1"/>
    </row>
    <row r="25511">
      <c r="C25511" s="1"/>
    </row>
    <row r="25512">
      <c r="C25512" s="1"/>
    </row>
    <row r="25513">
      <c r="C25513" s="1"/>
    </row>
    <row r="25514">
      <c r="C25514" s="1"/>
    </row>
    <row r="25515">
      <c r="C25515" s="1"/>
    </row>
    <row r="25516">
      <c r="C25516" s="1"/>
    </row>
    <row r="25517">
      <c r="C25517" s="1"/>
    </row>
    <row r="25518">
      <c r="C25518" s="1"/>
    </row>
    <row r="25519">
      <c r="C25519" s="1"/>
    </row>
    <row r="25520">
      <c r="C25520" s="1"/>
    </row>
    <row r="25521">
      <c r="C25521" s="1"/>
    </row>
    <row r="25522">
      <c r="C25522" s="1"/>
    </row>
    <row r="25523">
      <c r="C25523" s="1"/>
    </row>
    <row r="25524">
      <c r="C25524" s="1"/>
    </row>
    <row r="25525">
      <c r="C25525" s="1"/>
    </row>
    <row r="25526">
      <c r="C25526" s="1"/>
    </row>
    <row r="25527">
      <c r="C25527" s="1"/>
    </row>
    <row r="25528">
      <c r="C25528" s="1"/>
    </row>
    <row r="25529">
      <c r="C25529" s="1"/>
    </row>
    <row r="25530">
      <c r="C25530" s="1"/>
    </row>
    <row r="25531">
      <c r="C25531" s="1"/>
    </row>
    <row r="25532">
      <c r="C25532" s="1"/>
    </row>
    <row r="25533">
      <c r="C25533" s="1"/>
    </row>
    <row r="25534">
      <c r="C25534" s="1"/>
    </row>
    <row r="25535">
      <c r="C25535" s="1"/>
    </row>
    <row r="25536">
      <c r="C25536" s="1"/>
    </row>
    <row r="25537">
      <c r="C25537" s="1"/>
    </row>
    <row r="25538">
      <c r="C25538" s="1"/>
    </row>
    <row r="25539">
      <c r="C25539" s="1"/>
    </row>
    <row r="25540">
      <c r="C25540" s="1"/>
    </row>
    <row r="25541">
      <c r="C25541" s="1"/>
    </row>
    <row r="25542">
      <c r="C25542" s="1"/>
    </row>
    <row r="25543">
      <c r="C25543" s="1"/>
    </row>
    <row r="25544">
      <c r="C25544" s="1"/>
    </row>
    <row r="25545">
      <c r="C25545" s="1"/>
    </row>
    <row r="25546">
      <c r="C25546" s="1"/>
    </row>
    <row r="25547">
      <c r="C25547" s="1"/>
    </row>
    <row r="25548">
      <c r="C25548" s="1"/>
    </row>
    <row r="25549">
      <c r="C25549" s="1"/>
    </row>
    <row r="25550">
      <c r="C25550" s="1"/>
    </row>
    <row r="25551">
      <c r="C25551" s="1"/>
    </row>
    <row r="25552">
      <c r="C25552" s="1"/>
    </row>
    <row r="25553">
      <c r="C25553" s="1"/>
    </row>
    <row r="25554">
      <c r="C25554" s="1"/>
    </row>
    <row r="25555">
      <c r="C25555" s="1"/>
    </row>
    <row r="25556">
      <c r="C25556" s="1"/>
    </row>
    <row r="25557">
      <c r="C25557" s="1"/>
    </row>
    <row r="25558">
      <c r="C25558" s="1"/>
    </row>
    <row r="25559">
      <c r="C25559" s="1"/>
    </row>
    <row r="25560">
      <c r="C25560" s="1"/>
    </row>
    <row r="25561">
      <c r="C25561" s="1"/>
    </row>
    <row r="25562">
      <c r="C25562" s="1"/>
    </row>
    <row r="25563">
      <c r="C25563" s="1"/>
    </row>
    <row r="25564">
      <c r="C25564" s="1"/>
    </row>
    <row r="25565">
      <c r="C25565" s="1"/>
    </row>
    <row r="25566">
      <c r="C25566" s="1"/>
    </row>
    <row r="25567">
      <c r="C25567" s="1"/>
    </row>
    <row r="25568">
      <c r="C25568" s="1"/>
    </row>
    <row r="25569">
      <c r="C25569" s="1"/>
    </row>
    <row r="25570">
      <c r="C25570" s="1"/>
    </row>
    <row r="25571">
      <c r="C25571" s="1"/>
    </row>
    <row r="25572">
      <c r="C25572" s="1"/>
    </row>
    <row r="25573">
      <c r="C25573" s="1"/>
    </row>
    <row r="25574">
      <c r="C25574" s="1"/>
    </row>
    <row r="25575">
      <c r="C25575" s="1"/>
    </row>
    <row r="25576">
      <c r="C25576" s="1"/>
    </row>
    <row r="25577">
      <c r="C25577" s="1"/>
    </row>
    <row r="25578">
      <c r="C25578" s="1"/>
    </row>
    <row r="25579">
      <c r="C25579" s="1"/>
    </row>
    <row r="25580">
      <c r="C25580" s="1"/>
    </row>
    <row r="25581">
      <c r="C25581" s="1"/>
    </row>
    <row r="25582">
      <c r="C25582" s="1"/>
    </row>
    <row r="25583">
      <c r="C25583" s="1"/>
    </row>
    <row r="25584">
      <c r="C25584" s="1"/>
    </row>
    <row r="25585">
      <c r="C25585" s="1"/>
    </row>
    <row r="25586">
      <c r="C25586" s="1"/>
    </row>
    <row r="25587">
      <c r="C25587" s="1"/>
    </row>
    <row r="25588">
      <c r="C25588" s="1"/>
    </row>
    <row r="25589">
      <c r="C25589" s="1"/>
    </row>
    <row r="25590">
      <c r="C25590" s="1"/>
    </row>
    <row r="25591">
      <c r="C25591" s="1"/>
    </row>
    <row r="25592">
      <c r="C25592" s="1"/>
    </row>
    <row r="25593">
      <c r="C25593" s="1"/>
    </row>
    <row r="25594">
      <c r="C25594" s="1"/>
    </row>
    <row r="25595">
      <c r="C25595" s="1"/>
    </row>
    <row r="25596">
      <c r="C25596" s="1"/>
    </row>
    <row r="25597">
      <c r="C25597" s="1"/>
    </row>
    <row r="25598">
      <c r="C25598" s="1"/>
    </row>
    <row r="25599">
      <c r="C25599" s="1"/>
    </row>
    <row r="25600">
      <c r="C25600" s="1"/>
    </row>
    <row r="25601">
      <c r="C25601" s="1"/>
    </row>
    <row r="25602">
      <c r="C25602" s="1"/>
    </row>
    <row r="25603">
      <c r="C25603" s="1"/>
    </row>
    <row r="25604">
      <c r="C25604" s="1"/>
    </row>
    <row r="25605">
      <c r="C25605" s="1"/>
    </row>
    <row r="25606">
      <c r="C25606" s="1"/>
    </row>
    <row r="25607">
      <c r="C25607" s="1"/>
    </row>
    <row r="25608">
      <c r="C25608" s="1"/>
    </row>
    <row r="25609">
      <c r="C25609" s="1"/>
    </row>
    <row r="25610">
      <c r="C25610" s="1"/>
    </row>
    <row r="25611">
      <c r="C25611" s="1"/>
    </row>
    <row r="25612">
      <c r="C25612" s="1"/>
    </row>
    <row r="25613">
      <c r="C25613" s="1"/>
    </row>
    <row r="25614">
      <c r="C25614" s="1"/>
    </row>
    <row r="25615">
      <c r="C25615" s="1"/>
    </row>
    <row r="25616">
      <c r="C25616" s="1"/>
    </row>
    <row r="25617">
      <c r="C25617" s="1"/>
    </row>
    <row r="25618">
      <c r="C25618" s="1"/>
    </row>
    <row r="25619">
      <c r="C25619" s="1"/>
    </row>
    <row r="25620">
      <c r="C25620" s="1"/>
    </row>
    <row r="25621">
      <c r="C25621" s="1"/>
    </row>
    <row r="25622">
      <c r="C25622" s="1"/>
    </row>
    <row r="25623">
      <c r="C25623" s="1"/>
    </row>
    <row r="25624">
      <c r="C25624" s="1"/>
    </row>
    <row r="25625">
      <c r="C25625" s="1"/>
    </row>
    <row r="25626">
      <c r="C25626" s="1"/>
    </row>
    <row r="25627">
      <c r="C25627" s="1"/>
    </row>
    <row r="25628">
      <c r="C25628" s="1"/>
    </row>
    <row r="25629">
      <c r="C25629" s="1"/>
    </row>
    <row r="25630">
      <c r="C25630" s="1"/>
    </row>
    <row r="25631">
      <c r="C25631" s="1"/>
    </row>
    <row r="25632">
      <c r="C25632" s="1"/>
    </row>
    <row r="25633">
      <c r="C25633" s="1"/>
    </row>
    <row r="25634">
      <c r="C25634" s="1"/>
    </row>
    <row r="25635">
      <c r="C25635" s="1"/>
    </row>
    <row r="25636">
      <c r="C25636" s="1"/>
    </row>
    <row r="25637">
      <c r="C25637" s="1"/>
    </row>
    <row r="25638">
      <c r="C25638" s="1"/>
    </row>
    <row r="25639">
      <c r="C25639" s="1"/>
    </row>
    <row r="25640">
      <c r="C25640" s="1"/>
    </row>
    <row r="25641">
      <c r="C25641" s="1"/>
    </row>
    <row r="25642">
      <c r="C25642" s="1"/>
    </row>
    <row r="25643">
      <c r="C25643" s="1"/>
    </row>
    <row r="25644">
      <c r="C25644" s="1"/>
    </row>
    <row r="25645">
      <c r="C25645" s="1"/>
    </row>
    <row r="25646">
      <c r="C25646" s="1"/>
    </row>
    <row r="25647">
      <c r="C25647" s="1"/>
    </row>
    <row r="25648">
      <c r="C25648" s="1"/>
    </row>
    <row r="25649">
      <c r="C25649" s="1"/>
    </row>
    <row r="25650">
      <c r="C25650" s="1"/>
    </row>
    <row r="25651">
      <c r="C25651" s="1"/>
    </row>
    <row r="25652">
      <c r="C25652" s="1"/>
    </row>
    <row r="25653">
      <c r="C25653" s="1"/>
    </row>
    <row r="25654">
      <c r="C25654" s="1"/>
    </row>
    <row r="25655">
      <c r="C25655" s="1"/>
    </row>
    <row r="25656">
      <c r="C25656" s="1"/>
    </row>
    <row r="25657">
      <c r="C25657" s="1"/>
    </row>
    <row r="25658">
      <c r="C25658" s="1"/>
    </row>
    <row r="25659">
      <c r="C25659" s="1"/>
    </row>
    <row r="25660">
      <c r="C25660" s="1"/>
    </row>
    <row r="25661">
      <c r="C25661" s="1"/>
    </row>
    <row r="25662">
      <c r="C25662" s="1"/>
    </row>
    <row r="25663">
      <c r="C25663" s="1"/>
    </row>
    <row r="25664">
      <c r="C25664" s="1"/>
    </row>
    <row r="25665">
      <c r="C25665" s="1"/>
    </row>
    <row r="25666">
      <c r="C25666" s="1"/>
    </row>
    <row r="25667">
      <c r="C25667" s="1"/>
    </row>
    <row r="25668">
      <c r="C25668" s="1"/>
    </row>
    <row r="25669">
      <c r="C25669" s="1"/>
    </row>
    <row r="25670">
      <c r="C25670" s="1"/>
    </row>
    <row r="25671">
      <c r="C25671" s="1"/>
    </row>
    <row r="25672">
      <c r="C25672" s="1"/>
    </row>
    <row r="25673">
      <c r="C25673" s="1"/>
    </row>
    <row r="25674">
      <c r="C25674" s="1"/>
    </row>
    <row r="25675">
      <c r="C25675" s="1"/>
    </row>
    <row r="25676">
      <c r="C25676" s="1"/>
    </row>
    <row r="25677">
      <c r="C25677" s="1"/>
    </row>
    <row r="25678">
      <c r="C25678" s="1"/>
    </row>
    <row r="25679">
      <c r="C25679" s="1"/>
    </row>
    <row r="25680">
      <c r="C25680" s="1"/>
    </row>
    <row r="25681">
      <c r="C25681" s="1"/>
    </row>
    <row r="25682">
      <c r="C25682" s="1"/>
    </row>
    <row r="25683">
      <c r="C25683" s="1"/>
    </row>
    <row r="25684">
      <c r="C25684" s="1"/>
    </row>
    <row r="25685">
      <c r="C25685" s="1"/>
    </row>
    <row r="25686">
      <c r="C25686" s="1"/>
    </row>
    <row r="25687">
      <c r="C25687" s="1"/>
    </row>
    <row r="25688">
      <c r="C25688" s="1"/>
    </row>
    <row r="25689">
      <c r="C25689" s="1"/>
    </row>
    <row r="25690">
      <c r="C25690" s="1"/>
    </row>
    <row r="25691">
      <c r="C25691" s="1"/>
    </row>
    <row r="25692">
      <c r="C25692" s="1"/>
    </row>
    <row r="25693">
      <c r="C25693" s="1"/>
    </row>
    <row r="25694">
      <c r="C25694" s="1"/>
    </row>
    <row r="25695">
      <c r="C25695" s="1"/>
    </row>
    <row r="25696">
      <c r="C25696" s="1"/>
    </row>
    <row r="25697">
      <c r="C25697" s="1"/>
    </row>
    <row r="25698">
      <c r="C25698" s="1"/>
    </row>
    <row r="25699">
      <c r="C25699" s="1"/>
    </row>
    <row r="25700">
      <c r="C25700" s="1"/>
    </row>
    <row r="25701">
      <c r="C25701" s="1"/>
    </row>
    <row r="25702">
      <c r="C25702" s="1"/>
    </row>
    <row r="25703">
      <c r="C25703" s="1"/>
    </row>
    <row r="25704">
      <c r="C25704" s="1"/>
    </row>
    <row r="25705">
      <c r="C25705" s="1"/>
    </row>
    <row r="25706">
      <c r="C25706" s="1"/>
    </row>
    <row r="25707">
      <c r="C25707" s="1"/>
    </row>
    <row r="25708">
      <c r="C25708" s="1"/>
    </row>
    <row r="25709">
      <c r="C25709" s="1"/>
    </row>
    <row r="25710">
      <c r="C25710" s="1"/>
    </row>
    <row r="25711">
      <c r="C25711" s="1"/>
    </row>
    <row r="25712">
      <c r="C25712" s="1"/>
    </row>
    <row r="25713">
      <c r="C25713" s="1"/>
    </row>
    <row r="25714">
      <c r="C25714" s="1"/>
    </row>
    <row r="25715">
      <c r="C25715" s="1"/>
    </row>
    <row r="25716">
      <c r="C25716" s="1"/>
    </row>
    <row r="25717">
      <c r="C25717" s="1"/>
    </row>
    <row r="25718">
      <c r="C25718" s="1"/>
    </row>
    <row r="25719">
      <c r="C25719" s="1"/>
    </row>
    <row r="25720">
      <c r="C25720" s="1"/>
    </row>
    <row r="25721">
      <c r="C25721" s="1"/>
    </row>
    <row r="25722">
      <c r="C25722" s="1"/>
    </row>
    <row r="25723">
      <c r="C25723" s="1"/>
    </row>
    <row r="25724">
      <c r="C25724" s="1"/>
    </row>
    <row r="25725">
      <c r="C25725" s="1"/>
    </row>
    <row r="25726">
      <c r="C25726" s="1"/>
    </row>
    <row r="25727">
      <c r="C25727" s="1"/>
    </row>
    <row r="25728">
      <c r="C25728" s="1"/>
    </row>
    <row r="25729">
      <c r="C25729" s="1"/>
    </row>
    <row r="25730">
      <c r="C25730" s="1"/>
    </row>
    <row r="25731">
      <c r="C25731" s="1"/>
    </row>
    <row r="25732">
      <c r="C25732" s="1"/>
    </row>
    <row r="25733">
      <c r="C25733" s="1"/>
    </row>
    <row r="25734">
      <c r="C25734" s="1"/>
    </row>
    <row r="25735">
      <c r="C25735" s="1"/>
    </row>
    <row r="25736">
      <c r="C25736" s="1"/>
    </row>
    <row r="25737">
      <c r="C25737" s="1"/>
    </row>
    <row r="25738">
      <c r="C25738" s="1"/>
    </row>
    <row r="25739">
      <c r="C25739" s="1"/>
    </row>
    <row r="25740">
      <c r="C25740" s="1"/>
    </row>
    <row r="25741">
      <c r="C25741" s="1"/>
    </row>
    <row r="25742">
      <c r="C25742" s="1"/>
    </row>
    <row r="25743">
      <c r="C25743" s="1"/>
    </row>
    <row r="25744">
      <c r="C25744" s="1"/>
    </row>
    <row r="25745">
      <c r="C25745" s="1"/>
    </row>
    <row r="25746">
      <c r="C25746" s="1"/>
    </row>
    <row r="25747">
      <c r="C25747" s="1"/>
    </row>
    <row r="25748">
      <c r="C25748" s="1"/>
    </row>
    <row r="25749">
      <c r="C25749" s="1"/>
    </row>
    <row r="25750">
      <c r="C25750" s="1"/>
    </row>
    <row r="25751">
      <c r="C25751" s="1"/>
    </row>
    <row r="25752">
      <c r="C25752" s="1"/>
    </row>
    <row r="25753">
      <c r="C25753" s="1"/>
    </row>
    <row r="25754">
      <c r="C25754" s="1"/>
    </row>
    <row r="25755">
      <c r="C25755" s="1"/>
    </row>
    <row r="25756">
      <c r="C25756" s="1"/>
    </row>
    <row r="25757">
      <c r="C25757" s="1"/>
    </row>
    <row r="25758">
      <c r="C25758" s="1"/>
    </row>
    <row r="25759">
      <c r="C25759" s="1"/>
    </row>
    <row r="25760">
      <c r="C25760" s="1"/>
    </row>
    <row r="25761">
      <c r="C25761" s="1"/>
    </row>
    <row r="25762">
      <c r="C25762" s="1"/>
    </row>
    <row r="25763">
      <c r="C25763" s="1"/>
    </row>
    <row r="25764">
      <c r="C25764" s="1"/>
    </row>
    <row r="25765">
      <c r="C25765" s="1"/>
    </row>
    <row r="25766">
      <c r="C25766" s="1"/>
    </row>
    <row r="25767">
      <c r="C25767" s="1"/>
    </row>
    <row r="25768">
      <c r="C25768" s="1"/>
    </row>
    <row r="25769">
      <c r="C25769" s="1"/>
    </row>
    <row r="25770">
      <c r="C25770" s="1"/>
    </row>
    <row r="25771">
      <c r="C25771" s="1"/>
    </row>
    <row r="25772">
      <c r="C25772" s="1"/>
    </row>
    <row r="25773">
      <c r="C25773" s="1"/>
    </row>
    <row r="25774">
      <c r="C25774" s="1"/>
    </row>
    <row r="25775">
      <c r="C25775" s="1"/>
    </row>
    <row r="25776">
      <c r="C25776" s="1"/>
    </row>
    <row r="25777">
      <c r="C25777" s="1"/>
    </row>
    <row r="25778">
      <c r="C25778" s="1"/>
    </row>
    <row r="25779">
      <c r="C25779" s="1"/>
    </row>
    <row r="25780">
      <c r="C25780" s="1"/>
    </row>
    <row r="25781">
      <c r="C25781" s="1"/>
    </row>
    <row r="25782">
      <c r="C25782" s="1"/>
    </row>
    <row r="25783">
      <c r="C25783" s="1"/>
    </row>
    <row r="25784">
      <c r="C25784" s="1"/>
    </row>
    <row r="25785">
      <c r="C25785" s="1"/>
    </row>
    <row r="25786">
      <c r="C25786" s="1"/>
    </row>
    <row r="25787">
      <c r="C25787" s="1"/>
    </row>
    <row r="25788">
      <c r="C25788" s="1"/>
    </row>
    <row r="25789">
      <c r="C25789" s="1"/>
    </row>
    <row r="25790">
      <c r="C25790" s="1"/>
    </row>
    <row r="25791">
      <c r="C25791" s="1"/>
    </row>
    <row r="25792">
      <c r="C25792" s="1"/>
    </row>
    <row r="25793">
      <c r="C25793" s="1"/>
    </row>
    <row r="25794">
      <c r="C25794" s="1"/>
    </row>
    <row r="25795">
      <c r="C25795" s="1"/>
    </row>
    <row r="25796">
      <c r="C25796" s="1"/>
    </row>
    <row r="25797">
      <c r="C25797" s="1"/>
    </row>
    <row r="25798">
      <c r="C25798" s="1"/>
    </row>
    <row r="25799">
      <c r="C25799" s="1"/>
    </row>
    <row r="25800">
      <c r="C25800" s="1"/>
    </row>
    <row r="25801">
      <c r="C25801" s="1"/>
    </row>
    <row r="25802">
      <c r="C25802" s="1"/>
    </row>
    <row r="25803">
      <c r="C25803" s="1"/>
    </row>
    <row r="25804">
      <c r="C25804" s="1"/>
    </row>
    <row r="25805">
      <c r="C25805" s="1"/>
    </row>
    <row r="25806">
      <c r="C25806" s="1"/>
    </row>
    <row r="25807">
      <c r="C25807" s="1"/>
    </row>
    <row r="25808">
      <c r="C25808" s="1"/>
    </row>
    <row r="25809">
      <c r="C25809" s="1"/>
    </row>
    <row r="25810">
      <c r="C25810" s="1"/>
    </row>
    <row r="25811">
      <c r="C25811" s="1"/>
    </row>
    <row r="25812">
      <c r="C25812" s="1"/>
    </row>
    <row r="25813">
      <c r="C25813" s="1"/>
    </row>
    <row r="25814">
      <c r="C25814" s="1"/>
    </row>
    <row r="25815">
      <c r="C25815" s="1"/>
    </row>
    <row r="25816">
      <c r="C25816" s="1"/>
    </row>
    <row r="25817">
      <c r="C25817" s="1"/>
    </row>
    <row r="25818">
      <c r="C25818" s="1"/>
    </row>
    <row r="25819">
      <c r="C25819" s="1"/>
    </row>
    <row r="25820">
      <c r="C25820" s="1"/>
    </row>
    <row r="25821">
      <c r="C25821" s="1"/>
    </row>
    <row r="25822">
      <c r="C25822" s="1"/>
    </row>
    <row r="25823">
      <c r="C25823" s="1"/>
    </row>
    <row r="25824">
      <c r="C25824" s="1"/>
    </row>
    <row r="25825">
      <c r="C25825" s="1"/>
    </row>
    <row r="25826">
      <c r="C25826" s="1"/>
    </row>
    <row r="25827">
      <c r="C25827" s="1"/>
    </row>
    <row r="25828">
      <c r="C25828" s="1"/>
    </row>
    <row r="25829">
      <c r="C25829" s="1"/>
    </row>
    <row r="25830">
      <c r="C25830" s="1"/>
    </row>
    <row r="25831">
      <c r="C25831" s="1"/>
    </row>
    <row r="25832">
      <c r="C25832" s="1"/>
    </row>
    <row r="25833">
      <c r="C25833" s="1"/>
    </row>
    <row r="25834">
      <c r="C25834" s="1"/>
    </row>
    <row r="25835">
      <c r="C25835" s="1"/>
    </row>
    <row r="25836">
      <c r="C25836" s="1"/>
    </row>
    <row r="25837">
      <c r="C25837" s="1"/>
    </row>
    <row r="25838">
      <c r="C25838" s="1"/>
    </row>
    <row r="25839">
      <c r="C25839" s="1"/>
    </row>
    <row r="25840">
      <c r="C25840" s="1"/>
    </row>
    <row r="25841">
      <c r="C25841" s="1"/>
    </row>
    <row r="25842">
      <c r="C25842" s="1"/>
    </row>
    <row r="25843">
      <c r="C25843" s="1"/>
    </row>
    <row r="25844">
      <c r="C25844" s="1"/>
    </row>
    <row r="25845">
      <c r="C25845" s="1"/>
    </row>
    <row r="25846">
      <c r="C25846" s="1"/>
    </row>
    <row r="25847">
      <c r="C25847" s="1"/>
    </row>
    <row r="25848">
      <c r="C25848" s="1"/>
    </row>
    <row r="25849">
      <c r="C25849" s="1"/>
    </row>
    <row r="25850">
      <c r="C25850" s="1"/>
    </row>
    <row r="25851">
      <c r="C25851" s="1"/>
    </row>
    <row r="25852">
      <c r="C25852" s="1"/>
    </row>
    <row r="25853">
      <c r="C25853" s="1"/>
    </row>
    <row r="25854">
      <c r="C25854" s="1"/>
    </row>
    <row r="25855">
      <c r="C25855" s="1"/>
    </row>
    <row r="25856">
      <c r="C25856" s="1"/>
    </row>
    <row r="25857">
      <c r="C25857" s="1"/>
    </row>
    <row r="25858">
      <c r="C25858" s="1"/>
    </row>
    <row r="25859">
      <c r="C25859" s="1"/>
    </row>
    <row r="25860">
      <c r="C25860" s="1"/>
    </row>
    <row r="25861">
      <c r="C25861" s="1"/>
    </row>
    <row r="25862">
      <c r="C25862" s="1"/>
    </row>
    <row r="25863">
      <c r="C25863" s="1"/>
    </row>
    <row r="25864">
      <c r="C25864" s="1"/>
    </row>
    <row r="25865">
      <c r="C25865" s="1"/>
    </row>
    <row r="25866">
      <c r="C25866" s="1"/>
    </row>
    <row r="25867">
      <c r="C25867" s="1"/>
    </row>
    <row r="25868">
      <c r="C25868" s="1"/>
    </row>
    <row r="25869">
      <c r="C25869" s="1"/>
    </row>
    <row r="25870">
      <c r="C25870" s="1"/>
    </row>
    <row r="25871">
      <c r="C25871" s="1"/>
    </row>
    <row r="25872">
      <c r="C25872" s="1"/>
    </row>
    <row r="25873">
      <c r="C25873" s="1"/>
    </row>
    <row r="25874">
      <c r="C25874" s="1"/>
    </row>
    <row r="25875">
      <c r="C25875" s="1"/>
    </row>
    <row r="25876">
      <c r="C25876" s="1"/>
    </row>
    <row r="25877">
      <c r="C25877" s="1"/>
    </row>
    <row r="25878">
      <c r="C25878" s="1"/>
    </row>
    <row r="25879">
      <c r="C25879" s="1"/>
    </row>
    <row r="25880">
      <c r="C25880" s="1"/>
    </row>
    <row r="25881">
      <c r="C25881" s="1"/>
    </row>
    <row r="25882">
      <c r="C25882" s="1"/>
    </row>
    <row r="25883">
      <c r="C25883" s="1"/>
    </row>
    <row r="25884">
      <c r="C25884" s="1"/>
    </row>
    <row r="25885">
      <c r="C25885" s="1"/>
    </row>
    <row r="25886">
      <c r="C25886" s="1"/>
    </row>
    <row r="25887">
      <c r="C25887" s="1"/>
    </row>
    <row r="25888">
      <c r="C25888" s="1"/>
    </row>
    <row r="25889">
      <c r="C25889" s="1"/>
    </row>
    <row r="25890">
      <c r="C25890" s="1"/>
    </row>
    <row r="25891">
      <c r="C25891" s="1"/>
    </row>
    <row r="25892">
      <c r="C25892" s="1"/>
    </row>
    <row r="25893">
      <c r="C25893" s="1"/>
    </row>
    <row r="25894">
      <c r="C25894" s="1"/>
    </row>
    <row r="25895">
      <c r="C25895" s="1"/>
    </row>
    <row r="25896">
      <c r="C25896" s="1"/>
    </row>
    <row r="25897">
      <c r="C25897" s="1"/>
    </row>
    <row r="25898">
      <c r="C25898" s="1"/>
    </row>
    <row r="25899">
      <c r="C25899" s="1"/>
    </row>
    <row r="25900">
      <c r="C25900" s="1"/>
    </row>
    <row r="25901">
      <c r="C25901" s="1"/>
    </row>
    <row r="25902">
      <c r="C25902" s="1"/>
    </row>
    <row r="25903">
      <c r="C25903" s="1"/>
    </row>
    <row r="25904">
      <c r="C25904" s="1"/>
    </row>
    <row r="25905">
      <c r="C25905" s="1"/>
    </row>
    <row r="25906">
      <c r="C25906" s="1"/>
    </row>
    <row r="25907">
      <c r="C25907" s="1"/>
    </row>
    <row r="25908">
      <c r="C25908" s="1"/>
    </row>
    <row r="25909">
      <c r="C25909" s="1"/>
    </row>
    <row r="25910">
      <c r="C25910" s="1"/>
    </row>
    <row r="25911">
      <c r="C25911" s="1"/>
    </row>
    <row r="25912">
      <c r="C25912" s="1"/>
    </row>
    <row r="25913">
      <c r="C25913" s="1"/>
    </row>
    <row r="25914">
      <c r="C25914" s="1"/>
    </row>
    <row r="25915">
      <c r="C25915" s="1"/>
    </row>
    <row r="25916">
      <c r="C25916" s="1"/>
    </row>
    <row r="25917">
      <c r="C25917" s="1"/>
    </row>
    <row r="25918">
      <c r="C25918" s="1"/>
    </row>
  </sheetData>
  <drawing r:id="rId1"/>
</worksheet>
</file>